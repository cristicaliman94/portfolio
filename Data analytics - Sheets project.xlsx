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ountries" sheetId="2" r:id="rId6"/>
    <sheet state="visible" name="events" sheetId="3" r:id="rId7"/>
    <sheet state="visible" name="ABC analysis" sheetId="4" r:id="rId8"/>
    <sheet state="visible" name="products" sheetId="5" r:id="rId9"/>
    <sheet state="visible" name="totals" sheetId="6" r:id="rId10"/>
    <sheet state="visible" name="performance by channel" sheetId="7" r:id="rId11"/>
    <sheet state="visible" name="performance by category" sheetId="8" r:id="rId12"/>
    <sheet state="visible" name="performance by country" sheetId="9" r:id="rId13"/>
    <sheet state="visible" name="performance by region" sheetId="10" r:id="rId14"/>
    <sheet state="visible" name="performance by subregion" sheetId="11" r:id="rId15"/>
    <sheet state="visible" name="time of shipment performance" sheetId="12" r:id="rId16"/>
    <sheet state="visible" name="performance by year and month" sheetId="13" r:id="rId17"/>
    <sheet state="visible" name="profit by country" sheetId="14" r:id="rId18"/>
  </sheets>
  <definedNames>
    <definedName name="product_category">products!$A$1:$B$13</definedName>
    <definedName name="countries">countries!$A$2:$E$250</definedName>
    <definedName hidden="1" localSheetId="2" name="_xlnm._FilterDatabase">events!$H$1:$H$1331</definedName>
  </definedNames>
  <calcPr/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<sst xmlns="http://schemas.openxmlformats.org/spreadsheetml/2006/main" count="5556" uniqueCount="849">
  <si>
    <t>alpha-3</t>
  </si>
  <si>
    <t>Product ID</t>
  </si>
  <si>
    <t>name</t>
  </si>
  <si>
    <t>alpha-2</t>
  </si>
  <si>
    <t>region</t>
  </si>
  <si>
    <t>sub-region</t>
  </si>
  <si>
    <t>product category</t>
  </si>
  <si>
    <t>Order ID</t>
  </si>
  <si>
    <t>Order Date</t>
  </si>
  <si>
    <t>month number</t>
  </si>
  <si>
    <t>month of order</t>
  </si>
  <si>
    <t>AFG</t>
  </si>
  <si>
    <t>day of order</t>
  </si>
  <si>
    <t>Afghanistan</t>
  </si>
  <si>
    <t>AF</t>
  </si>
  <si>
    <t>Asia</t>
  </si>
  <si>
    <t>Southern Asia</t>
  </si>
  <si>
    <t>year of order</t>
  </si>
  <si>
    <t>Ship Date</t>
  </si>
  <si>
    <t>time of shipment</t>
  </si>
  <si>
    <t>ALA</t>
  </si>
  <si>
    <t>Åland Islands</t>
  </si>
  <si>
    <t>Order Priority</t>
  </si>
  <si>
    <t>AX</t>
  </si>
  <si>
    <t>Europe</t>
  </si>
  <si>
    <t>Country Code</t>
  </si>
  <si>
    <t>Northern Europe</t>
  </si>
  <si>
    <t>country</t>
  </si>
  <si>
    <t>ALB</t>
  </si>
  <si>
    <t>Albania</t>
  </si>
  <si>
    <t>AL</t>
  </si>
  <si>
    <t>subregion</t>
  </si>
  <si>
    <t>Sales Channel</t>
  </si>
  <si>
    <t>Southern Europe</t>
  </si>
  <si>
    <t>Units Sold</t>
  </si>
  <si>
    <t>Unit Price</t>
  </si>
  <si>
    <t>DZA</t>
  </si>
  <si>
    <t>Unit Cost</t>
  </si>
  <si>
    <t>Algeria</t>
  </si>
  <si>
    <t>DZ</t>
  </si>
  <si>
    <t>total revenue</t>
  </si>
  <si>
    <t>Africa</t>
  </si>
  <si>
    <t>Northern Africa</t>
  </si>
  <si>
    <t>total cost</t>
  </si>
  <si>
    <t>total profit</t>
  </si>
  <si>
    <t>share of units sold</t>
  </si>
  <si>
    <t>ASM</t>
  </si>
  <si>
    <t>cumulative share of units sold</t>
  </si>
  <si>
    <t>American Samoa</t>
  </si>
  <si>
    <t>share of revenue</t>
  </si>
  <si>
    <t>AS</t>
  </si>
  <si>
    <t>Oceania</t>
  </si>
  <si>
    <t>cumulative share of revenue</t>
  </si>
  <si>
    <t>Polynesia</t>
  </si>
  <si>
    <t>share of total profit</t>
  </si>
  <si>
    <t>cumulative share of total profit</t>
  </si>
  <si>
    <t>AND</t>
  </si>
  <si>
    <t>Andorra</t>
  </si>
  <si>
    <t>AD</t>
  </si>
  <si>
    <t>AGO</t>
  </si>
  <si>
    <t>Angola</t>
  </si>
  <si>
    <t>AO</t>
  </si>
  <si>
    <t>Sub-Saharan Africa</t>
  </si>
  <si>
    <t>AIA</t>
  </si>
  <si>
    <t>Anguilla</t>
  </si>
  <si>
    <t>AI</t>
  </si>
  <si>
    <t>Americas</t>
  </si>
  <si>
    <t>Latin America and the Caribbean</t>
  </si>
  <si>
    <t>ATA</t>
  </si>
  <si>
    <t>Antarctica</t>
  </si>
  <si>
    <t>AQ</t>
  </si>
  <si>
    <t>ATG</t>
  </si>
  <si>
    <t>Antigua and Barbuda</t>
  </si>
  <si>
    <t>AG</t>
  </si>
  <si>
    <t>ARG</t>
  </si>
  <si>
    <t>Argentina</t>
  </si>
  <si>
    <t>AR</t>
  </si>
  <si>
    <t>ARM</t>
  </si>
  <si>
    <t>Armenia</t>
  </si>
  <si>
    <t>AM</t>
  </si>
  <si>
    <t>Western Asia</t>
  </si>
  <si>
    <t>ABW</t>
  </si>
  <si>
    <t>Aruba</t>
  </si>
  <si>
    <t>AW</t>
  </si>
  <si>
    <t>AUS</t>
  </si>
  <si>
    <t>Australia</t>
  </si>
  <si>
    <t>AU</t>
  </si>
  <si>
    <t>Australia and New Zealand</t>
  </si>
  <si>
    <t>AUT</t>
  </si>
  <si>
    <t>Austria</t>
  </si>
  <si>
    <t>AT</t>
  </si>
  <si>
    <t>Western Europe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</si>
  <si>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</si>
  <si>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</si>
  <si>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</si>
  <si>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</si>
  <si>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</si>
  <si>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</si>
  <si>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</si>
  <si>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</si>
  <si>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</si>
  <si>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</si>
  <si>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</si>
  <si>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</si>
  <si>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</si>
  <si>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</si>
  <si>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</si>
  <si>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BLR</t>
  </si>
  <si>
    <t>Belarus</t>
  </si>
  <si>
    <t>BY</t>
  </si>
  <si>
    <t>M</t>
  </si>
  <si>
    <t>NOR</t>
  </si>
  <si>
    <t>Eastern Europe</t>
  </si>
  <si>
    <t>BEL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</si>
  <si>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</si>
  <si>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</si>
  <si>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</si>
  <si>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</si>
  <si>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</si>
  <si>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</si>
  <si>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</si>
  <si>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</si>
  <si>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</si>
  <si>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Bermuda</t>
  </si>
  <si>
    <t>BM</t>
  </si>
  <si>
    <t>Northern America</t>
  </si>
  <si>
    <t>BTN</t>
  </si>
  <si>
    <t>Bhutan</t>
  </si>
  <si>
    <t>BT</t>
  </si>
  <si>
    <t>Online</t>
  </si>
  <si>
    <t>BOL</t>
  </si>
  <si>
    <t>Bolivia (Plurinational State of)</t>
  </si>
  <si>
    <t>BO</t>
  </si>
  <si>
    <t>BES</t>
  </si>
  <si>
    <t>Bonaire, Sint Eustatius and Saba</t>
  </si>
  <si>
    <t>BQ</t>
  </si>
  <si>
    <t>BIH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</si>
  <si>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</si>
  <si>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</si>
  <si>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</si>
  <si>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</si>
  <si>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</si>
  <si>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</si>
  <si>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</si>
  <si>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</si>
  <si>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</si>
  <si>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</si>
  <si>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</si>
  <si>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</si>
  <si>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</si>
  <si>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</si>
  <si>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</si>
  <si>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Brunei Darussalam</t>
  </si>
  <si>
    <t>BN</t>
  </si>
  <si>
    <t>South-eastern Asia</t>
  </si>
  <si>
    <t>BGR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</si>
  <si>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</si>
  <si>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</si>
  <si>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</si>
  <si>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</si>
  <si>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</si>
  <si>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</si>
  <si>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</si>
  <si>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</si>
  <si>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</si>
  <si>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</si>
  <si>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</si>
  <si>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</si>
  <si>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</si>
  <si>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</si>
  <si>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</si>
  <si>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</si>
  <si>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</si>
  <si>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</si>
  <si>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</si>
  <si>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</si>
  <si>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</si>
  <si>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</si>
  <si>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</si>
  <si>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</si>
  <si>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</si>
  <si>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</si>
  <si>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</si>
  <si>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</si>
  <si>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</si>
  <si>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</si>
  <si>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</si>
  <si>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</si>
  <si>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</si>
  <si>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</si>
  <si>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</si>
  <si>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Eastern Asia</t>
  </si>
  <si>
    <t>CXR</t>
  </si>
  <si>
    <t>Christmas Island</t>
  </si>
  <si>
    <t>CX</t>
  </si>
  <si>
    <t>CCK</t>
  </si>
  <si>
    <t>Cocos (Keeling) Islands</t>
  </si>
  <si>
    <t>CC</t>
  </si>
  <si>
    <t>C</t>
  </si>
  <si>
    <t>COL</t>
  </si>
  <si>
    <t>SRB</t>
  </si>
  <si>
    <t>Colombia</t>
  </si>
  <si>
    <t>CO</t>
  </si>
  <si>
    <t>COM</t>
  </si>
  <si>
    <t>Comoros</t>
  </si>
  <si>
    <t>KM</t>
  </si>
  <si>
    <t>COG</t>
  </si>
  <si>
    <t>Congo</t>
  </si>
  <si>
    <t>CG</t>
  </si>
  <si>
    <t>COD</t>
  </si>
  <si>
    <t>Congo, Democratic Republic of the</t>
  </si>
  <si>
    <t>CD</t>
  </si>
  <si>
    <t>Offline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</si>
  <si>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</si>
  <si>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</si>
  <si>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</si>
  <si>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</si>
  <si>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</si>
  <si>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</si>
  <si>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</si>
  <si>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</si>
  <si>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</si>
  <si>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HRV</t>
  </si>
  <si>
    <t>Croatia</t>
  </si>
  <si>
    <t>HR</t>
  </si>
  <si>
    <t>CUB</t>
  </si>
  <si>
    <t>Cuba</t>
  </si>
  <si>
    <t>CU</t>
  </si>
  <si>
    <t>CUW</t>
  </si>
  <si>
    <t>Curaçao</t>
  </si>
  <si>
    <t>CW</t>
  </si>
  <si>
    <t>CYP</t>
  </si>
  <si>
    <t>Cyprus</t>
  </si>
  <si>
    <t>CY</t>
  </si>
  <si>
    <t>CZE</t>
  </si>
  <si>
    <t>Czech Republic</t>
  </si>
  <si>
    <t>CZ</t>
  </si>
  <si>
    <t>DNK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</si>
  <si>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</si>
  <si>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</si>
  <si>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</si>
  <si>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</si>
  <si>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</si>
  <si>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</si>
  <si>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</si>
  <si>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</si>
  <si>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</si>
  <si>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</si>
  <si>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</si>
  <si>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</si>
  <si>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</si>
  <si>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</si>
  <si>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</si>
  <si>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</si>
  <si>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</si>
  <si>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</si>
  <si>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</si>
  <si>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</si>
  <si>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</si>
  <si>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</si>
  <si>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</si>
  <si>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</si>
  <si>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</si>
  <si>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</si>
  <si>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</si>
  <si>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</si>
  <si>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</si>
  <si>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</si>
  <si>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</si>
  <si>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</si>
  <si>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</si>
  <si>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</si>
  <si>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</si>
  <si>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</si>
  <si>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</si>
  <si>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</si>
  <si>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</si>
  <si>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</si>
  <si>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</si>
  <si>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</si>
  <si>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Fiji</t>
  </si>
  <si>
    <t>FJ</t>
  </si>
  <si>
    <t>Melanesia</t>
  </si>
  <si>
    <t>FIN</t>
  </si>
  <si>
    <t>Finland</t>
  </si>
  <si>
    <t>FI</t>
  </si>
  <si>
    <t>FRA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</si>
  <si>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</si>
  <si>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</si>
  <si>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</si>
  <si>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</si>
  <si>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</si>
  <si>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</si>
  <si>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</si>
  <si>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</si>
  <si>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</si>
  <si>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</si>
  <si>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</si>
  <si>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</si>
  <si>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</si>
  <si>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</si>
  <si>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</si>
  <si>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</si>
  <si>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</si>
  <si>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</t>
  </si>
  <si>
    <t>Georgia</t>
  </si>
  <si>
    <t>GE</t>
  </si>
  <si>
    <t>DEU</t>
  </si>
  <si>
    <t>Germany</t>
  </si>
  <si>
    <t>DE</t>
  </si>
  <si>
    <t>GHA</t>
  </si>
  <si>
    <t>Ghana</t>
  </si>
  <si>
    <t>GH</t>
  </si>
  <si>
    <t>GIB</t>
  </si>
  <si>
    <t>Gibraltar</t>
  </si>
  <si>
    <t>GI</t>
  </si>
  <si>
    <t>GRC</t>
  </si>
  <si>
    <t>Greece</t>
  </si>
  <si>
    <t>GR</t>
  </si>
  <si>
    <t>GRL</t>
  </si>
  <si>
    <t>Greenland</t>
  </si>
  <si>
    <t>GL</t>
  </si>
  <si>
    <t>L</t>
  </si>
  <si>
    <t>MNE</t>
  </si>
  <si>
    <t>GRD</t>
  </si>
  <si>
    <t>Grenada</t>
  </si>
  <si>
    <t>GD</t>
  </si>
  <si>
    <t>GLP</t>
  </si>
  <si>
    <t>Guadeloupe</t>
  </si>
  <si>
    <t>GP</t>
  </si>
  <si>
    <t>GUM</t>
  </si>
  <si>
    <t>Guam</t>
  </si>
  <si>
    <t>GU</t>
  </si>
  <si>
    <t>Micronesia</t>
  </si>
  <si>
    <t>GTM</t>
  </si>
  <si>
    <t>Guatemala</t>
  </si>
  <si>
    <t>GT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</si>
  <si>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</si>
  <si>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</si>
  <si>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</si>
  <si>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</si>
  <si>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</si>
  <si>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</si>
  <si>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</si>
  <si>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</si>
  <si>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</si>
  <si>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</si>
  <si>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</si>
  <si>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</si>
  <si>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</si>
  <si>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</si>
  <si>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</si>
  <si>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</si>
  <si>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</si>
  <si>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</si>
  <si>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</si>
  <si>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</si>
  <si>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</si>
  <si>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</si>
  <si>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</si>
  <si>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</si>
  <si>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</si>
  <si>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</si>
  <si>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</si>
  <si>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</t>
  </si>
  <si>
    <t>Hungary</t>
  </si>
  <si>
    <t>HU</t>
  </si>
  <si>
    <t>ISL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</si>
  <si>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</si>
  <si>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</si>
  <si>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</si>
  <si>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</si>
  <si>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</si>
  <si>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</si>
  <si>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</si>
  <si>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</si>
  <si>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</si>
  <si>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</si>
  <si>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</si>
  <si>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</si>
  <si>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</si>
  <si>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</si>
  <si>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H</t>
  </si>
  <si>
    <t>IRL</t>
  </si>
  <si>
    <t>Ireland</t>
  </si>
  <si>
    <t>IE</t>
  </si>
  <si>
    <t>IMN</t>
  </si>
  <si>
    <t>Isle of Man</t>
  </si>
  <si>
    <t>IM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</si>
  <si>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</si>
  <si>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</si>
  <si>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</si>
  <si>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</si>
  <si>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</si>
  <si>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</si>
  <si>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</si>
  <si>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</si>
  <si>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</si>
  <si>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</si>
  <si>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</si>
  <si>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</si>
  <si>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</si>
  <si>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</si>
  <si>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</si>
  <si>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</si>
  <si>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</si>
  <si>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</si>
  <si>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</si>
  <si>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Kazakhstan</t>
  </si>
  <si>
    <t>KZ</t>
  </si>
  <si>
    <t>Central Asia</t>
  </si>
  <si>
    <t>KEN</t>
  </si>
  <si>
    <t>Kenya</t>
  </si>
  <si>
    <t>KE</t>
  </si>
  <si>
    <t>KIR</t>
  </si>
  <si>
    <t>Kiribati</t>
  </si>
  <si>
    <t>KI</t>
  </si>
  <si>
    <t>PRK</t>
  </si>
  <si>
    <t>Korea (Democratic People's Republic of)</t>
  </si>
  <si>
    <t>KP</t>
  </si>
  <si>
    <t>KOR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</si>
  <si>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</si>
  <si>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</si>
  <si>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</si>
  <si>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</si>
  <si>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</si>
  <si>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</si>
  <si>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</si>
  <si>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</si>
  <si>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</si>
  <si>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</si>
  <si>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</si>
  <si>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LVA</t>
  </si>
  <si>
    <t>Latvia</t>
  </si>
  <si>
    <t>LV</t>
  </si>
  <si>
    <t>LBN</t>
  </si>
  <si>
    <t>Lebanon</t>
  </si>
  <si>
    <t>LB</t>
  </si>
  <si>
    <t>LSO</t>
  </si>
  <si>
    <t>SVK</t>
  </si>
  <si>
    <t>Lesotho</t>
  </si>
  <si>
    <t>LS</t>
  </si>
  <si>
    <t>LBR</t>
  </si>
  <si>
    <t>Liberia</t>
  </si>
  <si>
    <t>LR</t>
  </si>
  <si>
    <t>LBY</t>
  </si>
  <si>
    <t>Libya</t>
  </si>
  <si>
    <t>LY</t>
  </si>
  <si>
    <t>LIE</t>
  </si>
  <si>
    <t>Liechtenstein</t>
  </si>
  <si>
    <t>LI</t>
  </si>
  <si>
    <t>LTU</t>
  </si>
  <si>
    <t>Lithuania</t>
  </si>
  <si>
    <t>LT</t>
  </si>
  <si>
    <t>LUX</t>
  </si>
  <si>
    <t>Luxembourg</t>
  </si>
  <si>
    <t>LU</t>
  </si>
  <si>
    <t>MAC</t>
  </si>
  <si>
    <t>Macao</t>
  </si>
  <si>
    <t>MO</t>
  </si>
  <si>
    <t>MKD</t>
  </si>
  <si>
    <t>Macedonia</t>
  </si>
  <si>
    <t>MK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</si>
  <si>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</si>
  <si>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</si>
  <si>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</si>
  <si>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</si>
  <si>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</si>
  <si>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</si>
  <si>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</si>
  <si>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</si>
  <si>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</si>
  <si>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</si>
  <si>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</si>
  <si>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</si>
  <si>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</si>
  <si>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</si>
  <si>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</si>
  <si>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MLT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</si>
  <si>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</si>
  <si>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</si>
  <si>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</si>
  <si>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</si>
  <si>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</si>
  <si>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</si>
  <si>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</si>
  <si>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</si>
  <si>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</si>
  <si>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</si>
  <si>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</si>
  <si>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</si>
  <si>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</si>
  <si>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</si>
  <si>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</si>
  <si>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</si>
  <si>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</si>
  <si>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</si>
  <si>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</si>
  <si>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</si>
  <si>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</si>
  <si>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</si>
  <si>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</si>
  <si>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</si>
  <si>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</si>
  <si>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</si>
  <si>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MCO</t>
  </si>
  <si>
    <t>Monaco</t>
  </si>
  <si>
    <t>MC</t>
  </si>
  <si>
    <t>MNG</t>
  </si>
  <si>
    <t>Mongolia</t>
  </si>
  <si>
    <t>MN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</si>
  <si>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</si>
  <si>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</si>
  <si>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</si>
  <si>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</si>
  <si>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</si>
  <si>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</si>
  <si>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</si>
  <si>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</si>
  <si>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</si>
  <si>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</si>
  <si>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</si>
  <si>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</si>
  <si>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</si>
  <si>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</si>
  <si>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</si>
  <si>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</si>
  <si>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</si>
  <si>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</si>
  <si>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</si>
  <si>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</si>
  <si>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</si>
  <si>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</si>
  <si>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</si>
  <si>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NLD</t>
  </si>
  <si>
    <t>Netherlands</t>
  </si>
  <si>
    <t>NL</t>
  </si>
  <si>
    <t>NCL</t>
  </si>
  <si>
    <t>New Caledonia</t>
  </si>
  <si>
    <t>NC</t>
  </si>
  <si>
    <t>ESP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</si>
  <si>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</si>
  <si>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</si>
  <si>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</si>
  <si>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</si>
  <si>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</si>
  <si>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</si>
  <si>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</si>
  <si>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</si>
  <si>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</si>
  <si>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</si>
  <si>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</si>
  <si>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</si>
  <si>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NIU</t>
  </si>
  <si>
    <t>Niue</t>
  </si>
  <si>
    <t>NU</t>
  </si>
  <si>
    <t>NFK</t>
  </si>
  <si>
    <t>Norfolk Island</t>
  </si>
  <si>
    <t>NF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</si>
  <si>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</si>
  <si>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</si>
  <si>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</si>
  <si>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</si>
  <si>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</si>
  <si>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</si>
  <si>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</si>
  <si>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</si>
  <si>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</si>
  <si>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</si>
  <si>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</si>
  <si>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</si>
  <si>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</si>
  <si>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</si>
  <si>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</si>
  <si>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</si>
  <si>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</si>
  <si>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</si>
  <si>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</si>
  <si>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</si>
  <si>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</si>
  <si>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</si>
  <si>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</si>
  <si>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</si>
  <si>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</si>
  <si>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</si>
  <si>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</si>
  <si>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</si>
  <si>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</si>
  <si>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</si>
  <si>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</si>
  <si>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</si>
  <si>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</si>
  <si>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</si>
  <si>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</si>
  <si>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</t>
  </si>
  <si>
    <t>Poland</t>
  </si>
  <si>
    <t>PL</t>
  </si>
  <si>
    <t>PRT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</si>
  <si>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</si>
  <si>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</si>
  <si>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</si>
  <si>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</si>
  <si>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</si>
  <si>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</si>
  <si>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</si>
  <si>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</si>
  <si>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</si>
  <si>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</si>
  <si>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</si>
  <si>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ROU</t>
  </si>
  <si>
    <t>Romania</t>
  </si>
  <si>
    <t>RO</t>
  </si>
  <si>
    <t>RUS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</si>
  <si>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</si>
  <si>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</si>
  <si>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</si>
  <si>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</si>
  <si>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</si>
  <si>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</si>
  <si>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</si>
  <si>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</si>
  <si>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</si>
  <si>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</si>
  <si>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</si>
  <si>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</si>
  <si>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</si>
  <si>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</si>
  <si>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</si>
  <si>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</si>
  <si>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</si>
  <si>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</si>
  <si>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</si>
  <si>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</si>
  <si>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</si>
  <si>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</si>
  <si>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</si>
  <si>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</si>
  <si>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</si>
  <si>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</si>
  <si>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</si>
  <si>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</si>
  <si>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</si>
  <si>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SMR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</si>
  <si>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</si>
  <si>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</si>
  <si>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</si>
  <si>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</si>
  <si>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</si>
  <si>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</si>
  <si>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</si>
  <si>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</si>
  <si>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</si>
  <si>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</si>
  <si>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</si>
  <si>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</si>
  <si>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</si>
  <si>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</si>
  <si>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</si>
  <si>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</si>
  <si>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</si>
  <si>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</si>
  <si>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</si>
  <si>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</si>
  <si>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</si>
  <si>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</si>
  <si>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SXM</t>
  </si>
  <si>
    <t>Sint Maarten (Dutch part)</t>
  </si>
  <si>
    <t>SX</t>
  </si>
  <si>
    <t>Slovakia</t>
  </si>
  <si>
    <t>SK</t>
  </si>
  <si>
    <t>SVN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</si>
  <si>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</si>
  <si>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</si>
  <si>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</si>
  <si>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</si>
  <si>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</si>
  <si>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</si>
  <si>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</si>
  <si>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</si>
  <si>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</si>
  <si>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</si>
  <si>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</si>
  <si>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</si>
  <si>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</si>
  <si>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</si>
  <si>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</si>
  <si>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</si>
  <si>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</si>
  <si>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</si>
  <si>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</si>
  <si>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</si>
  <si>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</si>
  <si>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</si>
  <si>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</si>
  <si>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</si>
  <si>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</si>
  <si>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</si>
  <si>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</si>
  <si>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</si>
  <si>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SJM</t>
  </si>
  <si>
    <t>Svalbard and Jan Mayen</t>
  </si>
  <si>
    <t>SJ</t>
  </si>
  <si>
    <t>SWE</t>
  </si>
  <si>
    <t>Sweden</t>
  </si>
  <si>
    <t>SE</t>
  </si>
  <si>
    <t>CHE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</si>
  <si>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</si>
  <si>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</si>
  <si>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</si>
  <si>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</si>
  <si>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</si>
  <si>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</si>
  <si>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</si>
  <si>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</si>
  <si>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</si>
  <si>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</si>
  <si>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</si>
  <si>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</si>
  <si>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</si>
  <si>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</si>
  <si>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</si>
  <si>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</si>
  <si>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</si>
  <si>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</si>
  <si>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</si>
  <si>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</si>
  <si>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</si>
  <si>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</si>
  <si>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</si>
  <si>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</si>
  <si>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</si>
  <si>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</si>
  <si>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</si>
  <si>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</si>
  <si>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</si>
  <si>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</si>
  <si>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</si>
  <si>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</si>
  <si>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</si>
  <si>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</si>
  <si>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</si>
  <si>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</si>
  <si>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</si>
  <si>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</si>
  <si>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</si>
  <si>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</si>
  <si>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</si>
  <si>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</si>
  <si>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</si>
  <si>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</si>
  <si>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</si>
  <si>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</si>
  <si>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</si>
  <si>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</si>
  <si>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</si>
  <si>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</si>
  <si>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</t>
  </si>
  <si>
    <t>Ukraine</t>
  </si>
  <si>
    <t>UA</t>
  </si>
  <si>
    <t>ARE</t>
  </si>
  <si>
    <t>United Arab Emirates</t>
  </si>
  <si>
    <t>AE</t>
  </si>
  <si>
    <t>GBR</t>
  </si>
  <si>
    <t>United Kingdom</t>
  </si>
  <si>
    <t>GB</t>
  </si>
  <si>
    <t>UMI</t>
  </si>
  <si>
    <t>United States Minor Outlying Islands</t>
  </si>
  <si>
    <t>UM</t>
  </si>
  <si>
    <t>USA</t>
  </si>
  <si>
    <t>United States of America</t>
  </si>
  <si>
    <t>US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</si>
  <si>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</si>
  <si>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</si>
  <si>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</si>
  <si>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</si>
  <si>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</si>
  <si>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</si>
  <si>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</si>
  <si>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</si>
  <si>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</si>
  <si>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</si>
  <si>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</si>
  <si>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</si>
  <si>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</si>
  <si>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</si>
  <si>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</si>
  <si>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</si>
  <si>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</si>
  <si>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</si>
  <si>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</si>
  <si>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Virgin Islands (U.S.)</t>
  </si>
  <si>
    <t>VI</t>
  </si>
  <si>
    <t>WLF</t>
  </si>
  <si>
    <t>Wallis and Futuna</t>
  </si>
  <si>
    <t>WF</t>
  </si>
  <si>
    <t>ESH</t>
  </si>
  <si>
    <t>Western Sahara</t>
  </si>
  <si>
    <t>EH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</si>
  <si>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</si>
  <si>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</si>
  <si>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</si>
  <si>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</si>
  <si>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</si>
  <si>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</si>
  <si>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</si>
  <si>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</si>
  <si>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</si>
  <si>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</si>
  <si>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</si>
  <si>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</si>
  <si>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</si>
  <si>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</si>
  <si>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</si>
  <si>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</si>
  <si>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</si>
  <si>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</si>
  <si>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</si>
  <si>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</si>
  <si>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</si>
  <si>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</si>
  <si>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</si>
  <si>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total units sold</t>
  </si>
  <si>
    <t>total orders</t>
  </si>
  <si>
    <t>total countries</t>
  </si>
  <si>
    <t>SUM of Units Sold</t>
  </si>
  <si>
    <t>SUM of total revenue</t>
  </si>
  <si>
    <t>SUM of total profit</t>
  </si>
  <si>
    <t>percentile units sold</t>
  </si>
  <si>
    <t>percentile total revenue</t>
  </si>
  <si>
    <t>percentile total profit</t>
  </si>
  <si>
    <t>online</t>
  </si>
  <si>
    <t>Units Sold by category</t>
  </si>
  <si>
    <t>total revenue by category</t>
  </si>
  <si>
    <t>total cost by category</t>
  </si>
  <si>
    <t>total profit by category</t>
  </si>
  <si>
    <t xml:space="preserve"> total profit</t>
  </si>
  <si>
    <t>AVERAGE of total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</si>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</sst>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$]#,##0.00"/>
    <numFmt numFmtId="166" formatCode="[$$]#,##0"/>
    <numFmt numFmtId="167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0" xfId="0" applyAlignment="1" applyFont="1" applyNumberFormat="1">
      <alignment readingOrder="0"/>
    </xf>
    <xf borderId="0" fillId="2" fontId="3" numFmtId="166" xfId="0" applyAlignment="1" applyFill="1" applyFont="1" applyNumberFormat="1">
      <alignment horizontal="right" vertical="bottom"/>
    </xf>
    <xf borderId="0" fillId="0" fontId="2" numFmtId="3" xfId="0" applyFont="1" applyNumberFormat="1"/>
    <xf borderId="0" fillId="0" fontId="2" numFmtId="49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by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by channel'!$B$1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channel'!$B$2:$B$6</c:f>
              <c:numCache/>
            </c:numRef>
          </c:val>
        </c:ser>
        <c:ser>
          <c:idx val="1"/>
          <c:order val="1"/>
          <c:tx>
            <c:strRef>
              <c:f>'performance by channel'!$C$1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channel'!$C$2:$C$6</c:f>
              <c:numCache/>
            </c:numRef>
          </c:val>
        </c:ser>
        <c:ser>
          <c:idx val="2"/>
          <c:order val="2"/>
          <c:tx>
            <c:strRef>
              <c:f>'performance by channel'!$D$1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channel'!$D$2:$D$6</c:f>
              <c:numCache/>
            </c:numRef>
          </c:val>
        </c:ser>
        <c:ser>
          <c:idx val="3"/>
          <c:order val="3"/>
          <c:tx>
            <c:strRef>
              <c:f>'performance by channel'!$E$1</c:f>
            </c:strRef>
          </c:tx>
          <c:cat>
            <c:strRef>
              <c:f>'performance by channel'!$A$2:$A$6</c:f>
            </c:strRef>
          </c:cat>
          <c:val>
            <c:numRef>
              <c:f>'performance by channel'!$E$2:$E$6</c:f>
              <c:numCache/>
            </c:numRef>
          </c:val>
        </c:ser>
        <c:ser>
          <c:idx val="4"/>
          <c:order val="4"/>
          <c:tx>
            <c:strRef>
              <c:f>'performance by channel'!$F$1</c:f>
            </c:strRef>
          </c:tx>
          <c:cat>
            <c:strRef>
              <c:f>'performance by channel'!$A$2:$A$6</c:f>
            </c:strRef>
          </c:cat>
          <c:val>
            <c:numRef>
              <c:f>'performance by channel'!$F$2:$F$6</c:f>
              <c:numCache/>
            </c:numRef>
          </c:val>
        </c:ser>
        <c:axId val="174214158"/>
        <c:axId val="1813764689"/>
      </c:barChart>
      <c:catAx>
        <c:axId val="174214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764689"/>
      </c:catAx>
      <c:valAx>
        <c:axId val="1813764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4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'performance by category'!$C$1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category'!$C$2:$C$1000</c:f>
              <c:numCache/>
            </c:numRef>
          </c:val>
        </c:ser>
        <c:ser>
          <c:idx val="1"/>
          <c:order val="1"/>
          <c:tx>
            <c:strRef>
              <c:f>'performance by category'!$D$1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category'!$D$2:$D$1000</c:f>
              <c:numCache/>
            </c:numRef>
          </c:val>
        </c:ser>
        <c:ser>
          <c:idx val="2"/>
          <c:order val="2"/>
          <c:tx>
            <c:strRef>
              <c:f>'performance by category'!$E$1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category'!$E$2:$E$1000</c:f>
              <c:numCache/>
            </c:numRef>
          </c:val>
        </c:ser>
        <c:axId val="1688017663"/>
        <c:axId val="645912203"/>
      </c:barChart>
      <c:catAx>
        <c:axId val="168801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912203"/>
      </c:catAx>
      <c:valAx>
        <c:axId val="645912203"/>
        <c:scaling>
          <c:orientation val="minMax"/>
          <c:max val="5.0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017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units sold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analysis'!$E$2:$E$998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revenue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analysis'!$F$2:$F$998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profit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analysis'!$G$1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analysis'!$G$2:$G$998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units sold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analysis'!$E$2:$E$998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revenue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analysis'!$F$2:$F$998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from total profit by category (2017)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analysis'!$G$1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analysis'!$A$2:$A$998</c:f>
            </c:strRef>
          </c:cat>
          <c:val>
            <c:numRef>
              <c:f>'ABC analysis'!$G$2:$G$998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by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by channel'!$B$1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channel'!$B$2:$B$6</c:f>
              <c:numCache/>
            </c:numRef>
          </c:val>
        </c:ser>
        <c:ser>
          <c:idx val="1"/>
          <c:order val="1"/>
          <c:tx>
            <c:strRef>
              <c:f>'performance by channel'!$C$1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channel'!$C$2:$C$6</c:f>
              <c:numCache/>
            </c:numRef>
          </c:val>
        </c:ser>
        <c:ser>
          <c:idx val="2"/>
          <c:order val="2"/>
          <c:tx>
            <c:strRef>
              <c:f>'performance by channel'!$D$1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'performance by channel'!$A$2:$A$6</c:f>
            </c:strRef>
          </c:cat>
          <c:val>
            <c:numRef>
              <c:f>'performance by channel'!$D$2:$D$6</c:f>
              <c:numCache/>
            </c:numRef>
          </c:val>
        </c:ser>
        <c:ser>
          <c:idx val="3"/>
          <c:order val="3"/>
          <c:tx>
            <c:strRef>
              <c:f>'performance by channel'!$E$1</c:f>
            </c:strRef>
          </c:tx>
          <c:cat>
            <c:strRef>
              <c:f>'performance by channel'!$A$2:$A$6</c:f>
            </c:strRef>
          </c:cat>
          <c:val>
            <c:numRef>
              <c:f>'performance by channel'!$E$2:$E$6</c:f>
              <c:numCache/>
            </c:numRef>
          </c:val>
        </c:ser>
        <c:ser>
          <c:idx val="4"/>
          <c:order val="4"/>
          <c:tx>
            <c:strRef>
              <c:f>'performance by channel'!$F$1</c:f>
            </c:strRef>
          </c:tx>
          <c:cat>
            <c:strRef>
              <c:f>'performance by channel'!$A$2:$A$6</c:f>
            </c:strRef>
          </c:cat>
          <c:val>
            <c:numRef>
              <c:f>'performance by channel'!$F$2:$F$6</c:f>
              <c:numCache/>
            </c:numRef>
          </c:val>
        </c:ser>
        <c:axId val="26368433"/>
        <c:axId val="2028040590"/>
      </c:barChart>
      <c:catAx>
        <c:axId val="26368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040590"/>
      </c:catAx>
      <c:valAx>
        <c:axId val="2028040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68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 by cateory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by category'!$B$1</c:f>
            </c:strRef>
          </c:tx>
          <c:spPr>
            <a:solidFill>
              <a:srgbClr val="4A86E8"/>
            </a:solidFill>
            <a:ln cmpd="sng">
              <a:noFill/>
            </a:ln>
          </c:spPr>
          <c:dPt>
            <c:idx val="1"/>
          </c:dPt>
          <c:cat>
            <c:strRef>
              <c:f>'performance by category'!$A$2:$A$1000</c:f>
            </c:strRef>
          </c:cat>
          <c:val>
            <c:numRef>
              <c:f>'performance by category'!$B$2:$B$1000</c:f>
              <c:numCache/>
            </c:numRef>
          </c:val>
        </c:ser>
        <c:axId val="1240317149"/>
        <c:axId val="77798027"/>
      </c:barChart>
      <c:catAx>
        <c:axId val="1240317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98027"/>
      </c:catAx>
      <c:valAx>
        <c:axId val="77798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317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'performance by category'!$C$1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category'!$C$2:$C$1000</c:f>
              <c:numCache/>
            </c:numRef>
          </c:val>
        </c:ser>
        <c:ser>
          <c:idx val="1"/>
          <c:order val="1"/>
          <c:tx>
            <c:strRef>
              <c:f>'performance by category'!$D$1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category'!$D$2:$D$1000</c:f>
              <c:numCache/>
            </c:numRef>
          </c:val>
        </c:ser>
        <c:ser>
          <c:idx val="2"/>
          <c:order val="2"/>
          <c:tx>
            <c:strRef>
              <c:f>'performance by category'!$E$1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'performance by category'!$A$2:$A$1000</c:f>
            </c:strRef>
          </c:cat>
          <c:val>
            <c:numRef>
              <c:f>'performance by category'!$E$2:$E$1000</c:f>
              <c:numCache/>
            </c:numRef>
          </c:val>
        </c:ser>
        <c:axId val="1349046117"/>
        <c:axId val="201737434"/>
      </c:barChart>
      <c:catAx>
        <c:axId val="134904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37434"/>
      </c:catAx>
      <c:valAx>
        <c:axId val="201737434"/>
        <c:scaling>
          <c:orientation val="minMax"/>
          <c:max val="5.0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046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profit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'performance by year and month'!$A$22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month'!$B$22:$N$22</c:f>
              <c:numCache/>
            </c:numRef>
          </c:val>
          <c:smooth val="0"/>
        </c:ser>
        <c:ser>
          <c:idx val="1"/>
          <c:order val="1"/>
          <c:tx>
            <c:strRef>
              <c:f>'performance by year and month'!$A$23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month'!$B$23:$N$23</c:f>
              <c:numCache/>
            </c:numRef>
          </c:val>
          <c:smooth val="0"/>
        </c:ser>
        <c:ser>
          <c:idx val="2"/>
          <c:order val="2"/>
          <c:tx>
            <c:strRef>
              <c:f>'performance by year and month'!$A$24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month'!$B$24:$N$24</c:f>
              <c:numCache/>
            </c:numRef>
          </c:val>
          <c:smooth val="0"/>
        </c:ser>
        <c:ser>
          <c:idx val="3"/>
          <c:order val="3"/>
          <c:tx>
            <c:strRef>
              <c:f>'performance by year and month'!$A$25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month'!$B$25:$N$25</c:f>
              <c:numCache/>
            </c:numRef>
          </c:val>
          <c:smooth val="0"/>
        </c:ser>
        <c:ser>
          <c:idx val="4"/>
          <c:order val="4"/>
          <c:tx>
            <c:strRef>
              <c:f>'performance by year and month'!$A$26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month'!$B$26:$N$26</c:f>
              <c:numCache/>
            </c:numRef>
          </c:val>
          <c:smooth val="0"/>
        </c:ser>
        <c:ser>
          <c:idx val="5"/>
          <c:order val="5"/>
          <c:tx>
            <c:strRef>
              <c:f>'performance by year and month'!$A$27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month'!$B$27:$N$27</c:f>
              <c:numCache/>
            </c:numRef>
          </c:val>
          <c:smooth val="0"/>
        </c:ser>
        <c:ser>
          <c:idx val="6"/>
          <c:order val="6"/>
          <c:tx>
            <c:strRef>
              <c:f>'performance by year and month'!$A$28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month'!$B$28:$N$28</c:f>
              <c:numCache/>
            </c:numRef>
          </c:val>
          <c:smooth val="0"/>
        </c:ser>
        <c:ser>
          <c:idx val="7"/>
          <c:order val="7"/>
          <c:tx>
            <c:strRef>
              <c:f>'performance by year and month'!$A$29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month'!$B$29:$N$29</c:f>
              <c:numCache/>
            </c:numRef>
          </c:val>
          <c:smooth val="0"/>
        </c:ser>
        <c:ser>
          <c:idx val="8"/>
          <c:order val="8"/>
          <c:tx>
            <c:strRef>
              <c:f>'performance by year and month'!$A$30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month'!$B$30:$N$30</c:f>
              <c:numCache/>
            </c:numRef>
          </c:val>
          <c:smooth val="0"/>
        </c:ser>
        <c:ser>
          <c:idx val="9"/>
          <c:order val="9"/>
          <c:tx>
            <c:strRef>
              <c:f>'performance by year and month'!$A$31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month'!$B$31:$N$31</c:f>
              <c:numCache/>
            </c:numRef>
          </c:val>
          <c:smooth val="0"/>
        </c:ser>
        <c:ser>
          <c:idx val="10"/>
          <c:order val="10"/>
          <c:tx>
            <c:strRef>
              <c:f>'performance by year and month'!$A$32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month'!$B$32:$N$32</c:f>
              <c:numCache/>
            </c:numRef>
          </c:val>
          <c:smooth val="0"/>
        </c:ser>
        <c:ser>
          <c:idx val="11"/>
          <c:order val="11"/>
          <c:tx>
            <c:strRef>
              <c:f>'performance by year and month'!$A$33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'performance by year and month'!$B$21:$N$21</c:f>
            </c:strRef>
          </c:cat>
          <c:val>
            <c:numRef>
              <c:f>'performance by year and month'!$B$33:$N$33</c:f>
              <c:numCache/>
            </c:numRef>
          </c:val>
          <c:smooth val="0"/>
        </c:ser>
        <c:axId val="1173743541"/>
        <c:axId val="1939425236"/>
      </c:lineChart>
      <c:catAx>
        <c:axId val="117374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12741047252308238"/>
              <c:y val="0.9255011135857462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425236"/>
      </c:catAx>
      <c:valAx>
        <c:axId val="1939425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743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Chart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9525</xdr:rowOff>
    </xdr:from>
    <xdr:ext cx="4248150" cy="3267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057775" cy="3267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942975</xdr:colOff>
      <xdr:row>16</xdr:row>
      <xdr:rowOff>180975</xdr:rowOff>
    </xdr:from>
    <xdr:ext cx="4429125" cy="2743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952500</xdr:colOff>
      <xdr:row>16</xdr:row>
      <xdr:rowOff>180975</xdr:rowOff>
    </xdr:from>
    <xdr:ext cx="4429125" cy="27432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180975</xdr:rowOff>
    </xdr:from>
    <xdr:ext cx="4429125" cy="27432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628650</xdr:colOff>
      <xdr:row>0</xdr:row>
      <xdr:rowOff>0</xdr:rowOff>
    </xdr:from>
    <xdr:ext cx="6410325" cy="3267075"/>
    <xdr:pic>
      <xdr:nvPicPr>
        <xdr:cNvPr id="1105216264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14</xdr:row>
      <xdr:rowOff>123825</xdr:rowOff>
    </xdr:from>
    <xdr:ext cx="4429125" cy="2743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123825</xdr:colOff>
      <xdr:row>14</xdr:row>
      <xdr:rowOff>123825</xdr:rowOff>
    </xdr:from>
    <xdr:ext cx="4429125" cy="2743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952500</xdr:colOff>
      <xdr:row>14</xdr:row>
      <xdr:rowOff>123825</xdr:rowOff>
    </xdr:from>
    <xdr:ext cx="4429125" cy="2743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0</xdr:row>
      <xdr:rowOff>161925</xdr:rowOff>
    </xdr:from>
    <xdr:ext cx="4276725" cy="26479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1066800</xdr:colOff>
      <xdr:row>14</xdr:row>
      <xdr:rowOff>9525</xdr:rowOff>
    </xdr:from>
    <xdr:ext cx="7753350" cy="30480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0</xdr:row>
      <xdr:rowOff>57150</xdr:rowOff>
    </xdr:from>
    <xdr:ext cx="7153275" cy="2724150"/>
    <xdr:pic>
      <xdr:nvPicPr>
        <xdr:cNvPr id="1272574838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14</xdr:row>
      <xdr:rowOff>95250</xdr:rowOff>
    </xdr:from>
    <xdr:ext cx="7153275" cy="3600450"/>
    <xdr:pic>
      <xdr:nvPicPr>
        <xdr:cNvPr id="2006355456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9525</xdr:rowOff>
    </xdr:from>
    <xdr:ext cx="5715000" cy="3533775"/>
    <xdr:pic>
      <xdr:nvPicPr>
        <xdr:cNvPr id="910939081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7</xdr:row>
      <xdr:rowOff>171450</xdr:rowOff>
    </xdr:from>
    <xdr:ext cx="5286375" cy="3695700"/>
    <xdr:pic>
      <xdr:nvPicPr>
        <xdr:cNvPr id="955469090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0</xdr:row>
      <xdr:rowOff>47625</xdr:rowOff>
    </xdr:from>
    <xdr:ext cx="7029450" cy="3143250"/>
    <xdr:pic>
      <xdr:nvPicPr>
        <xdr:cNvPr id="1578655367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33</xdr:row>
      <xdr:rowOff>180975</xdr:rowOff>
    </xdr:from>
    <xdr:ext cx="6915150" cy="37338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331" sheet="events"/>
  </cacheSource>
  <cacheFields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product 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month number" numFmtId="0">
      <sharedItems containsSemiMixedTypes="0" containsString="0" containsNumber="1" containsInteger="1">
        <n v="10.0"/>
        <n v="8.0"/>
        <n v="7.0"/>
        <n v="5.0"/>
        <n v="3.0"/>
        <n v="4.0"/>
        <n v="11.0"/>
        <n v="9.0"/>
        <n v="1.0"/>
        <n v="2.0"/>
        <n v="6.0"/>
        <n v="12.0"/>
      </sharedItems>
    </cacheField>
    <cacheField name="month of order" numFmtId="0">
      <sharedItems>
        <s v="Oct"/>
        <s v="Aug"/>
        <s v="Jul"/>
        <s v="May"/>
        <s v="Mar"/>
        <s v="Apr"/>
        <s v="Nov"/>
        <s v="Sep"/>
        <s v="Jan"/>
        <s v="Feb"/>
        <s v="Jun"/>
        <s v="Dec"/>
      </sharedItems>
    </cacheField>
    <cacheField name="day of order" numFmtId="3">
      <sharedItems containsSemiMixedTypes="0" containsString="0" containsNumber="1" containsInteger="1">
        <n v="8.0"/>
        <n v="11.0"/>
        <n v="18.0"/>
        <n v="13.0"/>
        <n v="15.0"/>
        <n v="20.0"/>
        <n v="12.0"/>
        <n v="19.0"/>
        <n v="23.0"/>
        <n v="22.0"/>
        <n v="27.0"/>
        <n v="1.0"/>
        <n v="2.0"/>
        <n v="28.0"/>
        <n v="26.0"/>
        <n v="9.0"/>
        <n v="29.0"/>
        <n v="3.0"/>
        <n v="4.0"/>
        <n v="24.0"/>
        <n v="14.0"/>
        <n v="21.0"/>
        <n v="10.0"/>
        <n v="7.0"/>
        <n v="25.0"/>
        <n v="16.0"/>
        <n v="6.0"/>
        <n v="30.0"/>
        <n v="17.0"/>
        <n v="5.0"/>
        <n v="31.0"/>
      </sharedItems>
    </cacheField>
    <cacheField name="year of order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time of shipment" numFmtId="3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e v="#N/A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country" numFmtId="0">
      <sharedItems containsBlank="1">
        <s v="Norway"/>
        <s v="Serbia"/>
        <m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 containsBlank="1">
        <s v="Europe"/>
        <m/>
        <s v="Asia"/>
      </sharedItems>
    </cacheField>
    <cacheField name="subregion" numFmtId="0">
      <sharedItems containsBlank="1">
        <s v="Northern Europe"/>
        <s v="Southern Europe"/>
        <m/>
        <s v="Eastern Europe"/>
        <s v="Western Europe"/>
        <s v="Western Asia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5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165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5">
      <sharedItems containsSemiMixedTypes="0" containsString="0" containsNumber="1"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5">
      <sharedItems containsSemiMixedTypes="0" containsString="0" containsNumber="1">
        <n v="-99695.23000000001"/>
        <n v="-1948460.12"/>
        <n v="3094222.4699999997"/>
        <n v="-115163.03999999998"/>
        <n v="-802513.6000000001"/>
        <n v="1399336.0400000003"/>
        <n v="-339327.33"/>
        <n v="-155685.59999999998"/>
        <n v="482794.5099999999"/>
        <n v="-402946.3400000001"/>
        <n v="2112983.14"/>
        <n v="439789.38"/>
        <n v="-1060040.22"/>
        <n v="1463515.8399999999"/>
        <n v="-1596982.8400000003"/>
        <n v="2074998.1599999997"/>
        <n v="2127999.28"/>
        <n v="-240985.67999999993"/>
        <n v="-2075027.7899999998"/>
        <n v="3819600.87"/>
        <n v="-49348.17"/>
        <n v="112516.96"/>
        <n v="-861245.63"/>
        <n v="1409754.92"/>
        <n v="-3812868.7900000005"/>
        <n v="4756179.0"/>
        <n v="-257304.62999999998"/>
        <n v="155800.34000000008"/>
        <n v="412725.28"/>
        <n v="277731.81000000006"/>
        <n v="-171284.7"/>
        <n v="246851.11000000002"/>
        <n v="26563.979999999996"/>
        <n v="-90930.23"/>
        <n v="120269.51000000002"/>
        <n v="140786.08000000002"/>
        <n v="-166145.65999999997"/>
        <n v="-84376.18999999994"/>
        <n v="-258229.05999999994"/>
        <n v="1544384.38"/>
        <n v="-696790.22"/>
        <n v="1186286.5700000003"/>
        <n v="-415230.13999999996"/>
        <n v="881606.03"/>
        <n v="936016.78"/>
        <n v="-1178093.64"/>
        <n v="432208.4800000002"/>
        <n v="612867.28"/>
        <n v="2295850.6799999997"/>
        <n v="248377.39"/>
        <n v="28454.300000000017"/>
        <n v="152238.67"/>
        <n v="-395481.98000000004"/>
        <n v="-357653.68000000005"/>
        <n v="826920.8400000001"/>
        <n v="581793.0700000001"/>
        <n v="-2320991.39"/>
        <n v="3545612.54"/>
        <n v="-69978.64000000001"/>
        <n v="1042436.36"/>
        <n v="408465.74000000005"/>
        <n v="83848.54000000004"/>
        <n v="533205.2200000001"/>
        <n v="-315331.10000000003"/>
        <n v="553423.15"/>
        <n v="439478.6"/>
        <n v="-755642.49"/>
        <n v="1681600.5499999998"/>
        <n v="476099.63"/>
        <n v="-142440.80000000002"/>
        <n v="-1070162.54"/>
        <n v="2042102.59"/>
        <n v="-1053079.44"/>
        <n v="-2846635.1799999997"/>
        <n v="5031497.25"/>
        <n v="864784.7"/>
        <n v="-264798.16000000003"/>
        <n v="174988.58999999997"/>
        <n v="-247863.93999999994"/>
        <n v="1117082.9299999997"/>
        <n v="1756205.2"/>
        <n v="-1125616.15"/>
        <n v="-511031.90000000014"/>
        <n v="1112402.9200000004"/>
        <n v="1536261.2199999997"/>
        <n v="1195181.53"/>
        <n v="-13221.530000000028"/>
        <n v="928157.9199999999"/>
        <n v="-22668.46"/>
        <n v="-628902.51"/>
        <n v="1046006.08"/>
        <n v="-274936.42000000004"/>
        <n v="8347.960000000196"/>
        <n v="1285738.4"/>
        <n v="537467.96"/>
        <n v="-3180554.02"/>
        <n v="-251455.33000000054"/>
        <n v="4505799.149999999"/>
        <n v="583054.6799999999"/>
        <n v="-544986.2100000001"/>
        <n v="785778.77"/>
        <n v="208750.06"/>
        <n v="-660922.02"/>
        <n v="-1149580.0000000002"/>
        <n v="424216.53000000026"/>
        <n v="2857048.5999999996"/>
        <n v="-4165340.8000000007"/>
        <n v="1229869.9500000002"/>
        <n v="3903356.6400000006"/>
        <n v="729465.29"/>
        <n v="851871.63"/>
        <n v="740129.8400000001"/>
        <n v="-290151.13"/>
        <n v="615129.07"/>
        <n v="622471.2"/>
        <n v="-1323540.94"/>
        <n v="-2051498.1999999997"/>
        <n v="5542634.499999999"/>
        <n v="1083224.56"/>
        <n v="323864.13"/>
        <n v="-628525.8300000001"/>
        <n v="806904.4900000001"/>
        <n v="595392.0"/>
        <n v="-574908.2000000001"/>
        <n v="-3094120.72"/>
        <n v="5125951.44"/>
        <n v="-2296196.18"/>
        <n v="2560816.23"/>
        <n v="-61108.53999999998"/>
        <n v="696643.3599999999"/>
        <n v="385361.26"/>
        <n v="-606344.1900000002"/>
        <n v="-2591475.7800000003"/>
        <n v="4845822.34"/>
        <n v="331544.72000000003"/>
        <n v="-274148.34"/>
        <n v="-3241228.46"/>
        <n v="4443210.4"/>
        <n v="491590.7199999999"/>
        <n v="-248999.08000000007"/>
        <n v="825484.96"/>
        <n v="-383317.82999999996"/>
        <n v="801117.1200000001"/>
        <n v="-96791.96000000002"/>
        <n v="352200.68000000005"/>
        <n v="272847.32"/>
        <n v="-278825.15"/>
        <n v="-53181.31999999995"/>
        <n v="750339.9199999999"/>
        <n v="15324.64"/>
        <n v="-41123.14"/>
        <n v="16272.440000000017"/>
        <n v="-43001.26000000001"/>
        <n v="-424490.45"/>
        <n v="1187149.46"/>
        <n v="39418.84"/>
        <n v="89803.32000000004"/>
        <n v="-1068636.5999999999"/>
        <n v="1534146.7799999998"/>
        <n v="-1000268.2700000001"/>
        <n v="1594186.2300000004"/>
        <n v="-1422367.3299999996"/>
        <n v="3654276.5"/>
        <n v="25948.99000000005"/>
        <n v="-811419.8600000001"/>
        <n v="1933889.37"/>
        <n v="-1928538.65"/>
        <n v="3092653.28"/>
        <n v="-4092389.6000000006"/>
        <n v="5470711.82"/>
        <n v="-1721655.1099999999"/>
        <n v="3508672.7199999997"/>
        <n v="-1982534.7200000002"/>
        <n v="2933607.6"/>
        <n v="-3068047.5600000005"/>
        <n v="3601027.0400000005"/>
        <n v="-230702.96999999997"/>
        <n v="168851.33999999997"/>
        <n v="654674.64"/>
        <n v="311159.19"/>
        <n v="-297957.3300000001"/>
        <n v="592243.4099999999"/>
        <n v="208835.55"/>
        <n v="-4007019.68"/>
        <n v="4709308.550000001"/>
        <n v="-647530.8799999999"/>
        <n v="-1758080.6099999999"/>
        <n v="3779929.09"/>
        <n v="174793.59999999998"/>
        <n v="-678970.4599999998"/>
        <n v="1468168.51"/>
        <n v="365135.23000000004"/>
        <n v="-3568219.95"/>
        <n v="4078476.18"/>
        <n v="-1581989.2000000002"/>
        <n v="2632010.6399999997"/>
        <n v="-6760.02"/>
        <n v="-191729.31"/>
        <n v="150044.81000000003"/>
        <n v="678448.1599999999"/>
        <n v="-419249.61999999994"/>
        <n v="298059.7"/>
        <n v="-4155027.97"/>
        <n v="5597515.63"/>
        <n v="-1379104.88"/>
        <n v="3519402.88"/>
        <n v="-3758426.4000000004"/>
        <n v="5605213.48"/>
        <n v="-65859.37"/>
        <n v="-3806034.89"/>
        <n v="1265957.4900000002"/>
        <n v="4216583.97"/>
        <n v="1482948.9300000002"/>
        <n v="80449.37"/>
        <n v="-4644367.0600000005"/>
        <n v="5686324.07"/>
        <n v="-13419.120000000024"/>
        <n v="-42555.70999999999"/>
        <n v="196429.38000000003"/>
        <n v="-265637.0899999999"/>
        <n v="889936.7599999999"/>
        <n v="92857.05"/>
        <n v="-56287.28"/>
        <n v="-141999.0"/>
        <n v="-801963.7399999999"/>
        <n v="-2675411.6"/>
        <n v="5248897.08"/>
        <n v="767817.78"/>
        <n v="23656.32"/>
        <n v="-1145.4400000000005"/>
        <n v="-2538987.0"/>
        <n v="2668187.4799999995"/>
        <n v="591221.92"/>
        <n v="359819.10000000003"/>
        <n v="278808.60000000003"/>
        <n v="-4896461.48"/>
        <n v="5984317.92"/>
        <n v="-1139397.44"/>
        <n v="-422512.11000000034"/>
        <n v="2783273.8500000006"/>
        <n v="-1029022.1199999999"/>
        <n v="1951033.7599999998"/>
        <n v="-970061.28"/>
        <n v="2721107.3200000003"/>
        <n v="-283244.04000000004"/>
        <n v="429199.93"/>
        <n v="-260631.90000000002"/>
        <n v="-496314.29999999993"/>
        <n v="1970501.32"/>
        <n v="-2586881.3200000003"/>
        <n v="3618118.77"/>
        <n v="-422115.84"/>
        <n v="626922.7600000001"/>
        <n v="-203107.43"/>
        <n v="168029.12"/>
        <n v="485445.42000000004"/>
        <n v="-1589401.79"/>
        <n v="799248.2999999998"/>
        <n v="2464774.4699999997"/>
        <n v="-1346025.83"/>
        <n v="4216823.0"/>
        <n v="-451195.88"/>
        <n v="966771.6400000001"/>
        <n v="-546919.83"/>
        <n v="232525.09000000003"/>
        <n v="409240.66999999987"/>
        <n v="157198.33000000002"/>
        <n v="464533.36"/>
        <n v="-221031.09999999998"/>
        <n v="1252168.5599999998"/>
        <n v="-85366.83000000002"/>
        <n v="-1227317.04"/>
        <n v="2121591.2800000003"/>
        <n v="-48124.899999999965"/>
        <n v="-165596.28000000003"/>
        <n v="1462604.5599999998"/>
        <n v="139641.96000000002"/>
        <n v="-382307.74999999994"/>
        <n v="544677.7000000001"/>
        <n v="1158140.07"/>
        <n v="-529888.69"/>
        <n v="-1088785.0099999998"/>
        <n v="2343015.7199999997"/>
        <n v="1114097.95"/>
        <n v="272469.02"/>
        <n v="-977977.99"/>
        <n v="-2956121.840000001"/>
        <n v="5536271.950000001"/>
        <n v="-2477067.03"/>
        <n v="1578181.2799999998"/>
        <n v="3568554.76"/>
        <n v="-276926.3"/>
        <n v="146414.81"/>
        <n v="429992.12"/>
        <n v="-933108.6799999999"/>
        <n v="1262435.08"/>
        <n v="526015.2000000001"/>
        <n v="-1390178.0699999998"/>
        <n v="1752186.8800000001"/>
        <n v="789840.69"/>
        <n v="60233.779999999984"/>
        <n v="-1960549.57"/>
        <n v="3789454.6799999997"/>
        <n v="-243048.33000000002"/>
        <n v="-820625.1399999999"/>
        <n v="1697815.1700000002"/>
        <n v="626185.6100000001"/>
        <n v="-308753.04000000004"/>
        <n v="-348811.92000000004"/>
        <n v="1175666.0899999999"/>
        <n v="-935618.7899999999"/>
        <n v="2362409.8000000003"/>
        <n v="14399.91000000001"/>
        <n v="-83728.83999999997"/>
        <n v="-1164605.8599999999"/>
        <n v="1852692.3699999999"/>
        <n v="-146754.78000000003"/>
        <n v="259661.89"/>
        <n v="18144.06"/>
        <n v="-2374709.94"/>
        <n v="3899696.4"/>
        <n v="-197585.72999999998"/>
        <n v="266347.51"/>
        <n v="-836299.8499999999"/>
        <n v="1476854.85"/>
        <n v="236409.45000000004"/>
        <n v="-2901609.22"/>
        <n v="2037897.6000000006"/>
        <n v="2139608.96"/>
        <n v="-706429.7399999999"/>
        <n v="1846697.02"/>
        <n v="-446265.78"/>
        <n v="1400658.0499999998"/>
        <n v="-2873584.31"/>
        <n v="3812750.73"/>
        <n v="-822041.49"/>
        <n v="1537696.2599999998"/>
        <n v="-1115481.1999999997"/>
        <n v="2896230.84"/>
        <n v="-1607381.2799999998"/>
        <n v="2252449.44"/>
        <n v="156803.80000000005"/>
        <n v="-2415704.4800000004"/>
        <n v="4635235.36"/>
        <n v="-1579399.4499999997"/>
        <n v="3769748.26"/>
        <n v="202351.65999999997"/>
        <n v="623503.58"/>
        <n v="-2348000.94"/>
        <n v="1612981.1800000002"/>
        <n v="-681167.3600000003"/>
        <n v="5844744.57"/>
        <n v="-2630210.3400000003"/>
        <n v="3096924.18"/>
        <n v="-1747897.0600000003"/>
        <n v="39632.5700000003"/>
        <n v="3985975.9"/>
        <n v="-1174751.8099999998"/>
        <n v="1042143.69"/>
        <n v="-253964.30999999994"/>
        <n v="1483159.76"/>
        <n v="-14098.079999999958"/>
        <n v="-2245552.94"/>
        <n v="2467319.54"/>
        <n v="1742063.8299999998"/>
        <n v="337424.3"/>
        <n v="-410701.86"/>
        <n v="518000.56"/>
        <n v="-416301.20999999996"/>
        <n v="335832.5599999998"/>
        <n v="1696981.11"/>
        <n v="177157.02000000002"/>
        <n v="-16320.359999999997"/>
        <n v="-434387.61000000004"/>
        <n v="520726.73"/>
        <n v="-1082783.83"/>
        <n v="1836425.31"/>
        <n v="-255700.57000000004"/>
        <n v="491651.43999999994"/>
        <n v="310259.3700000001"/>
        <n v="591012.5499999999"/>
        <n v="-28953.49000000005"/>
        <n v="556307.76"/>
        <n v="132051.2"/>
        <n v="618928.36"/>
        <n v="-131679.03999999998"/>
        <n v="18051.400000000023"/>
        <n v="-25303.899999999907"/>
        <n v="2102176.97"/>
        <n v="235434.64999999994"/>
        <n v="165018.22"/>
        <n v="-1564322.4899999998"/>
        <n v="1558151.94"/>
        <n v="-2841033.62"/>
        <n v="3960987.9299999997"/>
        <n v="2179470.33"/>
        <n v="1038753.16"/>
        <n v="-247007.94000000003"/>
        <n v="566976.66"/>
        <n v="-152716.13"/>
        <n v="479162.08"/>
        <n v="-2200591.29"/>
        <n v="3750505.86"/>
        <n v="-76295.10000000003"/>
        <n v="202383.14"/>
        <n v="920540.5499999999"/>
        <n v="-2870224.1799999997"/>
        <n v="3725020.5699999994"/>
        <n v="-216934.33999999997"/>
        <n v="1244522.0"/>
        <n v="1052358.7999999998"/>
        <n v="-134502.66"/>
        <n v="-28863.920000000042"/>
        <n v="394660.74000000005"/>
        <n v="58638.75"/>
        <n v="950038.44"/>
        <n v="-975935.9500000001"/>
        <n v="468144.05000000016"/>
        <n v="-1267663.97"/>
        <n v="3748171.19"/>
        <n v="-235994.33999999997"/>
        <n v="1176973.86"/>
        <n v="146401.46000000002"/>
        <n v="-114015.05000000005"/>
        <n v="602557.95"/>
        <n v="-294278.27999999997"/>
        <n v="-962365.1200000002"/>
        <n v="1792799.75"/>
        <n v="772323.7599999999"/>
        <n v="102678.56000000006"/>
        <n v="737269.7499999999"/>
        <n v="504390.93000000005"/>
        <n v="-55928.25"/>
        <n v="204766.69"/>
        <n v="-146333.19000000003"/>
        <n v="625312.88"/>
        <n v="-450629.22000000003"/>
        <n v="-3129248.96"/>
        <n v="5132267.8"/>
        <n v="-78172.67"/>
        <n v="159308.24"/>
        <n v="-181591.43000000005"/>
        <n v="434033.9"/>
        <n v="521385.25000000006"/>
        <n v="-235195.17999999996"/>
        <n v="-651026.7699999998"/>
        <n v="1164699.8900000001"/>
        <n v="-136334.46000000008"/>
        <n v="1184559.78"/>
        <n v="893160.12"/>
        <n v="-598144.02"/>
        <n v="409027.52000000014"/>
        <n v="212651.81999999995"/>
        <n v="1097182.63"/>
        <n v="627685.74"/>
        <n v="-471194.93999999994"/>
        <n v="-153692.28000000003"/>
        <n v="2033322.2400000002"/>
        <n v="476439.9600000001"/>
        <n v="-478600.77"/>
        <n v="454114.23999999993"/>
        <n v="387013.27999999997"/>
        <n v="484300.67000000004"/>
        <n v="-2260114.1300000004"/>
        <n v="2969892.99"/>
        <n v="-4618812.7700000005"/>
        <n v="3780744.0500000007"/>
        <n v="2319503.2"/>
        <n v="208965.61999999994"/>
        <n v="-223678.8600000001"/>
        <n v="1194797.96"/>
        <n v="-134628.25"/>
        <n v="-819192.8899999999"/>
        <n v="1584190.72"/>
        <n v="-389942.2799999999"/>
        <n v="764737.12"/>
        <n v="522811.9"/>
        <n v="-169159.06"/>
        <n v="-768256.7699999998"/>
        <n v="-379470.7799999998"/>
        <n v="-687404.1400000001"/>
        <n v="2695271.65"/>
        <n v="2256983.61"/>
        <n v="485691.36"/>
        <n v="301615.2"/>
        <n v="-155207.94999999998"/>
        <n v="-180086.92999999993"/>
        <n v="-3228449.72"/>
        <n v="4494883.890000001"/>
        <n v="426505.6800000001"/>
        <n v="424560.42000000004"/>
        <n v="196524.27999999997"/>
        <n v="871925.55"/>
        <n v="-11332.52999999997"/>
        <n v="-3155721.24"/>
        <n v="4024568.1700000004"/>
        <n v="-497792.25999999995"/>
        <n v="1047840.1599999999"/>
        <n v="274459.20000000007"/>
        <n v="167274.25000000003"/>
        <n v="91976.24"/>
        <n v="-2790019.64"/>
        <n v="2708504.3099999996"/>
        <n v="74217.78000000003"/>
        <n v="569459.31"/>
        <n v="278381.03"/>
        <n v="-88498.07999999999"/>
        <n v="-507744.14"/>
        <n v="1646720.7199999997"/>
        <n v="-79831.01999999999"/>
        <n v="-942133.5"/>
        <n v="1372705.44"/>
        <n v="940015.34"/>
        <n v="-719643.4199999999"/>
        <n v="206586.34000000008"/>
        <n v="-439582.00000000023"/>
        <n v="2361862.55"/>
        <n v="-1310369.86"/>
        <n v="3161679.96"/>
        <n v="-390548.24"/>
        <n v="729772.88"/>
        <n v="868126.84"/>
        <n v="-54924.020000000004"/>
        <n v="-1623451.0799999998"/>
        <n v="1215067.56"/>
        <n v="249557.81000000006"/>
        <n v="269880.09999999986"/>
        <n v="1568158.4400000002"/>
        <n v="1652725.52"/>
        <n v="-72341.22"/>
        <n v="150813.15"/>
        <n v="-402771.22000000003"/>
        <n v="480214.61"/>
        <n v="-2314412.2700000005"/>
        <n v="1317062.1400000001"/>
        <n v="1081000.45"/>
        <n v="-1571589.6899999997"/>
        <n v="2738491.8600000003"/>
        <n v="1865473.6400000001"/>
        <n v="24080.370000000003"/>
        <n v="-23011.11999999998"/>
        <n v="-201237.79"/>
        <n v="-2486445.55"/>
        <n v="3233039.99"/>
        <n v="471197.07"/>
        <n v="846449.62"/>
        <n v="-50464.28999999999"/>
        <n v="-360415.91000000003"/>
        <n v="463414.84"/>
        <n v="-505372.07999999996"/>
        <n v="-2517920.16"/>
        <n v="4835497.38"/>
        <n v="774254.18"/>
        <n v="-1621230.22"/>
        <n v="883933.54"/>
        <n v="1748261.13"/>
        <n v="-238727.35"/>
        <n v="12572.600000000093"/>
        <n v="1193550.72"/>
        <n v="118706.48000000001"/>
        <n v="-224105.87999999998"/>
        <n v="359596.32"/>
        <n v="-665.1599999999962"/>
        <n v="-161112.05000000002"/>
        <n v="405037.27999999997"/>
        <n v="-162572.88"/>
        <n v="728824.07"/>
        <n v="13828.149999999994"/>
        <n v="-686144.55"/>
        <n v="1214600.87"/>
        <n v="377556.57999999996"/>
        <n v="-252202.07000000004"/>
        <n v="-303761.73"/>
        <n v="1558487.1199999999"/>
        <n v="-712269.12"/>
        <n v="332219.2799999999"/>
        <n v="1231111.48"/>
        <n v="-1120973.5599999998"/>
        <n v="2170955.7199999997"/>
        <n v="-3207443.08"/>
        <n v="3387862.4499999997"/>
        <n v="-4422738.36"/>
        <n v="6316307.760000001"/>
        <n v="-312328.47"/>
        <n v="-1959622.98"/>
        <n v="3770897.73"/>
        <n v="524677.98"/>
        <n v="-10272.09"/>
        <n v="-185473.2"/>
        <n v="-158478.35999999993"/>
        <n v="91783.08000000007"/>
        <n v="-2332922.52"/>
        <n v="4445814.99"/>
        <n v="575574.78"/>
        <n v="-373622.43"/>
        <n v="1098847.66"/>
        <n v="-95546.09000000001"/>
        <n v="-204132.86"/>
        <n v="323678.7199999999"/>
        <n v="-997125.56"/>
        <n v="-64983.03000000003"/>
        <n v="290531.6200000001"/>
        <n v="3123702.54"/>
        <n v="507318.89"/>
        <n v="-486527.45"/>
        <n v="570520.23"/>
        <n v="332529.12"/>
        <n v="-322447.19999999995"/>
        <n v="1279429.9000000001"/>
        <n v="-129897.28000000003"/>
        <n v="603345.6900000001"/>
        <n v="333600.85"/>
        <n v="6998.360000000015"/>
        <n v="319105.54000000004"/>
        <n v="-3011812.74"/>
        <n v="280112.3300000001"/>
        <n v="3771450.05"/>
        <n v="-1412268.18"/>
        <n v="2781893.73"/>
        <n v="-1477191.3599999999"/>
        <n v="2232722.31"/>
        <n v="-1660116.7499999998"/>
        <n v="3099958.4699999997"/>
        <n v="-359568.64"/>
        <n v="-2366879.27"/>
        <n v="2397289.1199999996"/>
        <n v="54753.85000000009"/>
        <n v="1767207.98"/>
        <n v="-855034.38"/>
        <n v="440257.26000000024"/>
        <n v="1040486.5799999998"/>
        <n v="-221100.0"/>
        <n v="285854.10000000003"/>
        <n v="534472.6399999999"/>
        <n v="-3937062.08"/>
        <n v="2909529.98"/>
        <n v="3094797.9000000004"/>
        <n v="1089385.84"/>
        <n v="365886.7199999999"/>
        <n v="352742.5099999999"/>
        <n v="738616.78"/>
        <n v="31592.74000000005"/>
        <n v="340761.49000000005"/>
        <n v="414456.77"/>
        <n v="-1569798.3900000001"/>
        <n v="847178.4600000002"/>
        <n v="1038688.0"/>
        <n v="-962281.6699999997"/>
        <n v="3830014.32"/>
        <n v="812453.16"/>
        <n v="-284781.27"/>
        <n v="126388.91000000003"/>
        <n v="191300.31"/>
        <n v="257525.31000000003"/>
        <n v="-296512.62"/>
        <n v="-1777625.0899999999"/>
        <n v="1145078.83"/>
        <n v="-1293611.5200000005"/>
        <n v="4521365.73"/>
        <n v="1351758.61"/>
        <n v="-54216.73"/>
        <n v="-178566.60000000003"/>
        <n v="372662.04000000004"/>
        <n v="144323.44"/>
        <n v="198834.71999999997"/>
        <n v="-1822595.7199999997"/>
        <n v="3320844.7399999998"/>
        <n v="-708289.0299999999"/>
        <n v="-1606152.33"/>
        <n v="2669155.32"/>
        <n v="673066.39"/>
        <n v="-1965814.7899999998"/>
        <n v="2554456.38"/>
        <n v="-1431233.0300000003"/>
        <n v="2029447.9"/>
        <n v="177568.36000000002"/>
        <n v="235098.17999999996"/>
        <n v="214920.68000000005"/>
        <n v="-499180.52999999997"/>
        <n v="-844927.3599999999"/>
        <n v="-92098.01000000024"/>
        <n v="-716944.02"/>
        <n v="3436739.5500000003"/>
        <n v="1406745.0599999998"/>
        <n v="729627.74"/>
        <n v="-1703184.31"/>
        <n v="2774435.9299999997"/>
        <n v="1227489.81"/>
        <n v="3814.320000000065"/>
        <n v="715383.46"/>
        <n v="-153198.20999999996"/>
        <n v="155471.42000000004"/>
        <n v="267495.25"/>
        <n v="8772.069999999949"/>
        <n v="476973.20999999996"/>
        <n v="413282.82"/>
        <n v="-438138.32"/>
        <n v="102286.44000000006"/>
        <n v="735956.4900000001"/>
        <n v="55036.06"/>
        <n v="-153438.95"/>
        <n v="298061.25"/>
        <n v="-2348985.58"/>
        <n v="3152736.8"/>
        <n v="851582.15"/>
        <n v="-204020.8999999999"/>
        <n v="-950698.7600000002"/>
        <n v="3544347.13"/>
        <n v="-3908981.85"/>
        <n v="4938779.1899999995"/>
        <n v="447793.1500000001"/>
        <n v="135644.97999999986"/>
        <n v="447578.21"/>
        <n v="273568.24"/>
        <n v="-3021880.04"/>
        <n v="1398260.7600000002"/>
        <n v="3842386.1700000004"/>
        <n v="-1819550.1"/>
        <n v="4030033.15"/>
        <n v="-2412564.86"/>
        <n v="3020435.17"/>
        <n v="-448513.26"/>
        <n v="869868.78"/>
        <n v="-1056609.42"/>
        <n v="1175089.98"/>
        <n v="937364.71"/>
        <n v="105899.96999999999"/>
        <n v="-2633045.1700000004"/>
        <n v="2714697.93"/>
        <n v="384516.0"/>
        <n v="-284856.3800000001"/>
        <n v="3766.8599999998696"/>
        <n v="-126292.63999999966"/>
        <n v="2962331.2"/>
        <n v="308062.80000000005"/>
        <n v="385880.0800000001"/>
        <n v="152731.75"/>
        <n v="-4557025.640000001"/>
        <n v="6076076.44"/>
        <n v="202321.88"/>
        <n v="158034.44"/>
        <n v="23404.149999999965"/>
        <n v="255522.84000000003"/>
        <n v="501785.45000000007"/>
        <n v="-894948.97"/>
        <n v="1041699.58"/>
        <n v="660619.2000000001"/>
        <n v="627025.3500000001"/>
        <n v="-121572.33000000002"/>
        <n v="-356141.36"/>
        <n v="1131594.27"/>
        <n v="249022.84000000008"/>
        <n v="-86490.54999999993"/>
        <n v="-1230555.0"/>
        <n v="1106007.42"/>
        <n v="1401896.1600000001"/>
        <n v="701609.2800000001"/>
        <n v="160298.78000000003"/>
        <n v="61546.95000000001"/>
        <n v="-166.24999999999272"/>
        <n v="37530.01"/>
        <n v="-55171.41999999999"/>
        <n v="61917.96000000002"/>
        <n v="255968.40000000002"/>
        <n v="-1459574.1"/>
        <n v="629562.5899999999"/>
        <n v="1356460.9800000002"/>
        <n v="-201565.22999999998"/>
        <n v="-177828.73999999987"/>
        <n v="1001155.08"/>
        <n v="170591.61000000002"/>
        <n v="-250822.68000000002"/>
        <n v="-667174.8699999999"/>
        <n v="1594244.5599999998"/>
        <n v="-3385666.84"/>
        <n v="4923654.9799999995"/>
        <n v="-458075.86"/>
        <n v="814317.92"/>
        <n v="-2662368.42"/>
        <n v="2468655.54"/>
        <n v="900170.6400000001"/>
        <n v="-1975472.6"/>
        <n v="3534439.0"/>
        <n v="64323.29000000001"/>
        <n v="-382849.30000000005"/>
        <n v="302996.92000000004"/>
        <n v="-1493861.38"/>
        <n v="-460048.6200000001"/>
        <n v="402012.81000000006"/>
        <n v="4870163.43"/>
        <n v="342544.52"/>
        <n v="-3842671.5300000003"/>
        <n v="3626378.1100000003"/>
        <n v="751384.6000000001"/>
        <n v="988892.3199999998"/>
        <n v="-133582.72000000003"/>
        <n v="61215.79000000004"/>
        <n v="1669823.8699999999"/>
        <n v="55709.38000000002"/>
        <n v="-1051659.71"/>
        <n v="786269.6399999999"/>
        <n v="-1465323.5099999998"/>
        <n v="2782044.7199999997"/>
        <n v="45422.740000000005"/>
        <n v="-461528.69999999995"/>
        <n v="38275.20000000007"/>
        <n v="328602.33999999997"/>
        <n v="-1019653.5499999998"/>
        <n v="2036279.59"/>
        <n v="814278.9199999999"/>
        <n v="260598.53"/>
        <n v="-152218.29"/>
        <n v="668881.12"/>
        <n v="-178753.5"/>
        <n v="223159.58"/>
        <n v="-171992.02000000002"/>
        <n v="65628.00999999995"/>
        <n v="288700.7"/>
        <n v="-1345454.2099999997"/>
        <n v="1590424.5999999999"/>
        <n v="2290589.6599999997"/>
        <n v="-655888.39"/>
        <n v="1256313.77"/>
        <n v="35195.57"/>
        <n v="22502.980000000003"/>
        <n v="-51214.25"/>
        <n v="-913617.74"/>
        <n v="-1377319.6000000003"/>
        <n v="3812710.72"/>
        <n v="-2123468.16"/>
        <n v="2396290.7"/>
        <n v="257336.49000000005"/>
        <n v="-1666353.8299999998"/>
        <n v="803273.5799999998"/>
        <n v="1433663.75"/>
        <n v="-190414.98000000004"/>
        <n v="-3865193.940000001"/>
        <n v="4732271.840000001"/>
        <n v="526252.29"/>
        <n v="-607091.38"/>
        <n v="1044771.7"/>
        <n v="145696.49"/>
        <n v="-376097.5099999999"/>
        <n v="953749.9199999999"/>
        <n v="276653.9199999999"/>
        <n v="677215.3700000001"/>
        <n v="-209678.12"/>
        <n v="-321197.1199999999"/>
        <n v="1921893.43"/>
        <n v="-282246.05999999994"/>
        <n v="1598748.5599999998"/>
        <n v="250571.52000000002"/>
        <n v="-210762.18"/>
        <n v="231519.54"/>
        <n v="-2562578.9800000004"/>
        <n v="2648867.3400000003"/>
        <n v="-144273.56000000006"/>
        <n v="1312021.7"/>
        <n v="1024877.7799999999"/>
        <n v="-3846377.93"/>
        <n v="510196.3499999996"/>
        <n v="942903.5800000001"/>
        <n v="6365891.569999999"/>
        <n v="166536.87999999998"/>
        <n v="-3882.24"/>
        <n v="-1389860.37"/>
        <n v="-1647307.5599999998"/>
        <n v="3725569.3"/>
        <n v="29922.300000000003"/>
        <n v="-3030323.8"/>
        <n v="3470979.88"/>
        <n v="890445.8200000001"/>
        <n v="-377558.7799999999"/>
        <n v="1070882.27"/>
        <n v="-2601844.0100000002"/>
        <n v="3308911.2399999998"/>
        <n v="-960599.94"/>
        <n v="943951.74"/>
        <n v="783915.96"/>
        <n v="-2508007.04"/>
        <n v="3029670.72"/>
        <n v="423582.92000000004"/>
        <n v="1610892.58"/>
        <n v="-321400.13"/>
        <n v="-336713.66000000003"/>
        <n v="1249158.8399999999"/>
        <n v="246948.86"/>
        <n v="-537261.5800000001"/>
        <n v="-997774.81"/>
        <n v="2447368.7299999995"/>
        <n v="-128698.92999999996"/>
        <n v="207811.6"/>
        <n v="-474493.9799999999"/>
        <n v="1076526.6400000001"/>
        <n v="-737039.21"/>
        <n v="-1256960.1400000001"/>
        <n v="3958167.56"/>
        <n v="-298134.68"/>
        <n v="-270002.83999999997"/>
        <n v="970231.3599999999"/>
        <n v="198610.5"/>
        <n v="-102877.62000000005"/>
        <n v="489802.7799999999"/>
        <n v="197522.63999999996"/>
        <n v="-2279223.74"/>
        <n v="3360645.1999999997"/>
        <n v="-1833551.9200000002"/>
        <n v="1932515.69"/>
        <n v="123575.45999999973"/>
        <n v="1005717.1499999999"/>
        <n v="1111732.2000000002"/>
        <n v="-661549.1999999997"/>
        <n v="3525256.95"/>
        <n v="-104.5800000000745"/>
        <n v="-2954744.840000001"/>
        <n v="5791749.350000001"/>
        <n v="-3142287.6"/>
        <n v="3436630.26"/>
        <n v="424903.44999999995"/>
        <n v="528012.2999999999"/>
        <n v="-131184.94"/>
        <n v="581519.0499999999"/>
        <n v="-3683427.6900000004"/>
        <n v="4327403.96"/>
        <n v="967664.4400000001"/>
        <n v="393691.16000000003"/>
        <n v="-2508286.8"/>
        <n v="3225078.78"/>
        <n v="-4258839.4399999995"/>
        <n v="6100074.26"/>
        <n v="-43533.28999999999"/>
        <n v="34267.579999999994"/>
        <n v="-4349139.66"/>
        <n v="5545736.14"/>
        <n v="632322.24"/>
        <n v="993054.17"/>
        <n v="-2099776.27"/>
        <n v="2651604.04"/>
        <n v="572773.72"/>
        <n v="-274968.5999999999"/>
        <n v="205313.03999999992"/>
        <n v="1330434.96"/>
        <n v="4174.5"/>
        <n v="-85940.85"/>
        <n v="-1752169.62"/>
        <n v="-968734.4000000004"/>
        <n v="4184055.3300000005"/>
        <n v="319988.36"/>
        <n v="-462478.17"/>
        <n v="-69925.59999999998"/>
        <n v="1266351.22"/>
        <n v="-311623.77"/>
        <n v="-233340.53999999992"/>
        <n v="-1291128.2800000003"/>
        <n v="3392829.4499999997"/>
        <n v="-689883.6299999999"/>
        <n v="-1188793.2799999998"/>
        <n v="2623843.11"/>
        <n v="-1871477.19"/>
        <n v="2405081.86"/>
        <n v="153485.51"/>
        <n v="-1330971.9200000004"/>
        <n v="1759767.2800000007"/>
        <n v="2951161.8800000004"/>
        <n v="-2923647.29"/>
        <n v="3280063.92"/>
        <n v="146553.15999999997"/>
        <n v="-4818392.960000001"/>
        <n v="6369829.300000001"/>
        <n v="-4174369.46"/>
        <n v="5606298.2"/>
        <n v="108224.54000000001"/>
        <n v="253715.13999999996"/>
        <n v="-505789.01999999996"/>
        <n v="-1159743.8199999998"/>
        <n v="2055865.9299999997"/>
        <n v="287223.81999999995"/>
        <n v="299026.83"/>
        <n v="152681.25"/>
        <n v="-480795.97999999986"/>
        <n v="417709.5399999999"/>
        <n v="750343.8799999999"/>
        <n v="178594.65000000002"/>
        <n v="794025.22"/>
        <n v="39794.95000000007"/>
        <n v="666431.9199999999"/>
        <n v="764038.4200000002"/>
        <n v="-3081612.3600000003"/>
        <n v="4632575.220000001"/>
        <n v="-109636.38"/>
        <n v="1086310.52"/>
        <n v="-12897.57"/>
        <n v="-608364.72"/>
        <n v="1062993.76"/>
        <n v="13519.239999999998"/>
        <n v="-680239.4900000001"/>
        <n v="681797.79"/>
        <n v="197263.82"/>
        <n v="-417564.63999999996"/>
        <n v="1420094.0400000003"/>
        <n v="-1092065.38"/>
        <n v="1247089.54"/>
        <n v="-4690469.05"/>
        <n v="5408423.22"/>
        <n v="63700.779999999795"/>
        <n v="561401.0000000002"/>
        <n v="1322529.2899999998"/>
        <n v="152119.93000000005"/>
        <n v="177639.31"/>
        <n v="532578.42"/>
        <n v="209362.26"/>
        <n v="-1876880.2800000003"/>
        <n v="-1909091.2400000007"/>
        <n v="5293571.92"/>
        <n v="522634.2199999999"/>
        <n v="-2144058.94"/>
        <n v="3836091.52"/>
        <n v="370593.58"/>
        <n v="-1712630.7800000003"/>
        <n v="2240896.2"/>
        <n v="-71185.67000000004"/>
        <n v="178488.64000000007"/>
        <n v="150138.93000000005"/>
        <n v="9606.020000000019"/>
        <n v="970444.23"/>
        <n v="544326.0800000001"/>
        <n v="86068.62"/>
        <n v="-1830158.19"/>
        <n v="3377069.12"/>
        <n v="39510.50000000001"/>
        <n v="-128317.55999999997"/>
        <n v="64051.98000000001"/>
        <n v="-4855149.2"/>
        <n v="5970476.82"/>
        <n v="-105327.14000000001"/>
        <n v="64928.55000000005"/>
        <n v="1533806.16"/>
        <n v="-1728914.62"/>
        <n v="3098126.7800000003"/>
        <n v="-677517.74"/>
        <n v="231394.38"/>
        <n v="35015.76000000001"/>
        <n v="-1422117.18"/>
        <n v="3592844.77"/>
        <n v="-89934.60999999993"/>
        <n v="365354.1300000001"/>
        <n v="130601.66000000009"/>
        <n v="600480.8"/>
        <n v="-710383.7799999999"/>
        <n v="1126658.93"/>
        <n v="-1458231.6400000001"/>
        <n v="2258752.77"/>
        <n v="-2056677.29"/>
        <n v="2588958.84"/>
        <n v="333709.11"/>
        <n v="-54368.18999999997"/>
        <n v="84588.13"/>
        <n v="-834230.1200000001"/>
        <n v="1293837.3"/>
        <n v="-528088.9800000001"/>
        <n v="1155670.7399999998"/>
        <n v="-74407.06000000001"/>
        <n v="-1659137.3399999999"/>
        <n v="2407076.9699999997"/>
        <n v="606437.58"/>
        <n v="-503523.95999999996"/>
        <n v="1856941.22"/>
        <n v="-792985.74"/>
        <n v="914774.2599999999"/>
        <n v="1064725.83"/>
        <n v="-169741.07999999996"/>
        <n v="950042.6"/>
        <n v="-420654.68999999994"/>
        <n v="-2479357.2199999997"/>
        <n v="1982337.94"/>
        <n v="2933972.9599999995"/>
        <n v="-407902.35000000003"/>
        <n v="623580.21"/>
        <n v="337851.30000000005"/>
        <n v="-2275383.12"/>
        <n v="2316764.9200000004"/>
        <n v="624340.96"/>
        <n v="-1184272.97"/>
        <n v="-3117247.45"/>
        <n v="6077550.15"/>
        <n v="-534312.0"/>
        <n v="1802493.0"/>
        <n v="-1253744.33"/>
        <n v="1721148.4"/>
        <n v="-1184063.71"/>
        <n v="62831.10000000009"/>
        <n v="2128677.7600000002"/>
        <n v="-269220.0"/>
        <n v="1191022.89"/>
        <n v="2290337.7600000002"/>
        <n v="-777013.84"/>
        <n v="1261487.44"/>
        <n v="-35798.729999999996"/>
        <n v="-3526524.62"/>
        <n v="4936385.369999999"/>
        <n v="-1179665.15"/>
        <n v="399907.32000000007"/>
        <n v="-730747.9400000004"/>
        <n v="3792025.1"/>
        <n v="-598279.01"/>
        <n v="897754.8899999999"/>
        <n v="284359.13"/>
        <n v="518662.52999999997"/>
        <n v="-2012684.19"/>
        <n v="2369160.87"/>
        <n v="1349695.9000000001"/>
        <n v="-238942.05"/>
        <n v="-904001.1899999998"/>
        <n v="-616569.3700000001"/>
        <n v="1581942.85"/>
        <n v="1636237.93"/>
        <n v="539627.28"/>
        <n v="-3025534.54"/>
        <n v="2925292.0199999996"/>
        <n v="-274709.67000000016"/>
        <n v="1240838.47"/>
        <n v="835476.3"/>
        <n v="-1422159.8399999999"/>
        <n v="2231188.6799999997"/>
        <n v="-26006.919999999984"/>
        <n v="315590.63"/>
        <n v="96388.73000000001"/>
        <n v="-5077102.36"/>
        <n v="2770545.87"/>
        <n v="3667866.0700000003"/>
        <n v="1161966.35"/>
        <n v="-1366766.57"/>
        <n v="1374914.37"/>
        <n v="-282589.9199999999"/>
        <n v="1318588.85"/>
        <n v="-3955747.47"/>
        <n v="4618761.32"/>
        <n v="-3204286.1799999997"/>
        <n v="2503320.5299999993"/>
        <n v="1948860.4499999997"/>
        <n v="-2558340.8400000003"/>
        <n v="1830231.7400000002"/>
        <n v="-268545.5100000005"/>
        <n v="2019320.8300000003"/>
        <n v="985851.0099999999"/>
        <n v="228420.32"/>
        <n v="-253012.58000000002"/>
        <n v="332747.89"/>
        <n v="-3392756.96"/>
        <n v="1690974.0199999996"/>
        <n v="3698350.34"/>
        <n v="356737.75000000006"/>
        <n v="-5211.639999999999"/>
        <n v="34301.77999999999"/>
        <n v="-2764990.52"/>
        <n v="2911392.06"/>
        <n v="413234.48000000004"/>
        <n v="9773.559999999998"/>
        <n v="176986.56"/>
        <n v="-1201981.8299999998"/>
        <n v="1894948.56"/>
        <n v="-1784685.4400000002"/>
        <n v="1754073.9300000002"/>
        <n v="-2616659.6000000006"/>
        <n v="4610445.11"/>
        <n v="-239567.39"/>
        <n v="656281.0800000001"/>
        <n v="-1880701.04"/>
        <n v="-256358.91999999993"/>
        <n v="3029257.1399999997"/>
        <n v="-4368400.8"/>
        <n v="5974300.92"/>
        <n v="261311.74000000002"/>
        <n v="-93799.18000000001"/>
        <n v="293108.24"/>
        <n v="-3631730.91"/>
        <n v="4070820.4499999993"/>
        <n v="134876.05000000005"/>
        <n v="1130332.0099999998"/>
        <n v="1019897.55"/>
        <n v="-930034.85"/>
        <n v="137960.43999999994"/>
        <n v="2301256.84"/>
        <n v="21755.960000000006"/>
        <n v="-2066622.7499999998"/>
        <n v="3280403.3699999996"/>
        <n v="-2589973.35"/>
        <n v="-34986.7900000005"/>
        <n v="4475367.569999999"/>
        <n v="-1052759.97"/>
        <n v="-2779716.1400000006"/>
        <n v="5186189.8"/>
        <n v="1606866.69"/>
        <n v="140172.83000000002"/>
        <n v="204555.83999999997"/>
        <n v="-553700.4199999999"/>
        <n v="844514.6299999999"/>
        <n v="1040818.1399999999"/>
        <n v="-1233984.2699999998"/>
        <n v="3775637.3699999996"/>
        <n v="-38532.99"/>
        <n v="-373760.04000000004"/>
        <n v="-10674.070000000065"/>
        <n v="751972.16"/>
        <n v="-492508.7199999999"/>
        <n v="-4536.14000000013"/>
        <n v="1222909.32"/>
        <n v="-173157.77000000002"/>
        <n v="-1965773.64"/>
        <n v="3041122.1999999997"/>
        <n v="285685.62"/>
        <n v="458541.66000000003"/>
        <n v="72107.08"/>
        <n v="-191850.19"/>
        <n v="82391.64000000001"/>
        <n v="18091.440000000002"/>
        <n v="228044.22000000006"/>
        <n v="-448095.1400000001"/>
        <n v="1082631.16"/>
        <n v="-2350404.3600000003"/>
        <n v="4008457.1399999997"/>
        <n v="-457763.00000000006"/>
        <n v="239940.07999999996"/>
        <n v="1057599.72"/>
        <n v="-34177.05000000005"/>
        <n v="-228383.15999999992"/>
        <n v="1663186.53"/>
        <n v="-113108.45999999996"/>
        <n v="514888.67"/>
        <n v="244988.24999999997"/>
        <n v="-1260544.7199999997"/>
        <n v="1618309.77"/>
        <n v="-1383759.65"/>
        <n v="1917732.76"/>
        <n v="-107976.87"/>
        <n v="595437.9100000001"/>
        <n v="189466.21000000002"/>
        <n v="283493.95000000007"/>
        <n v="-588197.1"/>
        <n v="826577.3800000001"/>
        <n v="759968.23"/>
        <n v="115015.92000000004"/>
        <n v="320406.05000000005"/>
        <n v="914.6999999999825"/>
        <n v="-47929.830000000016"/>
        <n v="-180767.2300000001"/>
        <n v="1107960.26"/>
        <n v="434062.68000000005"/>
        <n v="-403457.27999999997"/>
        <n v="672263.5899999999"/>
        <n v="1141380.29"/>
        <n v="-207197.37"/>
        <n v="491253.0900000001"/>
        <n v="664304.51"/>
        <n v="411486.95999999996"/>
        <n v="301703.76000000007"/>
        <n v="-2826647.46"/>
        <n v="3888170.65"/>
        <n v="-298244.31"/>
        <n v="156433.88"/>
        <n v="1123460.1500000001"/>
        <n v="168892.35"/>
        <n v="-2097765.37"/>
        <n v="2339087.7299999995"/>
        <n v="430890.63000000006"/>
        <n v="-2152669.05"/>
        <n v="3294447.84"/>
        <n v="1069995.7200000002"/>
        <n v="-3976428.24"/>
        <n v="4555136.399999999"/>
        <n v="1360092.32"/>
        <n v="-784062.5199999999"/>
        <n v="919459.11"/>
        <n v="1113762.78"/>
        <n v="-3000.209999999992"/>
        <n v="-96312.48000000001"/>
        <n v="119835.69000000003"/>
        <n v="-409110.80000000005"/>
        <n v="1343574.88"/>
        <n v="-2284037.3200000003"/>
        <n v="2630544.42"/>
        <n v="-435214.99000000005"/>
        <n v="387270.4"/>
        <n v="504725.67000000004"/>
        <n v="-1619281.4"/>
        <n v="1263490.4599999997"/>
        <n v="-1541705.61"/>
        <n v="3925949.63"/>
        <n v="-213661.18"/>
        <n v="-250141.86"/>
        <n v="1071867.63"/>
        <n v="851808.9400000002"/>
        <n v="859373.59"/>
        <n v="3684.369999999999"/>
        <n v="63097.399999999994"/>
        <n v="-612104.4"/>
        <n v="-2534040.4200000004"/>
        <n v="4312202.04"/>
        <n v="128726.10000000002"/>
        <n v="-1223863.3199999998"/>
        <n v="31228.16000000015"/>
        <n v="1636748.1"/>
        <n v="828053.5200000001"/>
        <n v="-1073301.7599999998"/>
        <n v="2981221.61"/>
        <n v="-552141.0700000001"/>
        <n v="11060.620000000112"/>
        <n v="1318530.08"/>
        <n v="-487850.99999999994"/>
        <n v="712718.3200000001"/>
        <n v="-276270.1200000001"/>
        <n v="719606.6399999999"/>
        <n v="590381.3099999999"/>
        <n v="210898.91000000003"/>
        <n v="-3031214.3800000004"/>
        <n v="4826117.51"/>
        <n v="308339.06"/>
        <n v="-133676.78000000003"/>
        <n v="-2690993.96"/>
        <n v="3789239.4999999995"/>
        <n v="738146.58"/>
        <n v="-647665.6500000001"/>
        <n v="655220.8999999999"/>
        <n v="523462.7200000001"/>
        <n v="247480.42"/>
        <n v="-120885.45999999999"/>
        <n v="154853.32000000004"/>
        <n v="-398562.38"/>
        <n v="-1851930.44"/>
        <n v="3666129.2199999997"/>
      </sharedItems>
    </cacheField>
    <cacheField name="share of units sold" numFmtId="10">
      <sharedItems containsSemiMixedTypes="0" containsString="0" containsNumber="1">
        <n v="9.883640658803952E-5"/>
        <n v="3.030476281999427E-4"/>
        <n v="7.135988555656453E-4"/>
        <n v="1.7805758786860657E-4"/>
        <n v="0.0011629243655158865"/>
        <n v="3.3756434250068883E-4"/>
        <n v="0.0010184711558872135"/>
        <n v="6.719355087885332E-4"/>
        <n v="7.97837885180682E-4"/>
        <n v="0.0011122897141407832"/>
        <n v="5.772046144741508E-4"/>
        <n v="1.7668908377738756E-4"/>
        <n v="0.0011084883138873971"/>
        <n v="0.0010759483277184118"/>
        <n v="0.0014545677929556709"/>
        <n v="7.99510501292172E-4"/>
        <n v="0.0013723054914723948"/>
        <n v="7.46290897744766E-4"/>
        <n v="7.414251054204318E-4"/>
        <n v="0.0013841658602629595"/>
        <n v="4.5844887055836793E-4"/>
        <n v="7.389922092582647E-5"/>
        <n v="3.345232222979799E-6"/>
        <n v="5.05586233700356E-4"/>
        <n v="9.654036083499429E-4"/>
        <n v="0.0011215651307590455"/>
        <n v="0.0010359575970527897"/>
        <n v="5.007204413760217E-4"/>
        <n v="4.5008579000091844E-4"/>
        <n v="3.0608874840265163E-4"/>
        <n v="7.891706926029616E-5"/>
        <n v="5.734032142207646E-4"/>
        <n v="0.001348128585860859"/>
        <n v="0.0012339345222491394"/>
        <n v="7.970776051300049E-4"/>
        <n v="6.144583369573349E-4"/>
        <n v="2.43745784247119E-4"/>
        <n v="0.0011585147412219586"/>
        <n v="4.253006603488408E-4"/>
        <n v="0.0012623689961444677"/>
        <n v="7.812637800759185E-4"/>
        <n v="0.0014677966658374546"/>
        <n v="3.7208105680143494E-4"/>
        <n v="8.761467304004365E-4"/>
        <n v="9.854750016878217E-4"/>
        <n v="0.0013721534354622594"/>
        <n v="0.0012039794882524567"/>
        <n v="0.0015156943090301198"/>
        <n v="5.845033029606521E-4"/>
        <n v="7.906912527043161E-5"/>
        <n v="4.316870127745295E-4"/>
        <n v="2.8510501900396015E-4"/>
        <n v="3.0411202027089083E-7"/>
        <n v="6.635724282310838E-4"/>
        <n v="2.983338918857439E-4"/>
        <n v="0.0012094535046173328"/>
        <n v="1.8322749221321173E-4"/>
        <n v="0.0013970906211244725"/>
        <n v="0.001264801892306635"/>
        <n v="0.0012538538595768828"/>
        <n v="9.670762244614328E-4"/>
        <n v="0.001370632875360905"/>
        <n v="5.366056597679869E-4"/>
        <n v="1.5205601013544542E-6"/>
        <n v="0.0013654629710162997"/>
        <n v="2.470910164700988E-4"/>
        <n v="4.5312691020362735E-4"/>
        <n v="7.014343747548097E-4"/>
        <n v="8.994112999511596E-4"/>
        <n v="6.9945764662304886E-6"/>
        <n v="6.541449556026861E-4"/>
        <n v="4.660516710651402E-4"/>
        <n v="1.3502573700027552E-4"/>
        <n v="3.211422934060607E-4"/>
        <n v="0.001288370573877629"/>
        <n v="8.18973670589509E-4"/>
        <n v="2.3188541545655426E-4"/>
        <n v="1.8946178862876497E-4"/>
        <n v="0.0010642400149379824"/>
        <n v="7.657540670421031E-4"/>
        <n v="6.263187057478996E-4"/>
        <n v="1.292476086151286E-5"/>
        <n v="3.573316238182967E-4"/>
        <n v="6.02902080187041E-4"/>
        <n v="8.486245925659209E-4"/>
        <n v="8.6200552145784E-4"/>
        <n v="1.0507070300359278E-4"/>
        <n v="0.0012929322541816923"/>
        <n v="5.267220191091829E-4"/>
        <n v="3.818126414501034E-4"/>
        <n v="0.0011382912918739443"/>
        <n v="0.0014627788175029849"/>
        <n v="9.94750418306084E-4"/>
        <n v="5.997089039741967E-4"/>
        <n v="0.0014130565021886943"/>
        <n v="0.0013622697948034554"/>
        <n v="0.0011676381018300853"/>
        <n v="0.0013277530805027094"/>
        <n v="7.541978102718092E-5"/>
        <n v="3.176450051729455E-4"/>
        <n v="4.0538132302109746E-4"/>
        <n v="3.950415143318872E-4"/>
        <n v="0.0012237467695700647"/>
        <n v="6.886616699034322E-4"/>
        <n v="0.0010528358141778241"/>
        <n v="2.720282021323118E-4"/>
        <n v="0.001263129276195145"/>
        <n v="0.0012106699526984164"/>
        <n v="0.0012223782654788456"/>
        <n v="5.515071487612605E-4"/>
        <n v="2.828241788519285E-4"/>
        <n v="9.796968733026747E-4"/>
        <n v="0.001486043387053708"/>
        <n v="5.880005911937674E-4"/>
        <n v="1.6498077099695826E-4"/>
        <n v="9.241964296032372E-4"/>
        <n v="0.0014247648149691235"/>
        <n v="9.336239022316349E-4"/>
        <n v="7.627129468393941E-4"/>
        <n v="9.351444623329893E-5"/>
        <n v="2.6868296990933206E-4"/>
        <n v="2.1591953439233249E-4"/>
        <n v="1.2164480810835633E-4"/>
        <n v="0.001024857508312902"/>
        <n v="0.0011969849117862263"/>
        <n v="8.211024547314053E-6"/>
        <n v="6.652450443425736E-4"/>
        <n v="4.4978167798064754E-4"/>
        <n v="2.9590099572357676E-4"/>
        <n v="6.539928995925507E-4"/>
        <n v="8.074174138192152E-5"/>
        <n v="0.0012406249866950992"/>
        <n v="0.001164444925617241"/>
        <n v="7.292606246095962E-4"/>
        <n v="0.0013279051365128447"/>
        <n v="5.94691055639727E-4"/>
        <n v="0.0011133541062117312"/>
        <n v="1.8763711650713965E-4"/>
        <n v="0.0013304900886851473"/>
        <n v="3.786194652372591E-5"/>
        <n v="8.512095447382234E-4"/>
        <n v="2.5362942490592295E-4"/>
        <n v="7.464429537549015E-4"/>
        <n v="8.813166347450416E-4"/>
        <n v="4.774558718252986E-5"/>
        <n v="0.0013476724178304526"/>
        <n v="2.735487622336663E-4"/>
        <n v="1.094803272975207E-5"/>
        <n v="4.257568283792472E-5"/>
        <n v="2.648815696559459E-4"/>
        <n v="1.2027630401713732E-4"/>
        <n v="6.571860758053951E-4"/>
        <n v="0.001009803963309493"/>
        <n v="5.413193960821857E-5"/>
        <n v="3.097380926459023E-4"/>
        <n v="9.214594214207992E-5"/>
        <n v="1.774493638280648E-4"/>
        <n v="5.156219303692953E-4"/>
        <n v="9.58256975873577E-4"/>
        <n v="0.0013765630597561873"/>
        <n v="2.896666993080235E-4"/>
        <n v="5.977321758424359E-4"/>
        <n v="4.6924484727798454E-4"/>
        <n v="1.2666265644282603E-4"/>
        <n v="0.001187709495167964"/>
        <n v="1.861165564057852E-4"/>
        <n v="0.0013403737293439513"/>
        <n v="3.5018499134193077E-4"/>
        <n v="0.0012676909564992083"/>
        <n v="5.781169505349635E-4"/>
        <n v="6.945918542987146E-4"/>
        <n v="6.416763627715797E-5"/>
        <n v="9.073182124782027E-4"/>
        <n v="0.0013619656827831845"/>
        <n v="2.7339670622353085E-4"/>
        <n v="9.202429733397156E-4"/>
        <n v="4.1937047595355843E-4"/>
        <n v="2.942283796120869E-4"/>
        <n v="7.526772501704547E-5"/>
        <n v="0.0"/>
        <n v="0.001160643525363855"/>
        <n v="0.001250204515333632"/>
        <n v="9.897325699716143E-4"/>
        <n v="0.0014258292070400717"/>
        <n v="2.286922392437099E-4"/>
        <n v="5.709703180585975E-4"/>
        <n v="0.0010389987172554984"/>
        <n v="0.0013209105600466143"/>
        <n v="0.0010341329249311643"/>
        <n v="0.0010519234781170114"/>
        <n v="2.4633073641942155E-4"/>
        <n v="9.549117436505972E-4"/>
        <n v="2.919475394600552E-5"/>
        <n v="2.0983729398691466E-5"/>
        <n v="0.0012056521043639467"/>
        <n v="9.59625479964796E-4"/>
        <n v="4.7593531172394416E-5"/>
        <n v="2.61840449453237E-4"/>
        <n v="1.376106891725781E-4"/>
        <n v="0.0013786918438980836"/>
        <n v="0.0013025117828202254"/>
        <n v="0.001336876441110836"/>
        <n v="0.0013751945556649684"/>
        <n v="0.0013599889546514238"/>
        <n v="0.0013154365436817382"/>
        <n v="0.0013072255191344242"/>
        <n v="0.0012549182516478309"/>
        <n v="3.503370473520662E-4"/>
        <n v="2.714199780917701E-4"/>
        <n v="9.336239022316348E-5"/>
        <n v="0.0013469121377797755"/>
        <n v="1.0659126310494724E-4"/>
        <n v="7.538936982515383E-4"/>
        <n v="0.0013288174725736574"/>
        <n v="5.855676950316003E-4"/>
        <n v="3.351314463385217E-4"/>
        <n v="7.024987668257578E-5"/>
        <n v="1.1997219199686643E-4"/>
        <n v="3.907839460480947E-5"/>
        <n v="6.716313967682623E-4"/>
        <n v="0.0013342914889385336"/>
        <n v="7.783747158833451E-4"/>
        <n v="4.573844784874198E-4"/>
        <n v="1.8702889246659786E-5"/>
        <n v="6.188679612512628E-5"/>
        <n v="0.0010771647757994952"/>
        <n v="0.001359684842631153"/>
        <n v="6.022938561464992E-4"/>
        <n v="2.3325391954777326E-4"/>
        <n v="5.394947239605603E-4"/>
        <n v="0.0014670363857867774"/>
        <n v="4.6589961505500474E-4"/>
        <n v="4.654434470245984E-4"/>
        <n v="6.997617586433197E-4"/>
        <n v="3.571795678081613E-4"/>
        <n v="8.031598455354226E-4"/>
        <n v="0.0015199518773139123"/>
        <n v="6.24037865595868E-4"/>
        <n v="4.718297994502871E-4"/>
        <n v="8.376765598361687E-4"/>
        <n v="4.6255438283202493E-4"/>
        <n v="0.0012261796657322317"/>
        <n v="0.0013139159835803837"/>
        <n v="0.0011258226990428378"/>
        <n v="8.51057488728088E-4"/>
        <n v="1.2772704851377414E-4"/>
        <n v="0.001239560594624151"/>
        <n v="8.644384176200072E-4"/>
        <n v="0.0010867443044380283"/>
        <n v="9.565843597620871E-4"/>
        <n v="7.403607133494837E-4"/>
        <n v="0.0013467600817696401"/>
        <n v="9.298225019782486E-4"/>
        <n v="4.906847447070824E-4"/>
        <n v="0.0010145176996236918"/>
        <n v="6.124816088255742E-4"/>
        <n v="0.0010023532188128562"/>
        <n v="8.577479531740476E-4"/>
        <n v="2.4998008066267225E-4"/>
        <n v="5.986445119032486E-4"/>
        <n v="0.0010748839356474636"/>
        <n v="6.562737397445824E-4"/>
        <n v="8.23079182863166E-4"/>
        <n v="7.750294836603652E-4"/>
        <n v="0.0010765565517589534"/>
        <n v="1.966084211051309E-4"/>
        <n v="0.0014243086469387172"/>
        <n v="4.2073898004477746E-4"/>
        <n v="6.106569367039488E-4"/>
        <n v="0.0012876102938269517"/>
        <n v="4.357925250481866E-4"/>
        <n v="8.621575774679755E-5"/>
        <n v="4.339678529265612E-4"/>
        <n v="4.0598954706163925E-4"/>
        <n v="1.5357657023679988E-5"/>
        <n v="0.001463539097553662"/>
        <n v="0.0010829429041846422"/>
        <n v="0.0012888267419080353"/>
        <n v="5.144054822882119E-4"/>
        <n v="1.0795976719616624E-5"/>
        <n v="9.383376385458336E-4"/>
        <n v="0.0013125474794891648"/>
        <n v="3.5429050361558784E-5"/>
        <n v="0.0014871077791246562"/>
        <n v="8.16236662407071E-4"/>
        <n v="4.1131150741637983E-4"/>
        <n v="0.0014452923763374086"/>
        <n v="4.7532708768340237E-4"/>
        <n v="0.0010321561967994034"/>
        <n v="5.753799423525254E-4"/>
        <n v="0.0010516193660967405"/>
        <n v="0.0013764110037460518"/>
        <n v="5.328042595146007E-4"/>
        <n v="1.7501646766589766E-4"/>
        <n v="4.967669851125002E-4"/>
        <n v="0.001338244945202055"/>
        <n v="0.0012819842214519402"/>
        <n v="3.068490284533288E-4"/>
        <n v="0.0012740773089248971"/>
        <n v="0.0011837560389044426"/>
        <n v="2.2154560676734396E-4"/>
        <n v="5.39038555930154E-4"/>
        <n v="0.0011620120294550738"/>
        <n v="0.0010633276788771697"/>
        <n v="0.001437537519820501"/>
        <n v="0.001120804850708368"/>
        <n v="8.484725365557854E-5"/>
        <n v="8.077215258394861E-4"/>
        <n v="4.286458925718206E-4"/>
        <n v="6.847082136399107E-4"/>
        <n v="5.064985697611687E-4"/>
        <n v="3.375643425006888E-5"/>
        <n v="0.0013712410994014467"/>
        <n v="9.44267822941116E-4"/>
        <n v="6.856205497007234E-4"/>
        <n v="4.887080165753215E-4"/>
        <n v="7.884104125522845E-4"/>
        <n v="2.1135785408826912E-4"/>
        <n v="8.442149682719929E-4"/>
        <n v="0.0015047462763003677"/>
        <n v="6.033582482174474E-4"/>
        <n v="0.0012512689074045803"/>
        <n v="0.0012149275209822087"/>
        <n v="0.0010716907594346193"/>
        <n v="2.3492653565926317E-4"/>
        <n v="8.916564434342519E-4"/>
        <n v="0.0013090501912560496"/>
        <n v="9.892764019412078E-4"/>
        <n v="0.0010546604862994493"/>
        <n v="6.514079474202482E-4"/>
        <n v="0.0010455371256913226"/>
        <n v="7.189208159203859E-4"/>
        <n v="6.063993684201563E-4"/>
        <n v="0.001204739768303134"/>
        <n v="6.807547573763891E-4"/>
        <n v="0.0014437718162360542"/>
        <n v="1.590505866016759E-4"/>
        <n v="0.0010137574195730145"/>
        <n v="2.819118427911158E-4"/>
        <n v="0.001443315648205648"/>
        <n v="0.0014649076016448812"/>
        <n v="0.0014173140704724866"/>
        <n v="3.5140143942301435E-4"/>
        <n v="8.639822495896008E-4"/>
        <n v="9.413787587485425E-4"/>
        <n v="7.798952759846995E-4"/>
        <n v="9.559761357215453E-4"/>
        <n v="5.174466024909207E-4"/>
        <n v="5.57133221136272E-4"/>
        <n v="8.422382401402322E-4"/>
        <n v="6.39395522619548E-4"/>
        <n v="5.54396212953834E-4"/>
        <n v="5.440564042646236E-4"/>
        <n v="0.0013171091597932282"/>
        <n v="6.854684936905879E-4"/>
        <n v="1.3213667280770206E-4"/>
        <n v="1.1404200760158405E-4"/>
        <n v="7.365593130960976E-4"/>
        <n v="9.380335265255627E-4"/>
        <n v="6.296639379708795E-4"/>
        <n v="4.271253324704662E-4"/>
        <n v="3.548987276561296E-4"/>
        <n v="3.64934424325069E-5"/>
        <n v="7.89626860633368E-4"/>
        <n v="8.074174138192152E-4"/>
        <n v="0.001422179862796821"/>
        <n v="4.4217887747387524E-4"/>
        <n v="1.537286262469353E-4"/>
        <n v="0.0014354087356786046"/>
        <n v="0.0014487896645705239"/>
        <n v="2.705076420309574E-4"/>
        <n v="8.933290595457418E-4"/>
        <n v="0.0013055529030229344"/>
        <n v="3.643262002845272E-4"/>
        <n v="7.484196818866623E-4"/>
        <n v="5.603263973491164E-4"/>
        <n v="5.09691745974013E-4"/>
        <n v="0.001400739965367723"/>
        <n v="0.001377779507837271"/>
        <n v="2.738528742539372E-4"/>
        <n v="2.2580317505113643E-4"/>
        <n v="0.001401044077387994"/>
        <n v="9.529350155188363E-4"/>
        <n v="0.001127191203134057"/>
        <n v="0.0014322155594657603"/>
        <n v="6.758889650520549E-4"/>
        <n v="6.821232614676081E-4"/>
        <n v="5.090835219334713E-4"/>
        <n v="0.00108902514459006"/>
        <n v="5.32196035474059E-6"/>
        <n v="7.446182816332762E-4"/>
        <n v="2.3751148783156573E-4"/>
        <n v="0.001369264371269686"/>
        <n v="8.919605554545228E-4"/>
        <n v="0.0015045942202902324"/>
        <n v="2.6594596172689405E-4"/>
        <n v="0.0010532919822082304"/>
        <n v="0.0015123490768071401"/>
        <n v="0.0015074832844828058"/>
        <n v="4.7319830354150614E-4"/>
        <n v="0.0012015465920902897"/>
        <n v="1.4186825745637056E-4"/>
        <n v="9.445719349613869E-4"/>
        <n v="1.534245142266644E-4"/>
        <n v="2.8540913102423105E-4"/>
        <n v="4.354884130279157E-4"/>
        <n v="0.0014550239609860771"/>
        <n v="0.001168246325870627"/>
        <n v="0.0014446841522968669"/>
        <n v="7.694034112853537E-4"/>
        <n v="4.4674055777793863E-4"/>
        <n v="0.0015204080453443186"/>
        <n v="3.3497939032838626E-4"/>
        <n v="3.6402208826425634E-4"/>
        <n v="5.819183507883496E-4"/>
        <n v="9.0807849252888E-4"/>
        <n v="7.117741834440199E-4"/>
        <n v="7.940364849272959E-4"/>
        <n v="5.633675175518252E-4"/>
        <n v="4.6301055086243127E-4"/>
        <n v="9.690529525931936E-4"/>
        <n v="8.731056101977275E-4"/>
        <n v="7.584553785556017E-4"/>
        <n v="0.0011793464146105147"/>
        <n v="0.001117003450454982"/>
        <n v="7.017384867750806E-4"/>
        <n v="1.6011497867262403E-4"/>
        <n v="0.0011355542836915063"/>
        <n v="0.001025161620333173"/>
        <n v="7.952529330083794E-5"/>
        <n v="0.0013294256966141992"/>
        <n v="0.001016646483765588"/>
        <n v="7.038672709169768E-4"/>
        <n v="0.0010382384372048213"/>
        <n v="9.339280142519057E-4"/>
        <n v="0.0011662695977388664"/>
        <n v="0.0010450809576609164"/>
        <n v="8.305299273598029E-4"/>
        <n v="0.0011826916468334944"/>
        <n v="8.407176800388777E-4"/>
        <n v="3.497288233115244E-4"/>
        <n v="7.84152844268492E-4"/>
        <n v="0.0014022605254690775"/>
        <n v="4.348801889873739E-5"/>
        <n v="6.786259732344929E-4"/>
        <n v="7.757897637110425E-4"/>
        <n v="6.672217724743345E-4"/>
        <n v="7.347346409744722E-4"/>
        <n v="4.7426269561245423E-4"/>
        <n v="0.0014116879980974751"/>
        <n v="9.444198789512515E-4"/>
        <n v="3.9063189003795925E-4"/>
        <n v="3.047202443114326E-4"/>
        <n v="0.0012295248979552116"/>
        <n v="0.0011191322345968783"/>
        <n v="9.723981848161734E-4"/>
        <n v="0.0010707784233738066"/>
        <n v="3.331547182067609E-4"/>
        <n v="6.907904540453285E-4"/>
        <n v="6.605313080283748E-4"/>
        <n v="7.003699826838615E-4"/>
        <n v="6.050308643289373E-4"/>
        <n v="7.941885409374314E-4"/>
        <n v="0.0011103129860090225"/>
        <n v="0.0011401159639955697"/>
        <n v="5.474016364876035E-4"/>
        <n v="0.0012188809772457304"/>
        <n v="2.280840152031681E-5"/>
        <n v="0.0012096055606274682"/>
        <n v="8.700644899950187E-4"/>
        <n v="0.001188013607188235"/>
        <n v="9.254128776843208E-4"/>
        <n v="0.0013472162498000464"/>
        <n v="3.8895927392646937E-4"/>
        <n v="0.0013986111812258268"/>
        <n v="6.372667384776517E-4"/>
        <n v="0.0010053943390155651"/>
        <n v="0.0010049381709851587"/>
        <n v="8.089379739205696E-5"/>
        <n v="4.87491568494238E-4"/>
        <n v="1.0248575083129021E-4"/>
        <n v="4.412665414130626E-4"/>
        <n v="3.3437116628784447E-4"/>
        <n v="5.914978794268827E-5"/>
        <n v="0.0011709833340530652"/>
        <n v="2.253470070207301E-4"/>
        <n v="8.598767373159438E-4"/>
        <n v="7.871939644712009E-4"/>
        <n v="3.883510498859276E-4"/>
        <n v="0.0014217236947664145"/>
        <n v="0.0012353030263403586"/>
        <n v="5.358453797173096E-4"/>
        <n v="1.0750359916575991E-4"/>
        <n v="0.0014576089131583796"/>
        <n v="7.779185478529387E-4"/>
        <n v="5.373659398186641E-4"/>
        <n v="8.463437524138892E-4"/>
        <n v="0.0011582106292016877"/>
        <n v="7.213537120825531E-4"/>
        <n v="0.0010496426379649796"/>
        <n v="7.908433087144516E-4"/>
        <n v="6.044226402883955E-4"/>
        <n v="9.289101659174361E-4"/>
        <n v="8.810125227247707E-4"/>
        <n v="5.382782758794767E-4"/>
        <n v="5.078670738523877E-5"/>
        <n v="7.377757611771812E-4"/>
        <n v="0.0012982542145364329"/>
        <n v="0.0013674396991480607"/>
        <n v="9.123360608126724E-4"/>
        <n v="0.0010063066750763778"/>
        <n v="8.068091897786734E-4"/>
        <n v="2.0375505358149684E-4"/>
        <n v="7.222660481433658E-5"/>
        <n v="8.369162797854916E-4"/>
        <n v="9.866914497689053E-4"/>
        <n v="8.239915189239787E-4"/>
        <n v="9.222197014714764E-4"/>
        <n v="4.280376685312788E-4"/>
        <n v="0.0014195949106245184"/>
        <n v="0.0011448297003097685"/>
        <n v="0.0012421455467964537"/>
        <n v="1.3989152932460978E-4"/>
        <n v="9.366650224343438E-5"/>
        <n v="1.4947105796314284E-4"/>
        <n v="8.778193465119263E-4"/>
        <n v="9.751351929986115E-4"/>
        <n v="8.4832048054565E-4"/>
        <n v="2.8677763511545003E-4"/>
        <n v="1.8261926817266994E-4"/>
        <n v="0.0012304372340160242"/>
        <n v="8.39805343978065E-4"/>
        <n v="0.0010577016065021583"/>
        <n v="0.001243666106897808"/>
        <n v="8.206462867009988E-4"/>
        <n v="0.0012570470357897272"/>
        <n v="7.081248392007693E-4"/>
        <n v="0.0014033249175400258"/>
        <n v="7.181605358697087E-4"/>
        <n v="7.739650915894172E-4"/>
        <n v="7.359510890555558E-4"/>
        <n v="1.7820964387874202E-4"/>
        <n v="2.058838377233931E-4"/>
        <n v="5.2307267486593224E-5"/>
        <n v="6.324009461533175E-4"/>
        <n v="8.481684245355145E-4"/>
        <n v="3.191655652742999E-4"/>
        <n v="4.268212204501953E-4"/>
        <n v="1.8626861241592064E-4"/>
        <n v="0.0011335775555597455"/>
        <n v="1.841398282740244E-4"/>
        <n v="7.265236164271582E-4"/>
        <n v="0.0012850253416546492"/>
        <n v="9.485253912249085E-4"/>
        <n v="7.459867857244951E-4"/>
        <n v="7.230263281940429E-4"/>
        <n v="0.00137580277970551"/>
        <n v="1.9402346893282834E-4"/>
        <n v="0.0013195420559553952"/>
        <n v="9.748310809783406E-4"/>
        <n v="5.087794099132004E-4"/>
        <n v="0.0014804173146786964"/>
        <n v="3.725372248318412E-5"/>
        <n v="0.0014227880868373627"/>
        <n v="5.350850996666324E-4"/>
        <n v="3.836373135717288E-4"/>
        <n v="5.2763435516999556E-5"/>
        <n v="3.9869085857513784E-4"/>
        <n v="8.77667290501791E-4"/>
        <n v="0.0013192379439351243"/>
        <n v="8.922646674747937E-4"/>
        <n v="0.001090393648681279"/>
        <n v="1.3000788866580584E-4"/>
        <n v="3.1323538087901755E-5"/>
        <n v="3.26008085730395E-4"/>
        <n v="9.488295032451794E-4"/>
        <n v="7.000658706635906E-4"/>
        <n v="0.0011591229652625004"/>
        <n v="0.0012684512365498857"/>
        <n v="6.174994571600438E-4"/>
        <n v="1.4582171371989216E-4"/>
        <n v="9.356006303633956E-4"/>
        <n v="5.303713633524336E-4"/>
        <n v="0.0013336832648979918"/>
        <n v="2.4967596864240135E-4"/>
        <n v="0.0013123954234790292"/>
        <n v="9.118798927822662E-4"/>
        <n v="7.487237939069332E-4"/>
        <n v="3.53682279575046E-4"/>
        <n v="1.7121506741251153E-4"/>
        <n v="8.878550431808658E-4"/>
        <n v="0.001065760575039337"/>
        <n v="3.8044413735888443E-4"/>
        <n v="7.148153036467289E-4"/>
        <n v="0.001185580711026068"/>
        <n v="6.746725169709713E-4"/>
        <n v="0.0010981485051981868"/>
        <n v="0.0011560818450597914"/>
        <n v="1.6802189119966717E-4"/>
        <n v="1.5981086665235313E-4"/>
        <n v="0.0012797033812999086"/>
        <n v="3.340670542675736E-4"/>
        <n v="4.163293557508495E-4"/>
        <n v="0.001373673995563614"/>
        <n v="0.0014658199377056938"/>
        <n v="4.2971028464276875E-4"/>
        <n v="1.9706458913553725E-4"/>
        <n v="7.610403307279043E-4"/>
        <n v="6.203885213526173E-4"/>
        <n v="0.0012930843101918279"/>
        <n v="0.001409559213955579"/>
        <n v="9.057976523768484E-4"/>
        <n v="4.529748541934919E-4"/>
        <n v="9.038209242450875E-4"/>
        <n v="0.0012035233202220504"/>
        <n v="8.56531505092964E-4"/>
        <n v="5.481619165382807E-4"/>
        <n v="3.456233110378674E-4"/>
        <n v="3.1095454072698587E-4"/>
        <n v="2.584952172302572E-6"/>
        <n v="4.771517598050277E-4"/>
        <n v="0.001192119119461892"/>
        <n v="0.0015023133801382006"/>
        <n v="0.0014261333190603426"/>
        <n v="0.0011475667084922066"/>
        <n v="2.698994179904156E-4"/>
        <n v="5.03913617588866E-4"/>
        <n v="0.0010307876927081845"/>
        <n v="8.165407744273418E-4"/>
        <n v="8.425423521605031E-4"/>
        <n v="0.0013309462567155537"/>
        <n v="0.0010622632868062217"/>
        <n v="0.0012832006695330238"/>
        <n v="3.238793015884987E-4"/>
        <n v="1.6893422726047986E-4"/>
        <n v="1.788178679192838E-4"/>
        <n v="9.652515523398074E-4"/>
        <n v="2.280840152031681E-4"/>
        <n v="3.587001279095157E-4"/>
        <n v="2.501321366728077E-4"/>
        <n v="0.001156233901069927"/>
        <n v="1.7334385155440778E-5"/>
        <n v="2.975736118350667E-4"/>
        <n v="7.357990330454203E-4"/>
        <n v="0.0015149340289794427"/>
        <n v="5.991006799336549E-4"/>
        <n v="9.991600426000119E-4"/>
        <n v="5.843512469505167E-4"/>
        <n v="5.280905232004019E-4"/>
        <n v="7.820240601265957E-4"/>
        <n v="3.152121090107783E-4"/>
        <n v="5.133410902172637E-4"/>
        <n v="5.311316434031109E-4"/>
        <n v="7.028028788460287E-4"/>
        <n v="0.0011276473711644632"/>
        <n v="8.772111224713846E-4"/>
        <n v="0.0010639359029177115"/>
        <n v="0.0013718493234419885"/>
        <n v="0.0014839146029118119"/>
        <n v="5.5987022931871E-4"/>
        <n v="8.744741142889466E-4"/>
        <n v="6.053349763492082E-4"/>
        <n v="4.950943690010103E-4"/>
        <n v="0.0014717501221009762"/>
        <n v="5.080191298625231E-4"/>
        <n v="3.2099023739592524E-4"/>
        <n v="5.524194848220732E-4"/>
        <n v="4.520625181326792E-4"/>
        <n v="7.481155698663914E-5"/>
        <n v="1.4886283392260107E-4"/>
        <n v="0.001436169015729282"/>
        <n v="1.526642341759872E-4"/>
        <n v="5.2155211476457776E-5"/>
        <n v="0.0011527366128368116"/>
        <n v="0.0013548190503068186"/>
        <n v="0.0014043893096109738"/>
        <n v="0.0013814288520805215"/>
        <n v="6.941356862683083E-4"/>
        <n v="0.0010902415926711435"/>
        <n v="8.414779600895549E-4"/>
        <n v="4.128320675177343E-4"/>
        <n v="0.0012499004033133612"/>
        <n v="9.270854937958107E-4"/>
        <n v="6.381790745384644E-4"/>
        <n v="2.2017710267612496E-4"/>
        <n v="3.003106200175047E-4"/>
        <n v="9.205470853599865E-4"/>
        <n v="0.0011428529721780078"/>
        <n v="0.0010126930275020664"/>
        <n v="0.001327296912472303"/>
        <n v="0.0014626267614928493"/>
        <n v="4.706133513692035E-4"/>
        <n v="0.0011113773780799705"/>
        <n v="0.0013878152045062103"/>
        <n v="8.924167234849291E-4"/>
        <n v="7.672746271434576E-4"/>
        <n v="1.306161127063476E-4"/>
        <n v="3.386287345716369E-4"/>
        <n v="7.932762048766187E-4"/>
        <n v="0.0010653044070089305"/>
        <n v="2.0710028580447665E-4"/>
        <n v="3.6158919210208917E-4"/>
        <n v="4.592091506090451E-4"/>
        <n v="0.0012085411685565201"/>
        <n v="7.998146133124429E-4"/>
        <n v="7.716842514373855E-4"/>
        <n v="1.1753929583469931E-4"/>
        <n v="5.677771418457531E-4"/>
        <n v="0.0014849789949827599"/>
        <n v="3.682796565480488E-4"/>
        <n v="2.822159548113867E-4"/>
        <n v="8.472560884747019E-4"/>
        <n v="9.860832257283635E-4"/>
        <n v="0.0012114302327490935"/>
        <n v="9.317992301100095E-4"/>
        <n v="0.00116414081359697"/>
        <n v="5.624551814910125E-4"/>
        <n v="0.0011373789558131316"/>
        <n v="0.0015097641246348374"/>
        <n v="0.0010286589085662882"/>
        <n v="0.0014535034008847226"/>
        <n v="0.0014490937765907947"/>
        <n v="8.378286158463042E-4"/>
        <n v="0.0011623161414753447"/>
        <n v="8.574438411537767E-4"/>
        <n v="4.2606094039951805E-4"/>
        <n v="1.4871077791246562E-4"/>
        <n v="2.2276205484842752E-4"/>
        <n v="4.7015718333879723E-4"/>
        <n v="3.5976451998046384E-4"/>
        <n v="5.6868947790656585E-5"/>
        <n v="4.237801002474864E-4"/>
        <n v="3.4334247088583576E-4"/>
        <n v="4.835381122307164E-4"/>
        <n v="0.0014732706822023307"/>
        <n v="4.043169309501494E-4"/>
        <n v="3.237272455783633E-4"/>
        <n v="7.496361299677459E-5"/>
        <n v="6.351379543357555E-4"/>
        <n v="0.0011094006499482098"/>
        <n v="0.0011291679312658176"/>
        <n v="6.507997233797064E-5"/>
        <n v="4.99808105315209E-4"/>
        <n v="5.446646283051654E-4"/>
        <n v="0.0011239980269212124"/>
        <n v="6.199323533222109E-4"/>
        <n v="2.1941682262544774E-4"/>
        <n v="0.0012678430125093439"/>
        <n v="1.855083323652434E-4"/>
        <n v="5.1546987435915997E-5"/>
        <n v="3.0365585224048446E-4"/>
        <n v="7.402086573393482E-4"/>
        <n v="0.0010403672213467176"/>
        <n v="9.693570646134645E-4"/>
        <n v="0.0011344898916205582"/>
        <n v="4.912929687476242E-4"/>
        <n v="2.3158130343628336E-4"/>
        <n v="0.0011171555064651173"/>
        <n v="3.3543555835879255E-4"/>
        <n v="3.95649738372429E-4"/>
        <n v="3.9899497059540874E-4"/>
        <n v="0.0014766159144253103"/>
        <n v="0.0012984062705465684"/>
        <n v="2.3249363949709602E-4"/>
        <n v="3.9990730665622144E-5"/>
        <n v="4.864271764232899E-4"/>
        <n v="0.0015115887967564628"/>
        <n v="6.597710279776976E-4"/>
        <n v="7.283482885487836E-5"/>
        <n v="6.234296415553262E-4"/>
        <n v="4.7669559177462135E-4"/>
        <n v="7.268277284474291E-4"/>
        <n v="8.504492646875462E-4"/>
        <n v="0.0010204478840189742"/>
        <n v="3.31482102095271E-4"/>
        <n v="4.473487818184804E-4"/>
        <n v="2.5393353692619384E-5"/>
        <n v="9.447239909715224E-4"/>
        <n v="2.2139355075720852E-4"/>
        <n v="5.160780983997017E-4"/>
        <n v="0.0011916629514314857"/>
        <n v="3.182532292134872E-4"/>
        <n v="6.102007686735424E-4"/>
        <n v="5.142534262780764E-4"/>
        <n v="0.0014308470553745414"/>
        <n v="4.65291391014463E-5"/>
        <n v="4.5327896621376275E-4"/>
        <n v="1.2605443240228424E-4"/>
        <n v="7.154235276872707E-4"/>
        <n v="1.0233369482115477E-4"/>
        <n v="1.0795976719616624E-4"/>
        <n v="0.0010107162993703057"/>
        <n v="8.904399953531683E-4"/>
        <n v="1.7030273135169885E-5"/>
        <n v="6.153706730181476E-4"/>
        <n v="0.0011439173642489558"/>
        <n v="4.765435357644859E-4"/>
        <n v="7.567827624441119E-4"/>
        <n v="5.405591160315084E-4"/>
        <n v="0.0014536554568948582"/>
        <n v="7.502443540082877E-4"/>
        <n v="0.0012363674184113066"/>
        <n v="2.3462242363899227E-4"/>
        <n v="5.200315546632233E-5"/>
        <n v="9.755913610290177E-4"/>
        <n v="2.6229661748364334E-4"/>
        <n v="0.0014094071579454435"/>
        <n v="7.782226598732096E-4"/>
        <n v="0.001496687307763189"/>
        <n v="2.314292474261479E-4"/>
        <n v="0.0015015531000875234"/>
        <n v="0.0011341857796002873"/>
        <n v="0.001402412581479213"/>
        <n v="7.233304402143138E-4"/>
        <n v="0.0013180214958540407"/>
        <n v="2.8753791516612727E-4"/>
        <n v="1.8155487610172183E-4"/>
        <n v="0.0012790951572593668"/>
        <n v="8.122832061435494E-4"/>
        <n v="0.0012950610383235886"/>
        <n v="4.3685691711913466E-4"/>
        <n v="7.893227486130971E-4"/>
        <n v="9.42899318849897E-4"/>
        <n v="0.0011813231427422754"/>
        <n v="0.0013560354983879021"/>
        <n v="0.0014719021781111116"/>
        <n v="5.945389996295916E-5"/>
        <n v="5.017848334469698E-6"/>
        <n v="5.884567592241738E-4"/>
        <n v="0.001367591755158196"/>
        <n v="0.0015141737489287653"/>
        <n v="0.0013840138042528242"/>
        <n v="9.425952068296261E-4"/>
        <n v="8.720412181267794E-4"/>
        <n v="7.760938757313134E-4"/>
        <n v="7.579992105251953E-4"/>
        <n v="5.411673400720502E-4"/>
        <n v="0.001206108272394353"/>
        <n v="8.24447686954385E-4"/>
        <n v="5.838950789201104E-4"/>
        <n v="0.0012289166739146698"/>
        <n v="7.712280834069791E-4"/>
        <n v="9.527829595087009E-4"/>
        <n v="3.179491171932164E-4"/>
        <n v="0.0012643457242762287"/>
        <n v="3.0107090006818193E-5"/>
        <n v="2.6199250546337245E-4"/>
        <n v="3.298094859837811E-4"/>
        <n v="8.930249475254709E-4"/>
        <n v="1.4536554568948581E-4"/>
        <n v="1.0050902269952941E-4"/>
        <n v="3.4440686295678384E-4"/>
        <n v="3.378684545209597E-4"/>
        <n v="0.0012722526368032718"/>
        <n v="9.010839160626495E-4"/>
        <n v="9.123360608126724E-5"/>
        <n v="3.874387138251149E-4"/>
        <n v="6.098966566532715E-4"/>
        <n v="7.253071683460746E-5"/>
        <n v="7.050837189980603E-4"/>
        <n v="2.0314682954095507E-4"/>
        <n v="8.601808493362147E-4"/>
        <n v="0.0013391572812628677"/>
        <n v="7.996625573023074E-4"/>
        <n v="8.735617782281339E-4"/>
        <n v="0.001352538210154787"/>
        <n v="0.0011054471936846881"/>
        <n v="3.7785918518658186E-4"/>
        <n v="0.0014107756620366624"/>
        <n v="0.0014086468778947664"/>
        <n v="0.0014264374310806135"/>
        <n v="8.714329940862377E-4"/>
        <n v="7.659061230522385E-4"/>
        <n v="6.653971003527091E-4"/>
        <n v="0.0013116351434283521"/>
        <n v="3.3133004608513556E-4"/>
        <n v="0.0011683983818807624"/>
        <n v="0.0012602402120025717"/>
        <n v="0.0014202031346650602"/>
        <n v="0.0010875045844887057"/>
        <n v="7.791349959340223E-4"/>
        <n v="3.3300266219662544E-4"/>
        <n v="0.0013907042686987837"/>
        <n v="0.0013098104713067267"/>
        <n v="0.0010129971395223373"/>
        <n v="0.0013347476569689398"/>
        <n v="0.001359076618590611"/>
        <n v="0.0014612582574016304"/>
        <n v="2.732446502133954E-4"/>
        <n v="6.611395320689166E-4"/>
        <n v="0.001077772999840037"/>
        <n v="7.481155698663914E-4"/>
        <n v="0.0013490409219216717"/>
        <n v="1.2042836002727277E-4"/>
        <n v="2.51956808794433E-4"/>
        <n v="5.814621827579433E-4"/>
        <n v="0.0010018970507824497"/>
        <n v="1.2210097613876266E-4"/>
        <n v="4.4826111787929306E-4"/>
        <n v="0.0012835047815532947"/>
        <n v="4.741106396023188E-4"/>
        <n v="5.69753869977514E-4"/>
        <n v="0.0012649539483167705"/>
        <n v="7.747253716400943E-4"/>
        <n v="2.6381717758499777E-4"/>
        <n v="6.734560688898877E-4"/>
        <n v="9.929257461844585E-5"/>
        <n v="0.0011387474599043508"/>
        <n v="0.0014533513448745873"/>
        <n v="7.616485547684461E-4"/>
        <n v="0.0010198396599784324"/>
        <n v="0.0010873525284785701"/>
        <n v="3.146038849702366E-4"/>
        <n v="0.0012599360999823008"/>
        <n v="2.8008717066949047E-4"/>
        <n v="3.016791241087237E-4"/>
        <n v="0.0015138696369084944"/>
        <n v="5.43448180224082E-4"/>
        <n v="0.0013143721516107902"/>
        <n v="2.6564184970662315E-4"/>
        <n v="2.055797257031222E-4"/>
        <n v="2.326456955072315E-5"/>
        <n v="2.2717167914235544E-4"/>
        <n v="5.416235081024566E-4"/>
        <n v="4.2134720408531926E-4"/>
        <n v="2.404005520241392E-4"/>
        <n v="4.3472813297723844E-4"/>
        <n v="3.559631197270777E-4"/>
        <n v="0.0011086403698975325"/>
        <n v="0.0013967865091042016"/>
        <n v="5.566770531058656E-4"/>
        <n v="0.0014577609691685152"/>
        <n v="2.913393154195134E-4"/>
        <n v="0.0011267350351036505"/>
        <n v="8.183654465489672E-4"/>
        <n v="6.655491563628445E-4"/>
        <n v="6.822753174777435E-4"/>
        <n v="8.545547769612032E-5"/>
        <n v="6.620518681297293E-4"/>
        <n v="0.0010656085190292014"/>
        <n v="0.0011396597959651633"/>
        <n v="2.172880384835515E-4"/>
        <n v="6.675258844946054E-4"/>
        <n v="6.853164376804525E-4"/>
        <n v="1.0993649532792703E-4"/>
        <n v="4.5814475853809704E-4"/>
        <n v="1.1510639967253218E-4"/>
        <n v="0.001430086775323864"/>
        <n v="0.0014659719937158292"/>
        <n v="4.117676754467862E-4"/>
        <n v="3.6371797624398545E-4"/>
        <n v="4.6148999076107684E-4"/>
        <n v="0.0015088517885740247"/>
        <n v="0.0012439702189180788"/>
        <n v="9.698132326438708E-4"/>
        <n v="9.701173446641417E-4"/>
        <n v="0.0013326188728270435"/>
        <n v="5.370618277983932E-4"/>
        <n v="1.9447963696323469E-4"/>
        <n v="0.0014265894870907488"/>
        <n v="4.1465673963935964E-4"/>
        <n v="9.99616210630418E-4"/>
        <n v="5.367577157781223E-4"/>
        <n v="3.5733162381829674E-5"/>
        <n v="9.682926725425164E-4"/>
        <n v="0.0011037745775731983"/>
        <n v="6.771054131331384E-4"/>
        <n v="1.8398777226388894E-4"/>
        <n v="7.788308839137514E-4"/>
        <n v="0.0011971369677963616"/>
        <n v="0.0014284141592123742"/>
        <n v="1.8429188428415984E-4"/>
        <n v="2.3401419959845048E-4"/>
        <n v="0.0015201039333240477"/>
        <n v="9.024524201538685E-4"/>
        <n v="4.2514860433870536E-4"/>
        <n v="6.436530909033404E-4"/>
        <n v="0.001344327185607473"/>
        <n v="0.0011236939149009415"/>
        <n v="8.332669355422408E-5"/>
        <n v="3.074572524938706E-4"/>
        <n v="0.0014644514336144747"/>
        <n v="8.749302823193529E-4"/>
        <n v="0.0012071726644653012"/>
        <n v="7.28196232538648E-4"/>
        <n v="9.803050973432165E-4"/>
        <n v="2.2884429525384535E-4"/>
        <n v="0.0012635854442255513"/>
        <n v="0.0010230328361912767"/>
        <n v="5.779648945248281E-4"/>
        <n v="0.0013456956896986919"/>
        <n v="0.0010326123648298098"/>
        <n v="0.0013206064480263434"/>
        <n v="3.749701209940084E-4"/>
        <n v="8.197339506401863E-4"/>
        <n v="2.2230588681802118E-4"/>
        <n v="3.28745093912833E-4"/>
        <n v="4.8399428026112276E-4"/>
        <n v="2.6503362566608136E-4"/>
        <n v="2.448101763180671E-5"/>
        <n v="1.4642993776043393E-4"/>
        <n v="0.0010437124535696972"/>
        <n v="9.93077802194594E-4"/>
        <n v="6.68438220555418E-4"/>
        <n v="6.818191494473373E-4"/>
        <n v="9.868435057790407E-5"/>
        <n v="0.0012447304989687562"/>
        <n v="0.0012860897337255972"/>
        <n v="7.341264169339304E-4"/>
        <n v="9.465486630931477E-4"/>
        <n v="2.7643782642623976E-4"/>
        <n v="0.0013651588589960288"/>
        <n v="0.0010424960054886136"/>
        <n v="0.0013946577249623053"/>
        <n v="8.252079670050623E-4"/>
        <n v="3.5535489568653595E-4"/>
        <n v="3.710166647304868E-5"/>
        <n v="6.699587806567725E-4"/>
        <n v="3.1901350926416447E-4"/>
        <n v="4.570803664671489E-4"/>
        <n v="6.850123256601816E-4"/>
        <n v="0.0015182792612024225"/>
        <n v="3.4364658290610665E-4"/>
        <n v="4.409624293927917E-4"/>
        <n v="3.64934424325069E-4"/>
        <n v="6.320968341330466E-4"/>
        <n v="1.5616152240910242E-4"/>
        <n v="0.0011758491263773993"/>
        <n v="0.0011036225215630628"/>
        <n v="9.962709784074382E-4"/>
        <n v="5.875444231633611E-4"/>
        <n v="8.033119015455581E-4"/>
        <n v="4.637708309131085E-4"/>
        <n v="3.442548069466484E-4"/>
        <n v="1.8596450039564974E-4"/>
        <n v="0.0011431570841982787"/>
        <n v="2.3523064767953406E-4"/>
        <n v="3.9519357034202264E-4"/>
        <n v="7.719883634576564E-4"/>
        <n v="8.927208355052E-4"/>
        <n v="6.284474898897959E-4"/>
        <n v="7.576950985049244E-4"/>
        <n v="0.0010043299469446169"/>
        <n v="0.001083855240245455"/>
        <n v="6.983932545521008E-4"/>
        <n v="7.225701601636365E-4"/>
        <n v="0.0013485847538912653"/>
        <n v="2.6001577733161164E-5"/>
        <n v="0.0011247583069718898"/>
        <n v="4.6559550303473384E-4"/>
        <n v="2.367512077808885E-4"/>
        <n v="0.001353602602225735"/>
        <n v="0.0013885754845568874"/>
        <n v="7.011302627345388E-4"/>
        <n v="2.0405916560176774E-4"/>
        <n v="8.448231923125347E-4"/>
        <n v="0.0014059098697123283"/>
        <n v="1.2316536820971077E-4"/>
        <n v="1.3441751295973376E-4"/>
        <n v="1.9022206867944222E-4"/>
        <n v="7.602800506772271E-6"/>
        <n v="0.0014735747942226014"/>
        <n v="0.0010254657323534439"/>
        <n v="4.1800197186233945E-4"/>
        <n v="1.9083029271998398E-4"/>
        <n v="4.1313617953800516E-4"/>
        <n v="0.0010583098305427"/>
        <n v="0.001328665416563522"/>
        <n v="7.009782067244034E-5"/>
        <n v="0.0011521283887962698"/>
        <n v="1.315284487671603E-4"/>
        <n v="0.0014881721711956042"/>
        <n v="4.91901192788166E-4"/>
        <n v="0.0010187752679074842"/>
        <n v="8.331148795321054E-4"/>
        <n v="7.245468882953974E-4"/>
        <n v="6.600751399979685E-4"/>
        <n v="2.4435400828766077E-4"/>
        <n v="3.7360161690278937E-4"/>
        <n v="8.807084107044998E-4"/>
        <n v="9.290622219275715E-5"/>
        <n v="7.207454880420113E-5"/>
        <n v="0.0010631756228670344"/>
        <n v="9.021483081335976E-4"/>
        <n v="0.001274685532965439"/>
        <n v="9.016921401031913E-4"/>
        <n v="2.524129768248394E-5"/>
        <n v="1.7091095539224064E-4"/>
        <n v="0.0011750888463267222"/>
        <n v="9.363609104140728E-4"/>
        <n v="6.944397982885792E-4"/>
        <n v="0.0011871012711274222"/>
        <n v="4.158731877204432E-4"/>
        <n v="6.035103042275828E-4"/>
        <n v="0.0012961254303945366"/>
        <n v="0.0011346419476306936"/>
        <n v="0.0011904465033504021"/>
        <n v="1.7699319579765846E-4"/>
        <n v="1.5874647458140502E-4"/>
        <n v="5.908896553863408E-4"/>
        <n v="8.265764710962812E-4"/>
        <n v="0.0014373854638103656"/>
        <n v="2.6761857783838392E-5"/>
        <n v="2.216976627774794E-4"/>
        <n v="0.001101645793431302"/>
        <n v="7.351908090048785E-4"/>
        <n v="6.348338423154846E-4"/>
        <n v="0.0011621640854652094"/>
        <n v="7.537416422414029E-4"/>
        <n v="0.001512957300847682"/>
        <n v="5.528756528524795E-4"/>
        <n v="0.001462170593462443"/>
        <n v="0.0014933420755402094"/>
        <n v="0.0012462510590701107"/>
        <n v="0.001293844590242505"/>
        <n v="0.0010499467499852505"/>
        <n v="4.66659895105682E-4"/>
        <n v="0.001404085197590703"/>
        <n v="0.0014157935103711323"/>
        <n v="0.0013452395216682856"/>
        <n v="0.0010186232118973488"/>
        <n v="6.596189719675622E-4"/>
        <n v="5.691456459369722E-4"/>
        <n v="7.733568675488754E-4"/>
        <n v="0.0013166529917628218"/>
        <n v="4.8201755212936195E-5"/>
        <n v="0.0011772176304686184"/>
        <n v="0.0011966807997659554"/>
        <n v="2.726364261728536E-4"/>
        <n v="4.768476477847568E-4"/>
        <n v="0.0013463039137392337"/>
        <n v="5.98796567913384E-4"/>
        <n v="0.0010091957392689512"/>
        <n v="0.0012459469470498398"/>
        <n v="0.0011157870023738984"/>
        <n v="4.900765206665406E-4"/>
        <n v="1.409559213955579E-4"/>
        <n v="6.415243067614442E-4"/>
        <n v="9.640351042587239E-5"/>
        <n v="1.7653702776725211E-4"/>
        <n v="4.342719649468321E-4"/>
        <n v="1.9812898120648536E-4"/>
        <n v="9.327115661708222E-4"/>
        <n v="3.848537616528123E-4"/>
        <n v="0.001228004337853857"/>
        <n v="2.908831473891071E-4"/>
        <n v="9.000195239917014E-4"/>
        <n v="0.0013365723290905652"/>
        <n v="0.0011340337235901518"/>
        <n v="4.02492258828524E-4"/>
        <n v="6.763451330824611E-4"/>
        <n v="1.6680544311858361E-4"/>
        <n v="0.0010418877814480719"/>
        <n v="2.805433386998968E-4"/>
        <n v="5.840471349302459E-4"/>
        <n v="0.001231349570076837"/>
        <n v="0.0013847740843035013"/>
        <n v="6.511038353999773E-4"/>
        <n v="1.7836169988887747E-4"/>
        <n v="0.0014103194940062562"/>
        <n v="4.2408421226775727E-4"/>
        <n v="0.0015050503883206386"/>
        <n v="7.139029675859162E-4"/>
        <n v="5.952992796802688E-4"/>
        <n v="6.152186170080121E-4"/>
        <n v="0.0013446312976277438"/>
        <n v="0.0010792935599413915"/>
        <n v="9.16593629096465E-4"/>
        <n v="0.0011635325895564283"/>
        <n v="0.001507939452513212"/>
        <n v="0.0010368699331136022"/>
        <n v="0.0011930314555227046"/>
        <n v="0.0011804108066814627"/>
        <n v="3.0700108446346427E-4"/>
        <n v="7.35342865015014E-4"/>
        <n v="4.160252437305786E-4"/>
        <n v="0.0014697733939692153"/>
        <n v="9.079264365187445E-4"/>
        <n v="7.551101463326219E-4"/>
        <n v="0.0013499532579824844"/>
        <n v="0.0011055992496948235"/>
        <n v="8.423902961503676E-4"/>
        <n v="9.842585536067382E-4"/>
        <n v="6.11417216754626E-4"/>
        <n v="0.0014004358533474522"/>
        <n v="0.0011425488601577369"/>
        <n v="1.1936396795632465E-4"/>
        <n v="0.0012394085386140156"/>
        <n v="0.001491517403418584"/>
        <n v="9.556720237012744E-4"/>
        <n v="0.0011454379243503103"/>
        <n v="7.29868848650138E-5"/>
        <n v="9.898846259817496E-5"/>
        <n v="0.0011011896254008956"/>
        <n v="2.905790353688362E-4"/>
        <n v="0.0010415836694278012"/>
        <n v="0.0014386019118914491"/>
        <n v="9.891243459310725E-4"/>
        <n v="3.0548052436210984E-4"/>
        <n v="9.80457153353352E-4"/>
        <n v="8.011831174036619E-4"/>
        <n v="0.0010136053635628791"/>
        <n v="4.6863662323744275E-4"/>
        <n v="7.268277284474291E-5"/>
        <n v="8.318984314510218E-4"/>
        <n v="0.001394201556931899"/>
        <n v="8.750823383294883E-4"/>
        <n v="8.956098996977735E-5"/>
        <n v="1.0294191886169654E-4"/>
        <n v="2.3918410394305564E-4"/>
        <n v="0.0010481220778636251"/>
        <n v="7.107097913730719E-4"/>
        <n v="1.4521348967935037E-4"/>
        <n v="0.0013063131830736115"/>
        <n v="9.013880280829204E-4"/>
        <n v="8.242956309442496E-4"/>
        <n v="0.0014913653474084485"/>
        <n v="0.0010826387921643713"/>
        <n v="3.3634789441960524E-4"/>
        <n v="5.832868548795686E-4"/>
        <n v="8.697603779747478E-4"/>
        <n v="1.9341524489228657E-4"/>
        <n v="0.001359380730610882"/>
        <n v="8.539465529206615E-4"/>
        <n v="0.0015155422530199845"/>
        <n v="1.748644116557622E-4"/>
        <n v="0.0011437653082388205"/>
        <n v="2.6047194536201796E-4"/>
        <n v="9.673803364817037E-4"/>
        <n v="9.923175221439168E-4"/>
        <n v="1.7303973953413689E-4"/>
        <n v="4.909888567273533E-4"/>
        <n v="0.0011334254995496102"/>
        <n v="0.001323191400198646"/>
        <n v="8.980427958599406E-4"/>
        <n v="7.198331519811986E-4"/>
        <n v="7.894748046232326E-4"/>
        <n v="8.728014981774567E-5"/>
        <n v="3.14755940980372E-4"/>
        <n v="8.341792716030535E-4"/>
      </sharedItems>
    </cacheField>
    <cacheField name="cumulative share of units sold" numFmtId="10">
      <sharedItems containsSemiMixedTypes="0" containsString="0" containsNumber="1">
        <n v="9.883640658803952E-5"/>
        <n v="4.0188403478798226E-4"/>
        <n v="0.0011154828903536275"/>
        <n v="0.001293540478222234"/>
        <n v="0.0024564648437381204"/>
        <n v="0.002794029186238809"/>
        <n v="0.0038125003421260227"/>
        <n v="0.004484435850914556"/>
        <n v="0.005282273736095238"/>
        <n v="0.006394563450236021"/>
        <n v="0.006971768064710172"/>
        <n v="0.0071484571484875595"/>
        <n v="0.008256945462374956"/>
        <n v="0.009332893790093368"/>
        <n v="0.010787461583049038"/>
        <n v="0.01158697208434121"/>
        <n v="0.012959277575813605"/>
        <n v="0.013705568473558371"/>
        <n v="0.014446993578978802"/>
        <n v="0.015831159439241762"/>
        <n v="0.01628960830980013"/>
        <n v="0.016363507530725956"/>
        <n v="0.016366852762948934"/>
        <n v="0.01687243899664929"/>
        <n v="0.017837842604999234"/>
        <n v="0.018959407735758278"/>
        <n v="0.019995365332811068"/>
        <n v="0.02049608577418709"/>
        <n v="0.02094617156418801"/>
        <n v="0.02125226031259066"/>
        <n v="0.021331177381850957"/>
        <n v="0.021904580596071723"/>
        <n v="0.023252709181932583"/>
        <n v="0.024486643704181722"/>
        <n v="0.025283721309311728"/>
        <n v="0.025898179646269063"/>
        <n v="0.02614192543051618"/>
        <n v="0.02730044017173814"/>
        <n v="0.02772574083208698"/>
        <n v="0.02898810982823145"/>
        <n v="0.029769373608307368"/>
        <n v="0.031237170274144823"/>
        <n v="0.03160925133094626"/>
        <n v="0.0324853980613467"/>
        <n v="0.03347087306303452"/>
        <n v="0.03484302649849678"/>
        <n v="0.03604700598674923"/>
        <n v="0.03756270029577935"/>
        <n v="0.03814720359874"/>
        <n v="0.038226272724010434"/>
        <n v="0.038657959736784965"/>
        <n v="0.038943064755788924"/>
        <n v="0.03894336886780919"/>
        <n v="0.039606941296040275"/>
        <n v="0.03990527518792602"/>
        <n v="0.04111472869254335"/>
        <n v="0.04129795618475656"/>
        <n v="0.042695046805881036"/>
        <n v="0.04395984869818767"/>
        <n v="0.04521370255776455"/>
        <n v="0.046180778782225984"/>
        <n v="0.04755141165758689"/>
        <n v="0.048088017317354875"/>
        <n v="0.04808953787745623"/>
        <n v="0.04945500084847253"/>
        <n v="0.04970209186494263"/>
        <n v="0.050155218775146254"/>
        <n v="0.050856653149901065"/>
        <n v="0.05175606444985222"/>
        <n v="0.051763059026318455"/>
        <n v="0.05241720398192114"/>
        <n v="0.05288325565298628"/>
        <n v="0.05301828138998656"/>
        <n v="0.05333942368339262"/>
        <n v="0.05462779425727025"/>
        <n v="0.055446767927859755"/>
        <n v="0.05567865334331631"/>
        <n v="0.055868115131945076"/>
        <n v="0.05693235514688306"/>
        <n v="0.05769810921392516"/>
        <n v="0.05832442791967306"/>
        <n v="0.05833735268053457"/>
        <n v="0.058694684304352866"/>
        <n v="0.059297586384539906"/>
        <n v="0.060146210977105825"/>
        <n v="0.06100821649856367"/>
        <n v="0.06111328720156726"/>
        <n v="0.06240621945574895"/>
        <n v="0.06240652356776922"/>
        <n v="0.0629332455868784"/>
        <n v="0.0633150582283285"/>
        <n v="0.06445334952020244"/>
        <n v="0.06591612833770542"/>
        <n v="0.06691087875601151"/>
        <n v="0.0675105876599857"/>
        <n v="0.06892364416217439"/>
        <n v="0.07028591395697785"/>
        <n v="0.07145355205880793"/>
        <n v="0.07278130513931064"/>
        <n v="0.07285672492033782"/>
        <n v="0.07317436992551077"/>
        <n v="0.07357975124853186"/>
        <n v="0.07397479276286374"/>
        <n v="0.0751985395324338"/>
        <n v="0.07588720120233723"/>
        <n v="0.07694003701651506"/>
        <n v="0.07721206521864737"/>
        <n v="0.07847519449484253"/>
        <n v="0.07968586444754094"/>
        <n v="0.08090824271301979"/>
        <n v="0.08145974986178105"/>
        <n v="0.08174257404063298"/>
        <n v="0.08272227091393565"/>
        <n v="0.08420831430098935"/>
        <n v="0.08479631489218312"/>
        <n v="0.08496129566318007"/>
        <n v="0.08588549209278332"/>
        <n v="0.08731025690775245"/>
        <n v="0.08824388080998408"/>
        <n v="0.08900659375682347"/>
        <n v="0.08910010820305678"/>
        <n v="0.0893687911729661"/>
        <n v="0.08958471070735843"/>
        <n v="0.0897063555154668"/>
        <n v="0.09073121302377969"/>
        <n v="0.09192819793556592"/>
        <n v="0.09193640896011324"/>
        <n v="0.09260165400445582"/>
        <n v="0.09305143568243647"/>
        <n v="0.09334733667816004"/>
        <n v="0.09400132957775259"/>
        <n v="0.09408207131913451"/>
        <n v="0.09532269630582961"/>
        <n v="0.09648714123144685"/>
        <n v="0.09721640185605644"/>
        <n v="0.09854430699256929"/>
        <n v="0.09913899804820901"/>
        <n v="0.10025235215442074"/>
        <n v="0.10043998927092788"/>
        <n v="0.10149282508510571"/>
        <n v="0.10282331517379086"/>
        <n v="0.10286117712031458"/>
        <n v="0.1037123866650528"/>
        <n v="0.10396601608995872"/>
        <n v="0.10471245904371362"/>
        <n v="0.10559377567845867"/>
        <n v="0.10564152126564119"/>
        <n v="0.10698919368347165"/>
        <n v="0.10726274244570531"/>
        <n v="0.10727369047843506"/>
        <n v="0.10731626616127299"/>
        <n v="0.10758114773092893"/>
        <n v="0.10770142403494606"/>
        <n v="0.10835861011075146"/>
        <n v="0.10936841407406095"/>
        <n v="0.10942254601366917"/>
        <n v="0.10973228410631508"/>
        <n v="0.10982443004845716"/>
        <n v="0.11108755932465231"/>
        <n v="0.11126500868848037"/>
        <n v="0.11178063061884966"/>
        <n v="0.11273888759472324"/>
        <n v="0.11411545065447942"/>
        <n v="0.11440511735378744"/>
        <n v="0.11500284952962989"/>
        <n v="0.11547209437690788"/>
        <n v="0.11559875703335071"/>
        <n v="0.11678646652851866"/>
        <n v="0.11697258308492445"/>
        <n v="0.1183129568142684"/>
        <n v="0.11866314180561033"/>
        <n v="0.11993083276210954"/>
        <n v="0.1205089497126445"/>
        <n v="0.12120354156694321"/>
        <n v="0.12126770920322037"/>
        <n v="0.12217502741569858"/>
        <n v="0.12353699309848176"/>
        <n v="0.1238103898047053"/>
        <n v="0.12473063277804501"/>
        <n v="0.12515000325399858"/>
        <n v="0.12544423163361068"/>
        <n v="0.12620694458045006"/>
        <n v="0.1262822123054671"/>
        <n v="0.12744285583083095"/>
        <n v="0.1286930603461646"/>
        <n v="0.1296827929161362"/>
        <n v="0.13110862212317628"/>
        <n v="0.13133731436242"/>
        <n v="0.1319082846804786"/>
        <n v="0.1329472833977341"/>
        <n v="0.1342681939577807"/>
        <n v="0.13530232688271185"/>
        <n v="0.13635425036082885"/>
        <n v="0.13660058109724826"/>
        <n v="0.13755549284089885"/>
        <n v="0.13758468759484485"/>
        <n v="0.13760567132424353"/>
        <n v="0.13881132342860747"/>
        <n v="0.13977094890857228"/>
        <n v="0.13981854243974468"/>
        <n v="0.1400803828891979"/>
        <n v="0.1402179935783705"/>
        <n v="0.14159668542226858"/>
        <n v="0.1428991972050888"/>
        <n v="0.14423607364619964"/>
        <n v="0.14561263670595584"/>
        <n v="0.1469878312616208"/>
        <n v="0.1483478202162722"/>
        <n v="0.14966325675995396"/>
        <n v="0.15097048227908838"/>
        <n v="0.15222540053073622"/>
        <n v="0.1525757375780883"/>
        <n v="0.15284715755618006"/>
        <n v="0.15294051994640323"/>
        <n v="0.154287432084183"/>
        <n v="0.15439402334728794"/>
        <n v="0.15514791704553949"/>
        <n v="0.15647673451811314"/>
        <n v="0.15706230221314474"/>
        <n v="0.15739743365948325"/>
        <n v="0.15746768353616583"/>
        <n v="0.1575876557281627"/>
        <n v="0.1576267341227675"/>
        <n v="0.15829866963155603"/>
        <n v="0.1589703010283243"/>
        <n v="0.16030459251726284"/>
        <n v="0.1610829672331462"/>
        <n v="0.1615403517116336"/>
        <n v="0.16155905460088027"/>
        <n v="0.1616209413970054"/>
        <n v="0.1626981061728049"/>
        <n v="0.16405779101543605"/>
        <n v="0.16466008487158254"/>
        <n v="0.1648933387911303"/>
        <n v="0.16543283351509086"/>
        <n v="0.16689986990087763"/>
        <n v="0.16736576951593263"/>
        <n v="0.16783121296295722"/>
        <n v="0.16853097472160053"/>
        <n v="0.1688881542894087"/>
        <n v="0.16969131413494412"/>
        <n v="0.17121126601225803"/>
        <n v="0.1718353038778539"/>
        <n v="0.1723071336773042"/>
        <n v="0.17314481023714035"/>
        <n v="0.17360736461997237"/>
        <n v="0.1748335442857046"/>
        <n v="0.176147460269285"/>
        <n v="0.17727328296832784"/>
        <n v="0.1781243404570559"/>
        <n v="0.17825206750556968"/>
        <n v="0.17949162810019384"/>
        <n v="0.18035606651781386"/>
        <n v="0.1814428108222519"/>
        <n v="0.18239939518201398"/>
        <n v="0.18313975589536347"/>
        <n v="0.18448651597713311"/>
        <n v="0.18541633847911138"/>
        <n v="0.18590702322381847"/>
        <n v="0.18692154092344215"/>
        <n v="0.18753402253226772"/>
        <n v="0.1885363757510806"/>
        <n v="0.18939412370425465"/>
        <n v="0.18964410378491733"/>
        <n v="0.19024274829682059"/>
        <n v="0.19131763223246806"/>
        <n v="0.19197390597221264"/>
        <n v="0.19279698515507582"/>
        <n v="0.1935720146387362"/>
        <n v="0.19464857119049514"/>
        <n v="0.19484517961160028"/>
        <n v="0.196269488258539"/>
        <n v="0.19669022723858376"/>
        <n v="0.1973008841752877"/>
        <n v="0.19858849446911467"/>
        <n v="0.19902428699416286"/>
        <n v="0.19911050275190967"/>
        <n v="0.19954447060483624"/>
        <n v="0.19995046015189788"/>
        <n v="0.19996581780892156"/>
        <n v="0.20142935690647523"/>
        <n v="0.20251229981065988"/>
        <n v="0.2038011265525679"/>
        <n v="0.2043155320348561"/>
        <n v="0.20432632801157574"/>
        <n v="0.20526466565012158"/>
        <n v="0.20657721312961075"/>
        <n v="0.2066126421799723"/>
        <n v="0.20809974995909697"/>
        <n v="0.20891598662150404"/>
        <n v="0.20932729812892042"/>
        <n v="0.21077259050525785"/>
        <n v="0.21124791759294126"/>
        <n v="0.21228007378974068"/>
        <n v="0.2128554537320932"/>
        <n v="0.21390707309818993"/>
        <n v="0.21476907861964778"/>
        <n v="0.21614548962339383"/>
        <n v="0.21667829388290843"/>
        <n v="0.21685331035057434"/>
        <n v="0.21735007733568684"/>
        <n v="0.21868832228088889"/>
        <n v="0.21997030650234084"/>
        <n v="0.22027715553079416"/>
        <n v="0.22155123283971906"/>
        <n v="0.2227349888786235"/>
        <n v="0.22295653448539085"/>
        <n v="0.223495573041321"/>
        <n v="0.22465758507077607"/>
        <n v="0.22572091274965325"/>
        <n v="0.22715845026947376"/>
        <n v="0.22827925512018213"/>
        <n v="0.2283641023738377"/>
        <n v="0.2291718238996772"/>
        <n v="0.22960046979224902"/>
        <n v="0.23028517800588894"/>
        <n v="0.2307916765756501"/>
        <n v="0.2308254330099002"/>
        <n v="0.23219667410930164"/>
        <n v="0.23314094193224275"/>
        <n v="0.23382656248194347"/>
        <n v="0.2343152704985188"/>
        <n v="0.2348862408165774"/>
        <n v="0.2356746512291297"/>
        <n v="0.23588600908321797"/>
        <n v="0.23673022405148997"/>
        <n v="0.23823497032779034"/>
        <n v="0.23883832857600779"/>
        <n v="0.24008959748341235"/>
        <n v="0.24130452500439456"/>
        <n v="0.24237621576382917"/>
        <n v="0.24261114229948844"/>
        <n v="0.2435027987429227"/>
        <n v="0.24364040943209528"/>
        <n v="0.24494945962335132"/>
        <n v="0.24593873602529254"/>
        <n v="0.246993396511592"/>
        <n v="0.24764480445901224"/>
        <n v="0.24869034158470357"/>
        <n v="0.24940926240062397"/>
        <n v="0.2500156617690441"/>
        <n v="0.25122040153734726"/>
        <n v="0.25190115629472365"/>
        <n v="0.2533449281109597"/>
        <n v="0.25350397869756136"/>
        <n v="0.25451773611713435"/>
        <n v="0.2547996479599255"/>
        <n v="0.25624296360813115"/>
        <n v="0.257707871209776"/>
        <n v="0.25912518528024847"/>
        <n v="0.2594765867196715"/>
        <n v="0.2603405689692611"/>
        <n v="0.26128194772800967"/>
        <n v="0.2620618430039944"/>
        <n v="0.26301781913971595"/>
        <n v="0.26353526574220687"/>
        <n v="0.26409239896334313"/>
        <n v="0.26493463720348337"/>
        <n v="0.2655740327261029"/>
        <n v="0.26612842893905675"/>
        <n v="0.2666724853433214"/>
        <n v="0.2679895945031146"/>
        <n v="0.2686750629968052"/>
        <n v="0.2688071996696129"/>
        <n v="0.2689212416772145"/>
        <n v="0.26965780099031056"/>
        <n v="0.2705958345168361"/>
        <n v="0.271225498454807"/>
        <n v="0.27165262378727745"/>
        <n v="0.2720075225149336"/>
        <n v="0.2720440159573661"/>
        <n v="0.2728336428179995"/>
        <n v="0.2736410602318187"/>
        <n v="0.2750632400946155"/>
        <n v="0.2755054189720894"/>
        <n v="0.2756591475983364"/>
        <n v="0.277094556334015"/>
        <n v="0.2785433459985855"/>
        <n v="0.27881385364061645"/>
        <n v="0.2797071827001622"/>
        <n v="0.2810127356031851"/>
        <n v="0.28137706180346966"/>
        <n v="0.2821254814853563"/>
        <n v="0.2826858078827054"/>
        <n v="0.28319549962867946"/>
        <n v="0.2845962395940472"/>
        <n v="0.28597401910188447"/>
        <n v="0.2862478719761384"/>
        <n v="0.2864736751511895"/>
        <n v="0.2878747192285775"/>
        <n v="0.28882765424409634"/>
        <n v="0.2899548454472304"/>
        <n v="0.29138706100669615"/>
        <n v="0.2920629499717482"/>
        <n v="0.2927450732332158"/>
        <n v="0.29325415675514926"/>
        <n v="0.29434318189973935"/>
        <n v="0.2943485038600941"/>
        <n v="0.2950931221417274"/>
        <n v="0.29533063362955897"/>
        <n v="0.29669989800082863"/>
        <n v="0.2975918585562832"/>
        <n v="0.29909645277657343"/>
        <n v="0.29936239873830034"/>
        <n v="0.30041569072050855"/>
        <n v="0.3019280397973157"/>
        <n v="0.302200067999448"/>
        <n v="0.30315300301496684"/>
        <n v="0.30466048629944964"/>
        <n v="0.30534260956091724"/>
        <n v="0.3058158078644588"/>
        <n v="0.30701735445654904"/>
        <n v="0.3071592227140054"/>
        <n v="0.3081037946489668"/>
        <n v="0.3082572191631935"/>
        <n v="0.3085426282942177"/>
        <n v="0.3089781167072456"/>
        <n v="0.3104331406682317"/>
        <n v="0.31160138699410234"/>
        <n v="0.3130460711463992"/>
        <n v="0.31381547455768455"/>
        <n v="0.3142622151154625"/>
        <n v="0.3157826231608068"/>
        <n v="0.3161176025511352"/>
        <n v="0.31648162463939944"/>
        <n v="0.3170635429901878"/>
        <n v="0.3179716214827167"/>
        <n v="0.3186833956661607"/>
        <n v="0.31947743215108804"/>
        <n v="0.32004079966863985"/>
        <n v="0.32012701542638666"/>
        <n v="0.3205900259772491"/>
        <n v="0.3215590789298423"/>
        <n v="0.32243218454004"/>
        <n v="0.32247993012722254"/>
        <n v="0.32323838550577816"/>
        <n v="0.3244177319203887"/>
        <n v="0.32553473537084365"/>
        <n v="0.3262364738576187"/>
        <n v="0.32639658883629136"/>
        <n v="0.32753214311998285"/>
        <n v="0.328557304740316"/>
        <n v="0.3286368300336169"/>
        <n v="0.3299662557302311"/>
        <n v="0.3309829022139967"/>
        <n v="0.33168676948491366"/>
        <n v="0.33272500792211845"/>
        <n v="0.33365893593637036"/>
        <n v="0.3348252055341092"/>
        <n v="0.33587028649177014"/>
        <n v="0.33670081641912997"/>
        <n v="0.33788350806596346"/>
        <n v="0.33872422574600236"/>
        <n v="0.3390739545693139"/>
        <n v="0.33985810741358236"/>
        <n v="0.34126036793905146"/>
        <n v="0.34176108838042746"/>
        <n v="0.3418045763993262"/>
        <n v="0.3424832023725607"/>
        <n v="0.34325899213627176"/>
        <n v="0.3439262139087461"/>
        <n v="0.3444406193910343"/>
        <n v="0.3451753540320088"/>
        <n v="0.34564961672762123"/>
        <n v="0.3470613047257187"/>
        <n v="0.34800572460467"/>
        <n v="0.34839635649470796"/>
        <n v="0.3487010767390194"/>
        <n v="0.3499306016369746"/>
        <n v="0.35104973387157146"/>
        <n v="0.3520221320563876"/>
        <n v="0.35309291047976143"/>
        <n v="0.3534260651979682"/>
        <n v="0.35411685565201356"/>
        <n v="0.35477738696004196"/>
        <n v="0.3554777569427258"/>
        <n v="0.35608278780705477"/>
        <n v="0.3568769763479922"/>
        <n v="0.3579872893340012"/>
        <n v="0.35912740529799675"/>
        <n v="0.3600928089063467"/>
        <n v="0.3606402105428343"/>
        <n v="0.36185909152008"/>
        <n v="0.3618818999216003"/>
        <n v="0.3630915054822278"/>
        <n v="0.3639615699722228"/>
        <n v="0.365149583579411"/>
        <n v="0.36607499645709535"/>
        <n v="0.3674222127068954"/>
        <n v="0.36781117198082186"/>
        <n v="0.36920978316204767"/>
        <n v="0.3698470499005253"/>
        <n v="0.3708524442395409"/>
        <n v="0.37185738241052607"/>
        <n v="0.37193827620791814"/>
        <n v="0.3724257677764124"/>
        <n v="0.37252825352724367"/>
        <n v="0.37296952006865675"/>
        <n v="0.37330389123494456"/>
        <n v="0.37336304102288725"/>
        <n v="0.37453402435694033"/>
        <n v="0.37475937136396104"/>
        <n v="0.375619248101277"/>
        <n v="0.3764064420657482"/>
        <n v="0.37679479311563413"/>
        <n v="0.3782165168104005"/>
        <n v="0.37945181983674087"/>
        <n v="0.37998766521645816"/>
        <n v="0.38009516881562394"/>
        <n v="0.3815527777287823"/>
        <n v="0.38233069627663524"/>
        <n v="0.3828680622164539"/>
        <n v="0.3837144059688678"/>
        <n v="0.3848726165980695"/>
        <n v="0.385593970310152"/>
        <n v="0.386643612948117"/>
        <n v="0.3874344562568314"/>
        <n v="0.3880388788971198"/>
        <n v="0.38896778906303725"/>
        <n v="0.389848801585762"/>
        <n v="0.3903870798616415"/>
        <n v="0.39043786656902674"/>
        <n v="0.3911756423302039"/>
        <n v="0.39247389654474035"/>
        <n v="0.3938413362438884"/>
        <n v="0.39475367230470104"/>
        <n v="0.39575997897977744"/>
        <n v="0.3965667881695561"/>
        <n v="0.3967705432231376"/>
        <n v="0.3968427698279519"/>
        <n v="0.3976796861077374"/>
        <n v="0.39866637755750634"/>
        <n v="0.3994903690764303"/>
        <n v="0.4004125887779018"/>
        <n v="0.4008406264464331"/>
        <n v="0.40226022135705763"/>
        <n v="0.4034050510573674"/>
        <n v="0.4046471966041639"/>
        <n v="0.40478708813348846"/>
        <n v="0.4048807546357319"/>
        <n v="0.40503022569369507"/>
        <n v="0.405908045040207"/>
        <n v="0.40688318023320563"/>
        <n v="0.4077315007137513"/>
        <n v="0.4080182783488668"/>
        <n v="0.4082008976170394"/>
        <n v="0.40943133485105543"/>
        <n v="0.41027114019503347"/>
        <n v="0.4113288418015356"/>
        <n v="0.4125725079084334"/>
        <n v="0.4133931541951344"/>
        <n v="0.4146502012309241"/>
        <n v="0.4153583260701249"/>
        <n v="0.41676165098766493"/>
        <n v="0.41747981152353464"/>
        <n v="0.41825377661512403"/>
        <n v="0.4189897277041796"/>
        <n v="0.41916793734805835"/>
        <n v="0.41937382118578176"/>
        <n v="0.41959962436083287"/>
        <n v="0.4196519316283195"/>
        <n v="0.4202843325744728"/>
        <n v="0.4211325009990083"/>
        <n v="0.42145166656428257"/>
        <n v="0.4222590839781018"/>
        <n v="0.422685905198552"/>
        <n v="0.4228721738109679"/>
        <n v="0.4240057513665277"/>
        <n v="0.4241898911948017"/>
        <n v="0.4249164148112289"/>
        <n v="0.4262014401528835"/>
        <n v="0.42714996554410845"/>
        <n v="0.42789595232983296"/>
        <n v="0.428618978658027"/>
        <n v="0.4299947814377325"/>
        <n v="0.43018880490666533"/>
        <n v="0.43150834696262075"/>
        <n v="0.4324831780435991"/>
        <n v="0.43384544783840256"/>
        <n v="0.43435422724831574"/>
        <n v="0.4358346445629944"/>
        <n v="0.4358718982854776"/>
        <n v="0.43681023592402346"/>
        <n v="0.43823302401086084"/>
        <n v="0.4387681091105275"/>
        <n v="0.4391517464240992"/>
        <n v="0.43920450985961623"/>
        <n v="0.43960320071819137"/>
        <n v="0.4404808680086932"/>
        <n v="0.4418001059526283"/>
        <n v="0.4429104189386373"/>
        <n v="0.4434737864561891"/>
        <n v="0.4443660511236639"/>
        <n v="0.4454564447723452"/>
        <n v="0.445586452661011"/>
        <n v="0.44561777619909887"/>
        <n v="0.4459437842848293"/>
        <n v="0.44689261378807443"/>
        <n v="0.447592679658738"/>
        <n v="0.4487518026240005"/>
        <n v="0.4500202538605504"/>
        <n v="0.45063775331771044"/>
        <n v="0.45078357503143035"/>
        <n v="0.4510686800504343"/>
        <n v="0.45200428068079773"/>
        <n v="0.45253465204415017"/>
        <n v="0.45386833530904813"/>
        <n v="0.4541180112776905"/>
        <n v="0.4554304067011696"/>
        <n v="0.4563422865939518"/>
        <n v="0.45709101038785876"/>
        <n v="0.4574446926674338"/>
        <n v="0.45761590773484634"/>
        <n v="0.4585037627780272"/>
        <n v="0.4595695233530665"/>
        <n v="0.4599499674904254"/>
        <n v="0.46066478279407214"/>
        <n v="0.4618503635050982"/>
        <n v="0.4625250360220692"/>
        <n v="0.46362318452726736"/>
        <n v="0.46477926637232714"/>
        <n v="0.4649472882635268"/>
        <n v="0.46510709913017917"/>
        <n v="0.46638680251147907"/>
        <n v="0.46672086956574665"/>
        <n v="0.4671371989214975"/>
        <n v="0.4685108729170611"/>
        <n v="0.4699766928547668"/>
        <n v="0.47040640313940957"/>
        <n v="0.4706034677285451"/>
        <n v="0.471364508059273"/>
        <n v="0.4719848965806256"/>
        <n v="0.4732779808908174"/>
        <n v="0.474687540104773"/>
        <n v="0.47559333775714985"/>
        <n v="0.47604631261134334"/>
        <n v="0.4769501335355884"/>
        <n v="0.47815365685581046"/>
        <n v="0.4790101883609034"/>
        <n v="0.4795583502774417"/>
        <n v="0.4799039735884796"/>
        <n v="0.4802149281292066"/>
        <n v="0.4802175130813789"/>
        <n v="0.4806946648411839"/>
        <n v="0.48188678396064577"/>
        <n v="0.48338909734078395"/>
        <n v="0.4848152306598443"/>
        <n v="0.4859627973683365"/>
        <n v="0.4862326967863269"/>
        <n v="0.4867366104039158"/>
        <n v="0.487767398096624"/>
        <n v="0.4878724687996276"/>
        <n v="0.4886890095740549"/>
        <n v="0.48953155192621545"/>
        <n v="0.490862498182931"/>
        <n v="0.4919247614697372"/>
        <n v="0.4932079621392702"/>
        <n v="0.4935318414408587"/>
        <n v="0.4937007756681192"/>
        <n v="0.4938795935360385"/>
        <n v="0.4948448450883783"/>
        <n v="0.49507292910358147"/>
        <n v="0.495431629231491"/>
        <n v="0.4956817613681638"/>
        <n v="0.4968379952692337"/>
        <n v="0.49685532965438917"/>
        <n v="0.49715290326622424"/>
        <n v="0.4978887022992697"/>
        <n v="0.49940363632824913"/>
        <n v="0.5000027370081828"/>
        <n v="0.5010018970507828"/>
        <n v="0.5015862482977334"/>
        <n v="0.5021143388209337"/>
        <n v="0.5028963628810603"/>
        <n v="0.5032115749900711"/>
        <n v="0.5037249160802884"/>
        <n v="0.5050652898096323"/>
        <n v="0.5059726080221105"/>
        <n v="0.5065037396655137"/>
        <n v="0.5072065425443597"/>
        <n v="0.5083341899155241"/>
        <n v="0.5092114010379956"/>
        <n v="0.5102753369409133"/>
        <n v="0.5116471862643553"/>
        <n v="0.5131311008672672"/>
        <n v="0.5136909710965859"/>
        <n v="0.5145654452108749"/>
        <n v="0.5151707801872241"/>
        <n v="0.515665874556225"/>
        <n v="0.517137624678326"/>
        <n v="0.5176456438081886"/>
        <n v="0.5179666340455845"/>
        <n v="0.5185190535304066"/>
        <n v="0.5189711160485393"/>
        <n v="0.5190459276055259"/>
        <n v="0.5191947904394485"/>
        <n v="0.5206309594551778"/>
        <n v="0.5207836236893538"/>
        <n v="0.5208357789008303"/>
        <n v="0.5219885155136671"/>
        <n v="0.5233433345639739"/>
        <n v="0.5247477238735848"/>
        <n v="0.5261291527256653"/>
        <n v="0.5268232884119336"/>
        <n v="0.5279135300046047"/>
        <n v="0.5287550079646943"/>
        <n v="0.5291678400322121"/>
        <n v="0.5304177404355255"/>
        <n v="0.5313448259293213"/>
        <n v="0.5319830050038598"/>
        <n v="0.5322031821065358"/>
        <n v="0.5325034927265533"/>
        <n v="0.5334240398119132"/>
        <n v="0.5345668927840912"/>
        <n v="0.5355795858115933"/>
        <n v="0.5369068827240656"/>
        <n v="0.5383695094855585"/>
        <n v="0.5388401228369277"/>
        <n v="0.5399515002150077"/>
        <n v="0.541339315419514"/>
        <n v="0.5422317321429989"/>
        <n v="0.5429856258412504"/>
        <n v="0.5440375493193674"/>
        <n v="0.5448048239465109"/>
        <n v="0.5449354400592172"/>
        <n v="0.5452740687937889"/>
        <n v="0.5460673449986655"/>
        <n v="0.5471326494056744"/>
        <n v="0.5473397496914789"/>
        <n v="0.547701338883581"/>
        <n v="0.54816054803419"/>
        <n v="0.5493690892027465"/>
        <n v="0.550168903816059"/>
        <n v="0.5509405880674964"/>
        <n v="0.551058127363331"/>
        <n v="0.5516259045051768"/>
        <n v="0.5531108835001596"/>
        <n v="0.5534791631567076"/>
        <n v="0.553761379111519"/>
        <n v="0.5546086351999937"/>
        <n v="0.5557677581652563"/>
        <n v="0.5567538413909846"/>
        <n v="0.5573742299123372"/>
        <n v="0.5585856601450863"/>
        <n v="0.5595174593751963"/>
        <n v="0.5606816001887932"/>
        <n v="0.5612440553702842"/>
        <n v="0.5623814343260973"/>
        <n v="0.5638911984507322"/>
        <n v="0.5649198573592985"/>
        <n v="0.5663733607601832"/>
        <n v="0.5678224545367739"/>
        <n v="0.5686602831526203"/>
        <n v="0.5698225992940956"/>
        <n v="0.5706800431352494"/>
        <n v="0.571106104075649"/>
        <n v="0.5726158682002839"/>
        <n v="0.5727645789781963"/>
        <n v="0.5729873410330447"/>
        <n v="0.5736901439118908"/>
        <n v="0.5741603010952295"/>
        <n v="0.57452006561521"/>
        <n v="0.5745769345630006"/>
        <n v="0.5750007146632481"/>
        <n v="0.575344057134134"/>
        <n v="0.5758275952463646"/>
        <n v="0.577300865928567"/>
        <n v="0.5777051828595171"/>
        <n v="0.5780289101050955"/>
        <n v="0.5781038737180922"/>
        <n v="0.5785309990505627"/>
        <n v="0.5791661370048985"/>
        <n v="0.5802755376548467"/>
        <n v="0.5814047055861126"/>
        <n v="0.5814697855584505"/>
        <n v="0.5819695936637658"/>
        <n v="0.5825142582920709"/>
        <n v="0.5836382563189921"/>
        <n v="0.5842581886723144"/>
        <n v="0.5844776054949399"/>
        <n v="0.5857454485074493"/>
        <n v="0.5859309568398144"/>
        <n v="0.5859825038272504"/>
        <n v="0.5862861596794908"/>
        <n v="0.5870263683368302"/>
        <n v="0.5880667355581769"/>
        <n v="0.5890360926227903"/>
        <n v="0.5901705825144109"/>
        <n v="0.5906618754831585"/>
        <n v="0.5908934567865948"/>
        <n v="0.5920106122930598"/>
        <n v="0.5923460478514186"/>
        <n v="0.5927416975897911"/>
        <n v="0.5931406925603865"/>
        <n v="0.5946173084748118"/>
        <n v="0.5959157147453583"/>
        <n v="0.5961482083848554"/>
        <n v="0.596188199115521"/>
        <n v="0.5966746262919443"/>
        <n v="0.5981862150887008"/>
        <n v="0.5988459861166785"/>
        <n v="0.5989188209455334"/>
        <n v="0.5995422505870888"/>
        <n v="0.6000189461788634"/>
        <n v="0.6007457739073109"/>
        <n v="0.6015962231719985"/>
        <n v="0.6026166710560175"/>
        <n v="0.6029481531581128"/>
        <n v="0.6033955019399313"/>
        <n v="0.603420895293624"/>
        <n v="0.6043656192845955"/>
        <n v="0.6045870128353528"/>
        <n v="0.6051030909337525"/>
        <n v="0.606294753885184"/>
        <n v="0.6066130071143975"/>
        <n v="0.607223207883071"/>
        <n v="0.6077374613093491"/>
        <n v="0.6088123452449966"/>
        <n v="0.6102431923003712"/>
        <n v="0.6102897214394726"/>
        <n v="0.6107430004056863"/>
        <n v="0.6108690548380886"/>
        <n v="0.6115844783657759"/>
        <n v="0.611686812060597"/>
        <n v="0.6117947718277932"/>
        <n v="0.6128054881271635"/>
        <n v="0.6136959281225167"/>
        <n v="0.6137129583956519"/>
        <n v="0.6143283290686701"/>
        <n v="0.615472246432919"/>
        <n v="0.6159487899686835"/>
        <n v="0.6167055727311276"/>
        <n v="0.617246131847159"/>
        <n v="0.618699787304054"/>
        <n v="0.6194500316580622"/>
        <n v="0.6206863990764735"/>
        <n v="0.6209210215001125"/>
        <n v="0.6209730246555788"/>
        <n v="0.6219486160166078"/>
        <n v="0.6222109126340915"/>
        <n v="0.6236203197920369"/>
        <n v="0.6243985424519102"/>
        <n v="0.6258952297596734"/>
        <n v="0.6261266590070995"/>
        <n v="0.627628212107187"/>
        <n v="0.6287623978867873"/>
        <n v="0.6301648104682666"/>
        <n v="0.6308881409084809"/>
        <n v="0.6322061624043349"/>
        <n v="0.632493700319501"/>
        <n v="0.6326752551956027"/>
        <n v="0.6339543503528621"/>
        <n v="0.6344041320308427"/>
        <n v="0.6352164152369862"/>
        <n v="0.6365114762753098"/>
        <n v="0.6369483331924289"/>
        <n v="0.637737655941042"/>
        <n v="0.638680555259892"/>
        <n v="0.6398618784026343"/>
        <n v="0.6412179139010222"/>
        <n v="0.6426898160791333"/>
        <n v="0.6427492699790963"/>
        <n v="0.642767972868343"/>
        <n v="0.6427729907166775"/>
        <n v="0.6433614474759016"/>
        <n v="0.6447290392310598"/>
        <n v="0.6462432129799887"/>
        <n v="0.6476272267842414"/>
        <n v="0.648569821991071"/>
        <n v="0.6494418632091978"/>
        <n v="0.6502179570849291"/>
        <n v="0.6509759562954543"/>
        <n v="0.6515171236355264"/>
        <n v="0.6527232319079207"/>
        <n v="0.653547679594875"/>
        <n v="0.6541315746737951"/>
        <n v="0.6553604913477098"/>
        <n v="0.6561317194311168"/>
        <n v="0.6570845023906255"/>
        <n v="0.6574024515078187"/>
        <n v="0.658666797232095"/>
        <n v="0.6586969043221018"/>
        <n v="0.6589588968275651"/>
        <n v="0.659288706313549"/>
        <n v="0.6596236857038773"/>
        <n v="0.6600658645813512"/>
        <n v="0.661195032512617"/>
        <n v="0.6620880574601425"/>
        <n v="0.662233423005832"/>
        <n v="0.6623339320285315"/>
        <n v="0.6626783388914883"/>
        <n v="0.6633670005613918"/>
        <n v="0.6637048690159127"/>
        <n v="0.664977121652716"/>
        <n v="0.6658782055687787"/>
        <n v="0.6658815508010018"/>
        <n v="0.6659727844070831"/>
        <n v="0.6663602231209081"/>
        <n v="0.6669701197775614"/>
        <n v="0.667042650494396"/>
        <n v="0.6677477342133941"/>
        <n v="0.6687005171729028"/>
        <n v="0.6689036640024437"/>
        <n v="0.66976384485178"/>
        <n v="0.6699388613194459"/>
        <n v="0.6712780186007088"/>
        <n v="0.6720776811580111"/>
        <n v="0.6729512429362393"/>
        <n v="0.6743037811463941"/>
        <n v="0.6754092283400788"/>
        <n v="0.6768628837969737"/>
        <n v="0.6772407429821603"/>
        <n v="0.6786515186441969"/>
        <n v="0.6800601655220917"/>
        <n v="0.6801606745447912"/>
        <n v="0.6815871119758719"/>
        <n v="0.6824585449699581"/>
        <n v="0.6832244510930103"/>
        <n v="0.6838898481933631"/>
        <n v="0.6852014833367914"/>
        <n v="0.6855328133828765"/>
        <n v="0.6867012117647573"/>
        <n v="0.6879614519767598"/>
        <n v="0.6893816551114249"/>
        <n v="0.6904691596959136"/>
        <n v="0.6912482946918477"/>
        <n v="0.6915812973540443"/>
        <n v="0.6929720016227431"/>
        <n v="0.6932339941282064"/>
        <n v="0.6945438045995131"/>
        <n v="0.6955568017390354"/>
        <n v="0.6968915493960044"/>
        <n v="0.698250626014595"/>
        <n v="0.6997118842719966"/>
        <n v="0.69998512892221"/>
        <n v="0.7006462684542789"/>
        <n v="0.7017240414541189"/>
        <n v="0.7026892930064588"/>
        <n v="0.7034374085763252"/>
        <n v="0.7047864494982469"/>
        <n v="0.705585959999539"/>
        <n v="0.7057063883595662"/>
        <n v="0.7059583451683606"/>
        <n v="0.7065398073511185"/>
        <n v="0.707541704401901"/>
        <n v="0.7079946792560945"/>
        <n v="0.7081167802322332"/>
        <n v="0.7085650413501126"/>
        <n v="0.7098485461316658"/>
        <n v="0.7103226567712682"/>
        <n v="0.7108924106412456"/>
        <n v="0.7121573645895624"/>
        <n v="0.7129320899612025"/>
        <n v="0.7131959071387874"/>
        <n v="0.7138693632076774"/>
        <n v="0.7148364394321388"/>
        <n v="0.7149357320067573"/>
        <n v="0.7160744794666617"/>
        <n v="0.7175278308115363"/>
        <n v="0.7182894793663047"/>
        <n v="0.7193093190262831"/>
        <n v="0.7203966715547617"/>
        <n v="0.720711275439732"/>
        <n v="0.7219712115397143"/>
        <n v="0.7222512987103838"/>
        <n v="0.7225529778344926"/>
        <n v="0.724066847471401"/>
        <n v="0.7246102956516252"/>
        <n v="0.725924667803236"/>
        <n v="0.7261903096529426"/>
        <n v="0.7263958893786457"/>
        <n v="0.7264191539481964"/>
        <n v="0.7266463256273388"/>
        <n v="0.7271879491354413"/>
        <n v="0.7276092963395265"/>
        <n v="0.7280505628809396"/>
        <n v="0.7282909634329637"/>
        <n v="0.728725691565941"/>
        <n v="0.7290816546856681"/>
        <n v="0.7300946518251904"/>
        <n v="0.7312656351592435"/>
        <n v="0.732374275529141"/>
        <n v="0.7337710620382453"/>
        <n v="0.7343277390913512"/>
        <n v="0.7357855000605197"/>
        <n v="0.7360768393759392"/>
        <n v="0.7372035744110428"/>
        <n v="0.7380219398575918"/>
        <n v="0.7386874890139546"/>
        <n v="0.7393697643314324"/>
        <n v="0.7394552198091285"/>
        <n v="0.7401172716772583"/>
        <n v="0.7411828801962874"/>
        <n v="0.7423225399922526"/>
        <n v="0.7425398280307361"/>
        <n v="0.7432073539152307"/>
        <n v="0.7438926703529112"/>
        <n v="0.7453128734875762"/>
        <n v="0.7454228099829042"/>
        <n v="0.7458809547414423"/>
        <n v="0.7459960611411148"/>
        <n v="0.7474261479164387"/>
        <n v="0.7488921199101545"/>
        <n v="0.7493038875856013"/>
        <n v="0.7496676055618453"/>
        <n v="0.7501290955526064"/>
        <n v="0.7516379473411805"/>
        <n v="0.7528819175600986"/>
        <n v="0.7538517307927425"/>
        <n v="0.7546886470725279"/>
        <n v="0.755658764417192"/>
        <n v="0.7569913832900191"/>
        <n v="0.7575284451178176"/>
        <n v="0.7577229247547809"/>
        <n v="0.7591495142418716"/>
        <n v="0.759564170981511"/>
        <n v="0.7605637871921413"/>
        <n v="0.7611005449079195"/>
        <n v="0.7611362780703013"/>
        <n v="0.7621045707428438"/>
        <n v="0.762911988156663"/>
        <n v="0.7640157627342361"/>
        <n v="0.7643369050276422"/>
        <n v="0.7650140104407753"/>
        <n v="0.7651979982130392"/>
        <n v="0.765976829096953"/>
        <n v="0.7671739660647493"/>
        <n v="0.7686023802239617"/>
        <n v="0.7696600818304639"/>
        <n v="0.769844373714748"/>
        <n v="0.7700783879143465"/>
        <n v="0.7715984918476705"/>
        <n v="0.7725009442678243"/>
        <n v="0.7729260928721631"/>
        <n v="0.7735697459630664"/>
        <n v="0.7749140731486739"/>
        <n v="0.7760377670635749"/>
        <n v="0.7761210937571291"/>
        <n v="0.776428551009623"/>
        <n v="0.7773986683542872"/>
        <n v="0.7788631197879017"/>
        <n v="0.779738050070221"/>
        <n v="0.7809452227346864"/>
        <n v="0.781673418967225"/>
        <n v="0.7826537240645682"/>
        <n v="0.7828825683598221"/>
        <n v="0.7841461538040476"/>
        <n v="0.7851691866402389"/>
        <n v="0.7855032536945065"/>
        <n v="0.7860812185890312"/>
        <n v="0.7874269142787299"/>
        <n v="0.7884595266435597"/>
        <n v="0.789780133091586"/>
        <n v="0.79015510321258"/>
        <n v="0.7909748371632201"/>
        <n v="0.7911971430500382"/>
        <n v="0.791525888143951"/>
        <n v="0.7920098824242121"/>
        <n v="0.7922749160498782"/>
        <n v="0.7922993970675101"/>
        <n v="0.7924458270052706"/>
        <n v="0.7934895394588403"/>
        <n v="0.7944826172610349"/>
        <n v="0.7951510554815903"/>
        <n v="0.7958328746310376"/>
        <n v="0.7959315589816155"/>
        <n v="0.7971762894805843"/>
        <n v="0.7984623792143098"/>
        <n v="0.7985999899034825"/>
        <n v="0.7993341163204164"/>
        <n v="0.8002806649835096"/>
        <n v="0.8005571028099359"/>
        <n v="0.8019222616689319"/>
        <n v="0.8029647576744205"/>
        <n v="0.8043594153993828"/>
        <n v="0.8051846233663879"/>
        <n v="0.8055399782620744"/>
        <n v="0.8055770799285474"/>
        <n v="0.8062470387092042"/>
        <n v="0.8065660522184683"/>
        <n v="0.8070231325849355"/>
        <n v="0.8077081449105957"/>
        <n v="0.8092264241717981"/>
        <n v="0.8095700707547042"/>
        <n v="0.8100110331840971"/>
        <n v="0.8103759676084221"/>
        <n v="0.8110080644425551"/>
        <n v="0.8111642259649642"/>
        <n v="0.8123400750913415"/>
        <n v="0.8134436976129046"/>
        <n v="0.8144399685913121"/>
        <n v="0.8150275130144754"/>
        <n v="0.815830824916021"/>
        <n v="0.8162568858564205"/>
        <n v="0.8167206566873336"/>
        <n v="0.8170649114942803"/>
        <n v="0.8172508759946759"/>
        <n v="0.8183940330788743"/>
        <n v="0.8186292637265538"/>
        <n v="0.8190244572968958"/>
        <n v="0.8197964456603535"/>
        <n v="0.8206891664958587"/>
        <n v="0.8213176139857484"/>
        <n v="0.8220753090842533"/>
        <n v="0.823079639031198"/>
        <n v="0.8241634942714434"/>
        <n v="0.8248618875259955"/>
        <n v="0.8255844576861592"/>
        <n v="0.8269330424400504"/>
        <n v="0.8269590440177835"/>
        <n v="0.8282267349742828"/>
        <n v="0.8294662955689069"/>
        <n v="0.8305910538758788"/>
        <n v="0.8310566493789135"/>
        <n v="0.8312934005866944"/>
        <n v="0.8315135776893705"/>
        <n v="0.8328671802915962"/>
        <n v="0.8342557557761531"/>
        <n v="0.8349568860388876"/>
        <n v="0.8351609452044894"/>
        <n v="0.8360057683968019"/>
        <n v="0.8374116782665142"/>
        <n v="0.8375348436347239"/>
        <n v="0.8376692611476836"/>
        <n v="0.837859483216363"/>
        <n v="0.8378670860168699"/>
        <n v="0.8393406608110925"/>
        <n v="0.8403661265434459"/>
        <n v="0.8407841285153083"/>
        <n v="0.8409749588080282"/>
        <n v="0.8413880949875662"/>
        <n v="0.8424464048181088"/>
        <n v="0.8437750702346724"/>
        <n v="0.8438451680553448"/>
        <n v="0.8449972964441411"/>
        <n v="0.8451288248929083"/>
        <n v="0.8466169970641039"/>
        <n v="0.8471088982568921"/>
        <n v="0.8481276735247996"/>
        <n v="0.8489607884043316"/>
        <n v="0.849685335292627"/>
        <n v="0.850345410432625"/>
        <n v="0.8505897644409127"/>
        <n v="0.8509633660578155"/>
        <n v="0.8518440744685201"/>
        <n v="0.8519369806907128"/>
        <n v="0.852009055239517"/>
        <n v="0.853072230862384"/>
        <n v="0.8539743791705177"/>
        <n v="0.855249064703483"/>
        <n v="0.8561507568435862"/>
        <n v="0.8561759981412687"/>
        <n v="0.8563469090966609"/>
        <n v="0.8575219979429877"/>
        <n v="0.8584583588534017"/>
        <n v="0.858510362008868"/>
        <n v="0.8591788002294234"/>
        <n v="0.8598732400277119"/>
        <n v="0.8610603412988393"/>
        <n v="0.8614762144865598"/>
        <n v="0.8620797247907873"/>
        <n v="0.8633758502211819"/>
        <n v="0.8645104921688126"/>
        <n v="0.865700938672163"/>
        <n v="0.8658779318679607"/>
        <n v="0.866036678342542"/>
        <n v="0.8666275679979284"/>
        <n v="0.8677895800273835"/>
        <n v="0.8686161564984798"/>
        <n v="0.8700535419622901"/>
        <n v="0.8703571978145306"/>
        <n v="0.8703839596723144"/>
        <n v="0.8706056573350919"/>
        <n v="0.870755128393055"/>
        <n v="0.8718567741864863"/>
        <n v="0.8725919649954912"/>
        <n v="0.8732267988378066"/>
        <n v="0.8743889629232718"/>
        <n v="0.8751427045655132"/>
        <n v="0.8766556618663609"/>
        <n v="0.8772085375192133"/>
        <n v="0.8786707081126758"/>
        <n v="0.880164050188216"/>
        <n v="0.881410301247286"/>
        <n v="0.8819167998170472"/>
        <n v="0.8832106444072897"/>
        <n v="0.884260591157275"/>
        <n v="0.8847272510523806"/>
        <n v="0.8861313362499713"/>
        <n v="0.8875471297603424"/>
        <n v="0.8888923692820108"/>
        <n v="0.8899109924939081"/>
        <n v="0.8906648861921597"/>
        <n v="0.8920957332475342"/>
        <n v="0.8927553522195018"/>
        <n v="0.8933244978654388"/>
        <n v="0.8940978547329876"/>
        <n v="0.8954145077247505"/>
        <n v="0.8954627094799634"/>
        <n v="0.8966399271104321"/>
        <n v="0.897836607910198"/>
        <n v="0.8981092443363708"/>
        <n v="0.8981118292885432"/>
        <n v="0.8985886769363279"/>
        <n v="0.8999349808500672"/>
        <n v="0.9005337774179806"/>
        <n v="0.9015429731572495"/>
        <n v="0.9027889201042993"/>
        <n v="0.9039047071066733"/>
        <n v="0.9043947836273398"/>
        <n v="0.9045357395487353"/>
        <n v="0.9051772638554968"/>
        <n v="0.9052736673659226"/>
        <n v="0.9054502043936898"/>
        <n v="0.9058844763586367"/>
        <n v="0.9060826053398432"/>
        <n v="0.9073881582428661"/>
        <n v="0.9084069335107736"/>
        <n v="0.9093396450769444"/>
        <n v="0.9097244988385972"/>
        <n v="0.910952503176451"/>
        <n v="0.9112433863238402"/>
        <n v="0.9121434058478318"/>
        <n v="0.9134799781769224"/>
        <n v="0.9146140119005125"/>
        <n v="0.915016504159341"/>
        <n v="0.9156928492924234"/>
        <n v="0.915859654735542"/>
        <n v="0.9169015425169901"/>
        <n v="0.917562682049059"/>
        <n v="0.9178432253877589"/>
        <n v="0.9185784161967637"/>
        <n v="0.9191624633316939"/>
        <n v="0.9203938129017708"/>
        <n v="0.9217785869860743"/>
        <n v="0.9224296908214743"/>
        <n v="0.9226080525213631"/>
        <n v="0.923751969885612"/>
        <n v="0.9251622893796183"/>
        <n v="0.9255863735918861"/>
        <n v="0.9270914239802067"/>
        <n v="0.9278053269477926"/>
        <n v="0.9284006262274729"/>
        <n v="0.9290158448444809"/>
        <n v="0.9303604761421086"/>
        <n v="0.93143976970205"/>
        <n v="0.9323563633311465"/>
        <n v="0.933519895920703"/>
        <n v="0.9350278353732162"/>
        <n v="0.9360647053063298"/>
        <n v="0.9372577367618525"/>
        <n v="0.9384381475685339"/>
        <n v="0.9387451486529974"/>
        <n v="0.9394804915180124"/>
        <n v="0.939896516761743"/>
        <n v="0.9413662901557123"/>
        <n v="0.942274216592231"/>
        <n v="0.9430293267385637"/>
        <n v="0.9443792799965461"/>
        <n v="0.9454848792462409"/>
        <n v="0.9463272695423913"/>
        <n v="0.9473115280959981"/>
        <n v="0.9479229453127527"/>
        <n v="0.9487965070909808"/>
        <n v="0.9501969429443283"/>
        <n v="0.9513394918044861"/>
        <n v="0.9514588557724424"/>
        <n v="0.9526982643110564"/>
        <n v="0.954189781714475"/>
        <n v="0.9545951630374961"/>
        <n v="0.9555508350611974"/>
        <n v="0.9566962729855477"/>
        <n v="0.9567692598704127"/>
        <n v="0.9568682483330109"/>
        <n v="0.9579694379584117"/>
        <n v="0.9582600169937806"/>
        <n v="0.9593016006632084"/>
        <n v="0.9607402025750998"/>
        <n v="0.961729326921031"/>
        <n v="0.962034807445393"/>
        <n v="0.9630371606642059"/>
        <n v="0.9640176178175592"/>
        <n v="0.9648188009349629"/>
        <n v="0.9658324062985257"/>
        <n v="0.9663010429217632"/>
        <n v="0.9678025960218507"/>
        <n v="0.9678752787946955"/>
        <n v="0.9687071772261465"/>
        <n v="0.9701158241040413"/>
        <n v="0.9715100256609732"/>
        <n v="0.9723851079993027"/>
        <n v="0.9724746689892725"/>
        <n v="0.9725776109081342"/>
        <n v="0.9728167950120773"/>
        <n v="0.9738649170899409"/>
        <n v="0.9749065007593687"/>
        <n v="0.9756172105507418"/>
        <n v="0.9757624240404211"/>
        <n v="0.9770687372234947"/>
        <n v="0.9779701252515777"/>
        <n v="0.9787944208825219"/>
        <n v="0.9802857862299303"/>
        <n v="0.9813684250220948"/>
        <n v="0.9819980889600657"/>
        <n v="0.9831663352859363"/>
        <n v="0.9835026831803559"/>
        <n v="0.9840859700352355"/>
        <n v="0.9849557304132102"/>
        <n v="0.9851491456581024"/>
        <n v="0.9865085263887133"/>
        <n v="0.987362472941634"/>
        <n v="0.988878015194654"/>
        <n v="0.9890528796063098"/>
        <n v="0.9901966449145486"/>
        <n v="0.9904571168599107"/>
        <n v="0.9914244971963924"/>
        <n v="0.9922434708669818"/>
        <n v="0.9932357883891257"/>
        <n v="0.9934088281286598"/>
        <n v="0.9938998169853872"/>
        <n v="0.9950332424849369"/>
        <n v="0.9963564338851355"/>
        <n v="0.9972544766809954"/>
        <n v="0.9979743098329766"/>
        <n v="0.9987637846375998"/>
        <n v="0.9988510647874176"/>
        <n v="0.999165820728398"/>
        <n v="1.000000000000001"/>
      </sharedItems>
    </cacheField>
    <cacheField name="share of revenue" numFmtId="10">
      <sharedItems containsSemiMixedTypes="0" containsString="0" containsNumber="1">
        <n v="7.855160680209818E-5"/>
        <n v="2.4085131131781792E-4"/>
        <n v="0.0018425103842710131"/>
        <n v="7.51804647653512E-5"/>
        <n v="2.1320212097247751E-4"/>
        <n v="8.49339769953401E-4"/>
        <n v="3.671421203263178E-5"/>
        <n v="3.9996438385723923E-4"/>
        <n v="7.869285105699465E-4"/>
        <n v="8.84007698088228E-4"/>
        <n v="0.0014903408094380495"/>
        <n v="2.8801345986704033E-4"/>
        <n v="3.995918269899756E-5"/>
        <n v="0.0010612361617672844"/>
        <n v="6.141557010634923E-4"/>
        <n v="0.0020643340295113974"/>
        <n v="0.001353541034475656"/>
        <n v="3.1510309228722773E-4"/>
        <n v="7.312871007316674E-4"/>
        <n v="0.0022562706757053943"/>
        <n v="1.6526328647116276E-5"/>
        <n v="7.28887471196863E-5"/>
        <n v="8.41688060314181E-6"/>
        <n v="8.540419976226925E-4"/>
        <n v="3.480121412289925E-5"/>
        <n v="0.0028219505149442723"/>
        <n v="3.7344569510050806E-5"/>
        <n v="2.9518668649781694E-4"/>
        <n v="3.5771193251417013E-4"/>
        <n v="1.8044664437294429E-4"/>
        <n v="2.4920473023615545E-5"/>
        <n v="1.8106956410800427E-4"/>
        <n v="4.8597820824322685E-5"/>
        <n v="4.448131242830798E-5"/>
        <n v="1.4613042862679485E-4"/>
        <n v="1.1265033614667647E-4"/>
        <n v="4.468658471742697E-5"/>
        <n v="2.1239369242799505E-4"/>
        <n v="4.194852380530094E-4"/>
        <n v="0.0010032852918015677"/>
        <n v="1.432312366052026E-4"/>
        <n v="8.65301270805778E-4"/>
        <n v="2.9571658745343725E-4"/>
        <n v="8.64166586221466E-4"/>
        <n v="5.865963276258808E-4"/>
        <n v="4.946387718460274E-5"/>
        <n v="0.0011875166660363706"/>
        <n v="0.0014949692001831956"/>
        <n v="0.0015091860040779405"/>
        <n v="1.9894445061971553E-4"/>
        <n v="7.914236682019661E-5"/>
        <n v="9.003061063444922E-5"/>
        <n v="7.852164433287932E-7"/>
        <n v="3.949863252213152E-4"/>
        <n v="7.506327156074651E-4"/>
        <n v="3.819218543927515E-4"/>
        <n v="5.785967243440603E-5"/>
        <n v="0.0023599813155360297"/>
        <n v="3.9939979693725256E-4"/>
        <n v="7.463467547605329E-4"/>
        <n v="4.0832430051890143E-4"/>
        <n v="2.5128189310223746E-4"/>
        <n v="3.1634188176459037E-4"/>
        <n v="3.825854819609914E-6"/>
        <n v="5.765333677137948E-4"/>
        <n v="4.1738894620657905E-4"/>
        <n v="2.69720267910064E-4"/>
        <n v="0.00118487089775443"/>
        <n v="2.840165663481425E-4"/>
        <n v="6.8989349125629005E-6"/>
        <n v="2.7619672025665313E-4"/>
        <n v="0.0012033441994013757"/>
        <n v="4.867455999548675E-6"/>
        <n v="8.291885641552056E-4"/>
        <n v="0.0033265694621624326"/>
        <n v="6.508906988247704E-4"/>
        <n v="2.287146900360527E-4"/>
        <n v="4.7670151052339526E-4"/>
        <n v="6.334805889605832E-4"/>
        <n v="0.0012935204511362042"/>
        <n v="0.0010579846581076301"/>
        <n v="3.251976596668427E-5"/>
        <n v="9.22629320911332E-4"/>
        <n v="0.001516951435975331"/>
        <n v="0.0014335062823254876"/>
        <n v="8.502187395504149E-4"/>
        <n v="1.7127134317394566E-4"/>
        <n v="5.459090451748772E-4"/>
        <n v="7.651709639219828E-7"/>
        <n v="1.898746349373492E-5"/>
        <n v="6.449622424152123E-4"/>
        <n v="4.103353109529434E-5"/>
        <n v="6.176226055018604E-4"/>
        <n v="9.811485260431848E-4"/>
        <n v="3.535427547972639E-4"/>
        <n v="5.093836554482638E-5"/>
        <n v="0.0022205788183724735"/>
        <n v="0.002937873915978453"/>
        <n v="4.1927855576533895E-4"/>
        <n v="1.2739994911905426E-4"/>
        <n v="5.17779791447717E-4"/>
        <n v="1.7116235616091056E-4"/>
        <n v="7.242404684708376E-5"/>
        <n v="7.214280148601369E-4"/>
        <n v="0.00173272964780133"/>
        <n v="0.0017161834734246016"/>
        <n v="1.14857260004452E-4"/>
        <n v="0.0031781375986499557"/>
        <n v="0.003046145607373414"/>
        <n v="0.0012056638643933295"/>
        <n v="8.989886565729391E-4"/>
        <n v="4.610198238835585E-4"/>
        <n v="3.53164628435722E-5"/>
        <n v="6.274455014105698E-4"/>
        <n v="4.673216361595594E-4"/>
        <n v="1.6272487782892928E-4"/>
        <n v="0.0015611630861806691"/>
        <n v="0.0036787390369953958"/>
        <n v="7.420105627152043E-4"/>
        <n v="3.2203690116396375E-4"/>
        <n v="1.5243397402601533E-4"/>
        <n v="6.937387276809889E-4"/>
        <n v="3.647337253005183E-4"/>
        <n v="2.2301477089171285E-5"/>
        <n v="6.100384582932321E-4"/>
        <n v="0.0030117129139969243"/>
        <n v="2.9599394591850046E-7"/>
        <n v="0.0016738114835793373"/>
        <n v="2.6515706609794794E-4"/>
        <n v="4.998393165033863E-4"/>
        <n v="2.761325183226093E-4"/>
        <n v="7.963770518632391E-5"/>
        <n v="7.384723711000712E-4"/>
        <n v="0.003006593761505949"/>
        <n v="2.3028629792150318E-4"/>
        <n v="4.786879869826416E-5"/>
        <n v="3.5398522409270486E-4"/>
        <n v="0.002801290898918379"/>
        <n v="3.169587443808729E-4"/>
        <n v="3.795300150999439E-5"/>
        <n v="5.617669228837087E-4"/>
        <n v="9.526378500828686E-5"/>
        <n v="5.018084029804978E-4"/>
        <n v="4.6498579730922137E-5"/>
        <n v="3.1516729422127157E-4"/>
        <n v="1.6157420151104596E-4"/>
        <n v="1.7211499818223916E-6"/>
        <n v="2.470724893016564E-4"/>
        <n v="4.620816702926988E-4"/>
        <n v="2.8267791959836556E-5"/>
        <n v="3.3837615237826906E-5"/>
        <n v="8.364443932011229E-5"/>
        <n v="1.1863168512689684E-4"/>
        <n v="2.075265595531144E-4"/>
        <n v="8.025557242657445E-4"/>
        <n v="1.397685269125252E-4"/>
        <n v="1.8259802016278563E-4"/>
        <n v="1.5020323294270778E-4"/>
        <n v="0.0012458576591013047"/>
        <n v="4.5817379468235083E-4"/>
        <n v="0.0012973473693297219"/>
        <n v="5.649154261491777E-4"/>
        <n v="0.0023253059261588676"/>
        <n v="2.857058914876593E-4"/>
        <n v="4.7505594821391987E-4"/>
        <n v="0.0011806587973316194"/>
        <n v="7.53949607949944E-5"/>
        <n v="0.0020062923438889774"/>
        <n v="3.1439019701960165E-4"/>
        <n v="0.0033724910234861393"/>
        <n v="2.7831438533112627E-4"/>
        <n v="0.0021413979350918457"/>
        <n v="2.4409575323472692E-4"/>
        <n v="0.0017476504815978088"/>
        <n v="3.7828357638043953E-5"/>
        <n v="0.002282887570861236"/>
        <n v="2.49692912859634E-4"/>
        <n v="4.456524964207732E-4"/>
        <n v="5.425052616716636E-4"/>
        <n v="2.472289345159366E-4"/>
        <n v="9.29115901747516E-5"/>
        <n v="4.539989475962688E-4"/>
        <n v="1.2269075958191476E-4"/>
        <n v="0.0"/>
        <n v="0.0029202749838082476"/>
        <n v="2.292034307839579E-4"/>
        <n v="9.761992901276505E-4"/>
        <n v="0.0023241843486860904"/>
        <n v="1.8175633327747022E-4"/>
        <n v="2.4107826233466588E-4"/>
        <n v="0.0010247917882074413"/>
        <n v="2.4216616434203871E-4"/>
        <n v="3.727879307762447E-5"/>
        <n v="0.0026467263642061386"/>
        <n v="4.161046725259434E-4"/>
        <n v="0.0015565615559079286"/>
        <n v="1.73779501472256E-5"/>
        <n v="3.544595358554332E-5"/>
        <n v="2.2103551480004893E-4"/>
        <n v="4.051784057507526E-4"/>
        <n v="2.009520535572581E-5"/>
        <n v="4.423038556109102E-4"/>
        <n v="3.553104406062789E-4"/>
        <n v="0.003468902564940309"/>
        <n v="5.499537670196399E-4"/>
        <n v="0.002258266840029688"/>
        <n v="5.81220108898996E-4"/>
        <n v="0.003460103098855206"/>
        <n v="2.49330513856935E-4"/>
        <n v="4.1538923338593076E-4"/>
        <n v="0.003289087388418643"/>
        <n v="0.0031574779826240617"/>
        <n v="9.045693427147698E-4"/>
        <n v="4.9760170755213434E-5"/>
        <n v="3.3655607924807273E-6"/>
        <n v="0.003388942199210462"/>
        <n v="8.471488672041663E-5"/>
        <n v="1.3821340426013905E-4"/>
        <n v="2.4361576035283487E-4"/>
        <n v="1.8491087016174078E-4"/>
        <n v="5.661078384241847E-4"/>
        <n v="6.928930281747957E-5"/>
        <n v="2.1994831779195183E-5"/>
        <n v="6.370005093444868E-5"/>
        <n v="2.1218414314326992E-4"/>
        <n v="0.0011345273694735136"/>
        <n v="0.0033571876042076993"/>
        <n v="4.6332149376899926E-4"/>
        <n v="1.6487959061534247E-5"/>
        <n v="7.896837887393849E-6"/>
        <n v="2.6130187155847937E-5"/>
        <n v="0.0017558410926834024"/>
        <n v="5.740936942201285E-4"/>
        <n v="3.5506664598173487E-4"/>
        <n v="2.3006448164938022E-4"/>
        <n v="9.890705089047466E-5"/>
        <n v="0.003691184729959645"/>
        <n v="2.7465897583641395E-4"/>
        <n v="0.0011710941602825946"/>
        <n v="0.0017606583879844827"/>
        <n v="2.126083588324632E-4"/>
        <n v="0.001356706716223477"/>
        <n v="6.41762532702349E-4"/>
        <n v="0.0016112641417106836"/>
        <n v="1.7008689151576053E-5"/>
        <n v="2.645219381254297E-4"/>
        <n v="1.6674325620075526E-5"/>
        <n v="5.17724396129626E-4"/>
        <n v="0.0012959499256403482"/>
        <n v="2.0640017046028028E-4"/>
        <n v="0.0021413309425356688"/>
        <n v="2.341655094362985E-5"/>
        <n v="3.914290868757494E-4"/>
        <n v="3.116158486197547E-5"/>
        <n v="4.588512226114133E-4"/>
        <n v="5.639293789121671E-4"/>
        <n v="4.364603633640664E-4"/>
        <n v="0.002274962397877951"/>
        <n v="0.002400799275477785"/>
        <n v="0.0012669467313110078"/>
        <n v="0.0025526103356437345"/>
        <n v="1.1228793714397743E-4"/>
        <n v="5.909112169430943E-4"/>
        <n v="3.092040460974557E-5"/>
        <n v="4.0748203788417754E-4"/>
        <n v="4.7578103996901615E-4"/>
        <n v="3.3942740617329145E-4"/>
        <n v="3.86889079539805E-4"/>
        <n v="3.475250689793732E-4"/>
        <n v="7.644319836811544E-4"/>
        <n v="3.880809513153672E-5"/>
        <n v="1.5625727322325067E-4"/>
        <n v="0.001404833115782102"/>
        <n v="2.480357004371271E-4"/>
        <n v="4.853280814111173E-4"/>
        <n v="0.001023346163692565"/>
        <n v="2.569101255702227E-4"/>
        <n v="2.169259682718821E-4"/>
        <n v="7.330634169068164E-4"/>
        <n v="6.858021454594252E-4"/>
        <n v="9.1415258586968E-6"/>
        <n v="4.6215713459017265E-4"/>
        <n v="0.0018293194306973882"/>
        <n v="7.671640908743968E-4"/>
        <n v="1.6243922974738226E-4"/>
        <n v="3.4091591226911434E-6"/>
        <n v="9.255071162049057E-4"/>
        <n v="0.003302477880287278"/>
        <n v="5.7751408045628566E-5"/>
        <n v="0.002512039319323288"/>
        <n v="0.0021075209338944807"/>
        <n v="1.482710414276933E-5"/>
        <n v="2.649694246657163E-4"/>
        <n v="2.8021669662683745E-4"/>
        <n v="3.720753527582928E-5"/>
        <n v="9.719383215050432E-4"/>
        <n v="3.3208090834552044E-4"/>
        <n v="3.1073882952073684E-5"/>
        <n v="0.0013575904093156386"/>
        <n v="5.255188681221826E-4"/>
        <n v="1.0417719072633681E-4"/>
        <n v="2.0974771852126588E-4"/>
        <n v="0.0022605785326548318"/>
        <n v="4.6213425148868096E-5"/>
        <n v="3.0265327507721595E-4"/>
        <n v="0.001256655992007925"/>
        <n v="3.7380709535423317E-4"/>
        <n v="7.986355170430651E-6"/>
        <n v="3.20858506624556E-4"/>
        <n v="9.235251987409757E-4"/>
        <n v="3.357781654222418E-4"/>
        <n v="0.0014178811013776014"/>
        <n v="4.040317361787532E-5"/>
        <n v="5.0019487113811686E-5"/>
        <n v="1.4808180787209734E-4"/>
        <n v="0.001106762576871934"/>
        <n v="2.468260626798162E-5"/>
        <n v="1.599423808124535E-4"/>
        <n v="1.0659624299118788E-5"/>
        <n v="0.0023163160103944185"/>
        <n v="3.4039303780627556E-5"/>
        <n v="2.1650561245372348E-4"/>
        <n v="8.959618420574566E-5"/>
        <n v="9.644895341573565E-4"/>
        <n v="1.445414483841914E-4"/>
        <n v="7.619103422716956E-6"/>
        <n v="0.002124114595847424"/>
        <n v="0.0014841708672765751"/>
        <n v="3.556941305871053E-4"/>
        <n v="0.001234159465119133"/>
        <n v="2.227360024280982E-4"/>
        <n v="8.517411149864429E-4"/>
        <n v="4.3069727628462044E-5"/>
        <n v="0.0023022546118400215"/>
        <n v="1.0936800639369054E-4"/>
        <n v="0.001040385819937328"/>
        <n v="4.176977828893039E-4"/>
        <n v="0.0017815444497777428"/>
        <n v="1.1942440981251224E-4"/>
        <n v="0.001766133165610115"/>
        <n v="7.09090527534726E-4"/>
        <n v="0.0010243366876749767"/>
        <n v="0.0030312247735769346"/>
        <n v="5.410392979276823E-4"/>
        <n v="0.002438835719527057"/>
        <n v="2.5926168590440976E-4"/>
        <n v="4.2803429427036414E-4"/>
        <n v="8.90222677953434E-5"/>
        <n v="0.0024380651553186756"/>
        <n v="0.0024745385278487275"/>
        <n v="0.0035660792773584008"/>
        <n v="2.0715956043014118E-4"/>
        <n v="0.0021738507085023533"/>
        <n v="5.549653131211614E-4"/>
        <n v="0.001962280936977925"/>
        <n v="0.002405314925088753"/>
        <n v="9.486490816806236E-5"/>
        <n v="9.081594810265367E-4"/>
        <n v="5.013357597160553E-4"/>
        <n v="0.001080074165414563"/>
        <n v="3.26829838740067E-4"/>
        <n v="5.366171547206535E-4"/>
        <n v="0.0021469643626233245"/>
        <n v="0.001157901150461082"/>
        <n v="2.232067656944721E-4"/>
        <n v="3.6012244253779685E-5"/>
        <n v="4.3421934691631497E-4"/>
        <n v="3.960617311165257E-4"/>
        <n v="0.0010636354623024269"/>
        <n v="0.001074682618828425"/>
        <n v="1.1207010411776239E-4"/>
        <n v="1.15239181612095E-5"/>
        <n v="2.8464751132495795E-5"/>
        <n v="4.80608933759208E-4"/>
        <n v="2.607321440187738E-4"/>
        <n v="0.001112558581542563"/>
        <n v="4.854450525409501E-5"/>
        <n v="6.060662573739669E-4"/>
        <n v="4.5749955100001714E-4"/>
        <n v="4.569445755701563E-4"/>
        <n v="1.6377647237360163E-4"/>
        <n v="5.512378057005169E-4"/>
        <n v="3.5934452283697195E-4"/>
        <n v="4.412113182332994E-4"/>
        <n v="2.3658412695159618E-4"/>
        <n v="5.027223875415401E-4"/>
        <n v="8.337795664387617E-4"/>
        <n v="0.0013589402009289663"/>
        <n v="2.1764837515473662E-4"/>
        <n v="1.34407583169948E-4"/>
        <n v="5.050533736468635E-5"/>
        <n v="0.0016097086313086957"/>
        <n v="0.0011117783588441039"/>
        <n v="0.0036979768398569517"/>
        <n v="0.0017005924673166068"/>
        <n v="6.727961308208081E-4"/>
        <n v="9.333168161818184E-5"/>
        <n v="3.4389292446076016E-4"/>
        <n v="1.33904918686347E-5"/>
        <n v="3.1439687101274537E-4"/>
        <n v="1.0028342097649749E-4"/>
        <n v="0.0023129768988247655"/>
        <n v="1.6352558075634845E-4"/>
        <n v="6.352781373639198E-4"/>
        <n v="6.866717796910296E-4"/>
        <n v="4.447267971217658E-4"/>
        <n v="0.0024652167571752003"/>
        <n v="4.5951312293142756E-4"/>
        <n v="9.399048934137326E-4"/>
        <n v="6.364979741107529E-4"/>
        <n v="2.458942298871098E-5"/>
        <n v="1.4942680549034985E-4"/>
        <n v="5.073236828145219E-4"/>
        <n v="3.6630347081288207E-4"/>
        <n v="5.622490953883616E-4"/>
        <n v="5.530701693180869E-6"/>
        <n v="7.18112949640781E-4"/>
        <n v="7.356319642680876E-4"/>
        <n v="0.0024578429700004645"/>
        <n v="3.6890943013571914E-4"/>
        <n v="8.599370018166169E-4"/>
        <n v="2.4296260789883364E-4"/>
        <n v="2.6591884131535844E-4"/>
        <n v="4.801152403913908E-4"/>
        <n v="1.9747836937585508E-4"/>
        <n v="6.149102382883386E-4"/>
        <n v="0.0014641546394647139"/>
        <n v="7.217079935725082E-4"/>
        <n v="4.1960791967697575E-4"/>
        <n v="6.310715241854717E-4"/>
        <n v="3.353401317472441E-4"/>
        <n v="6.852117085659949E-5"/>
        <n v="1.4620971167034552E-4"/>
        <n v="3.493276698775192E-5"/>
        <n v="3.6864750527980063E-4"/>
        <n v="4.5146466319979846E-4"/>
        <n v="0.00304506936722906"/>
        <n v="4.0266139383653786E-5"/>
        <n v="1.2865164595815686E-4"/>
        <n v="5.056119093230668E-5"/>
        <n v="4.7946004343948993E-4"/>
        <n v="3.2372606767864354E-4"/>
        <n v="2.5112538326302368E-5"/>
        <n v="2.4372726773828072E-4"/>
        <n v="0.001002745191856425"/>
        <n v="5.594082890567883E-4"/>
        <n v="0.001024041903977815"/>
        <n v="5.559133843971856E-4"/>
        <n v="4.204210305916479E-5"/>
        <n v="6.161002418158201E-4"/>
        <n v="6.600751943893234E-4"/>
        <n v="9.399606118564916E-4"/>
        <n v="5.004306581458872E-4"/>
        <n v="2.0617351319313055E-4"/>
        <n v="7.734305944366713E-4"/>
        <n v="0.0013830864731229364"/>
        <n v="2.5885904906804803E-5"/>
        <n v="5.39347417165791E-4"/>
        <n v="4.6178282109971366E-4"/>
        <n v="3.9715856898971845E-4"/>
        <n v="0.0018486530488355105"/>
        <n v="1.497629197700518E-4"/>
        <n v="0.0035519236145258445"/>
        <n v="0.001539459207602571"/>
        <n v="3.104601198070618E-4"/>
        <n v="3.00553599234262E-4"/>
        <n v="7.318651296378448E-4"/>
        <n v="4.034287855481784E-5"/>
        <n v="1.7827243248156298E-4"/>
        <n v="0.001056136949005825"/>
        <n v="1.9640268148093438E-4"/>
        <n v="6.813448110385491E-4"/>
        <n v="3.9317612208097924E-4"/>
        <n v="1.2840075434090368E-4"/>
        <n v="3.566801778241159E-4"/>
        <n v="0.0013415522867919769"/>
        <n v="0.0018098745989235184"/>
        <n v="0.0029437764460396457"/>
        <n v="0.0015736639042132864"/>
        <n v="4.3505505305777454E-4"/>
        <n v="2.234608004334963E-4"/>
        <n v="5.7387822294148705E-5"/>
        <n v="2.2176031280544698E-4"/>
        <n v="5.129238445613449E-4"/>
        <n v="0.0029891403705612257"/>
        <n v="5.455530440406055E-4"/>
        <n v="4.254246454513174E-4"/>
        <n v="3.0913078492271864E-4"/>
        <n v="5.905293893353547E-4"/>
        <n v="1.1683186310089609E-4"/>
        <n v="1.843217081420007E-4"/>
        <n v="0.002528507450280192"/>
        <n v="2.0353547640324744E-4"/>
        <n v="8.234762840235645E-4"/>
        <n v="2.5786261484170823E-4"/>
        <n v="1.3934337709929154E-4"/>
        <n v="6.130118514885957E-5"/>
        <n v="1.084409323460954E-5"/>
        <n v="0.0019087707869501526"/>
        <n v="3.673286983846418E-4"/>
        <n v="5.06917920481371E-4"/>
        <n v="2.4858051800242327E-4"/>
        <n v="1.2263369576553777E-4"/>
        <n v="2.606485134796894E-4"/>
        <n v="9.817742364003777E-4"/>
        <n v="1.9316345655866583E-5"/>
        <n v="1.0603363006917327E-4"/>
        <n v="0.001158454927392174"/>
        <n v="6.182615698454373E-4"/>
        <n v="9.851677504141416E-5"/>
        <n v="8.347711244201109E-4"/>
        <n v="0.0011423736354128611"/>
        <n v="0.0018625334035758975"/>
        <n v="8.342180642382825E-4"/>
        <n v="0.001989827091679116"/>
        <n v="1.9086489454503235E-4"/>
        <n v="7.382642553138735E-4"/>
        <n v="5.244158497553392E-4"/>
        <n v="1.940404756576836E-5"/>
        <n v="8.578948186645993E-5"/>
        <n v="0.0012026173040231322"/>
        <n v="7.653519372360646E-4"/>
        <n v="0.0010867916922634906"/>
        <n v="0.0015411284167627533"/>
        <n v="9.92546766333506E-4"/>
        <n v="2.90841458711771E-5"/>
        <n v="1.2128361040251201E-4"/>
        <n v="5.740309727845636E-5"/>
        <n v="4.981679042204673E-4"/>
        <n v="3.115779372837018E-4"/>
        <n v="0.0020732307267466122"/>
        <n v="0.0015032716300289154"/>
        <n v="0.0010769781317201909"/>
        <n v="0.002314022083751023"/>
        <n v="0.0011291756729714367"/>
        <n v="4.477730637422649E-5"/>
        <n v="4.4175019617969755E-5"/>
        <n v="9.238573708997276E-5"/>
        <n v="2.4364649832125698E-4"/>
        <n v="0.0022665272636685618"/>
        <n v="5.74865539177194E-4"/>
        <n v="5.049561659967272E-4"/>
        <n v="1.0337862629672071E-5"/>
        <n v="5.766760713171921E-5"/>
        <n v="3.8854810733544696E-4"/>
        <n v="3.54587281724197E-4"/>
        <n v="0.0010432389402562508"/>
        <n v="0.0031291666569589482"/>
        <n v="4.884833174196697E-4"/>
        <n v="4.531448057237488E-5"/>
        <n v="0.0011542845805514689"/>
        <n v="0.0011153119679639446"/>
        <n v="1.31662345365195E-4"/>
        <n v="4.6069669921551206E-4"/>
        <n v="7.258879342783573E-4"/>
        <n v="7.524466669939505E-5"/>
        <n v="7.421774125437956E-6"/>
        <n v="2.2271561619904146E-4"/>
        <n v="1.6517616031066952E-5"/>
        <n v="2.2797015205093395E-5"/>
        <n v="3.581183880966088E-4"/>
        <n v="1.8815574095320918E-4"/>
        <n v="7.825030773662975E-5"/>
        <n v="1.0980980593981955E-4"/>
        <n v="9.009265057071413E-4"/>
        <n v="3.11051085449949E-4"/>
        <n v="1.331955719150755E-4"/>
        <n v="4.057859682515895E-4"/>
        <n v="9.355555648818994E-4"/>
        <n v="2.6891598123632654E-5"/>
        <n v="7.131399023747085E-4"/>
        <n v="8.110686727701937E-4"/>
        <n v="1.542028465838112E-4"/>
        <n v="0.0013014990689395837"/>
        <n v="3.5141059023768635E-5"/>
        <n v="4.043595020920315E-4"/>
        <n v="0.0037248522523722124"/>
        <n v="2.196196118796391E-5"/>
        <n v="2.963087457200993E-4"/>
        <n v="0.002403389765941514"/>
        <n v="3.185052425421192E-4"/>
        <n v="1.3829494917636605E-5"/>
        <n v="3.1105308294789696E-5"/>
        <n v="2.3731763169804963E-4"/>
        <n v="5.174058774568477E-4"/>
        <n v="7.852661222777569E-4"/>
        <n v="0.002866825234593424"/>
        <n v="4.477441587719596E-4"/>
        <n v="1.635813344490714E-4"/>
        <n v="6.490483359674729E-4"/>
        <n v="4.686570810376257E-6"/>
        <n v="8.08772936628657E-5"/>
        <n v="3.2155035766380123E-4"/>
        <n v="4.006200684336391E-4"/>
        <n v="0.001141147994171991"/>
        <n v="0.0019580036534970783"/>
        <n v="0.002067649124105723"/>
        <n v="3.640307117727405E-4"/>
        <n v="1.1589383218955714E-4"/>
        <n v="4.6473772568907107E-4"/>
        <n v="3.9503450017182393E-4"/>
        <n v="3.12666614790278E-4"/>
        <n v="7.86238210529108E-4"/>
        <n v="1.054195757000057E-4"/>
        <n v="5.541268927324903E-4"/>
        <n v="2.879539050532224E-4"/>
        <n v="1.3726559148384928E-4"/>
        <n v="2.0850417029879203E-4"/>
        <n v="3.138932900300859E-5"/>
        <n v="0.002233916629170229"/>
        <n v="0.0027517910256457554"/>
        <n v="6.201460211594965E-4"/>
        <n v="0.0017985343506986204"/>
        <n v="5.005824797399173E-4"/>
        <n v="0.0016975317834609187"/>
        <n v="6.536643539753297E-4"/>
        <n v="0.0018844804951541373"/>
        <n v="9.905292699061274E-5"/>
        <n v="4.126312409692808E-4"/>
        <n v="0.0020859907730129182"/>
        <n v="8.405403038682981E-4"/>
        <n v="0.001074961310917118"/>
        <n v="4.951869087829135E-5"/>
        <n v="8.641359422529474E-4"/>
        <n v="7.004527001585679E-4"/>
        <n v="1.5661981910079884E-4"/>
        <n v="4.486514928398341E-4"/>
        <n v="4.930623934654778E-4"/>
        <n v="5.45973247108921E-4"/>
        <n v="0.00354656741777839"/>
        <n v="0.002279061716041626"/>
        <n v="7.651702589227071E-4"/>
        <n v="3.816162959566588E-4"/>
        <n v="5.081583079570919E-4"/>
        <n v="5.098437144756344E-4"/>
        <n v="2.3144797222808802E-4"/>
        <n v="3.408973707881625E-4"/>
        <n v="2.471354398619858E-4"/>
        <n v="4.213622046247578E-6"/>
        <n v="0.0012320045995828765"/>
        <n v="0.0011758184720541986"/>
        <n v="8.856497001513609E-4"/>
        <n v="0.0024090405701363104"/>
        <n v="4.8453199622895427E-4"/>
        <n v="9.729430629728487E-6"/>
        <n v="2.999506603536752E-4"/>
        <n v="3.255026717284967E-4"/>
        <n v="2.643665680350451E-4"/>
        <n v="3.4476438581548753E-4"/>
        <n v="8.31021703271979E-4"/>
        <n v="0.0021695196335767674"/>
        <n v="0.001731550800887387"/>
        <n v="0.003313220782625843"/>
        <n v="8.149070765769117E-4"/>
        <n v="3.0971176307586625E-5"/>
        <n v="1.064399446517568E-4"/>
        <n v="3.048076353639913E-4"/>
        <n v="1.3446098686508516E-4"/>
        <n v="1.5145236240944786E-4"/>
        <n v="1.0561218150213724E-4"/>
        <n v="0.0019531234135106625"/>
        <n v="3.177960485206908E-6"/>
        <n v="4.850622555592064E-4"/>
        <n v="0.001899831184634015"/>
        <n v="4.7838665266720936E-4"/>
        <n v="2.529556201327786E-4"/>
        <n v="0.0016286888509348726"/>
        <n v="1.8452673955636712E-4"/>
        <n v="0.0013635283538404495"/>
        <n v="2.4694796292958526E-4"/>
        <n v="2.5051920138576846E-4"/>
        <n v="1.6210311546768031E-4"/>
        <n v="4.8318270986510765E-5"/>
        <n v="5.348858057493088E-4"/>
        <n v="0.0013713805182737372"/>
        <n v="0.0017683100976237022"/>
        <n v="0.0029115825718631656"/>
        <n v="0.0014817949727173871"/>
        <n v="0.0010493879909391872"/>
        <n v="0.0010902963024131227"/>
        <n v="0.002418866914666477"/>
        <n v="9.126209631931518E-4"/>
        <n v="2.7614188893798267E-4"/>
        <n v="4.8109837950638894E-4"/>
        <n v="9.076701175292714E-5"/>
        <n v="2.698199959326111E-4"/>
        <n v="3.0239443459312884E-4"/>
        <n v="2.5511144916804497E-4"/>
        <n v="4.390430577108041E-4"/>
        <n v="2.6908669681094643E-4"/>
        <n v="4.4530997252265605E-5"/>
        <n v="3.745511868398106E-4"/>
        <n v="4.535141959692656E-4"/>
        <n v="6.445874178002784E-5"/>
        <n v="5.144205815237119E-5"/>
        <n v="2.113343722662594E-4"/>
        <n v="4.8839001076552575E-5"/>
        <n v="0.0023723103428701315"/>
        <n v="8.143853771128657E-4"/>
        <n v="5.51673977002428E-4"/>
        <n v="0.0010753339852842608"/>
        <n v="0.0021726938986907705"/>
        <n v="1.3036432419868247E-4"/>
        <n v="0.00322723958208134"/>
        <n v="5.518404273314296E-4"/>
        <n v="5.072016826898554E-4"/>
        <n v="5.684967049700462E-4"/>
        <n v="5.07288103851073E-4"/>
        <n v="5.426845429874837E-4"/>
        <n v="0.0028755124824188113"/>
        <n v="0.002548019309860203"/>
        <n v="4.1913450678832386E-4"/>
        <n v="0.0024706857068068208"/>
        <n v="1.4861052795393085E-4"/>
        <n v="0.0018116096197660907"/>
        <n v="5.002845822959544E-5"/>
        <n v="5.312041115315992E-4"/>
        <n v="2.717662933081343E-5"/>
        <n v="0.0010375398201110902"/>
        <n v="6.098021660359805E-4"/>
        <n v="1.0380896960461897E-4"/>
        <n v="6.208173684698057E-5"/>
        <n v="0.0019959484593904922"/>
        <n v="6.280224493178577E-4"/>
        <n v="5.347323979069082E-4"/>
        <n v="9.336223511179351E-4"/>
        <n v="0.001155408155522194"/>
        <n v="0.002041481442738394"/>
        <n v="4.715098606068986E-4"/>
        <n v="4.5492633889353815E-4"/>
        <n v="3.0348615534657854E-4"/>
        <n v="3.34718216636152E-4"/>
        <n v="0.003736329816831042"/>
        <n v="2.9269537180720274E-4"/>
        <n v="2.783570260373205E-4"/>
        <n v="2.675469666427472E-4"/>
        <n v="3.6602845059541673E-4"/>
        <n v="3.11385871981015E-4"/>
        <n v="2.236398702495337E-5"/>
        <n v="9.628010021420248E-4"/>
        <n v="5.493179516728279E-4"/>
        <n v="4.915300070397343E-4"/>
        <n v="1.7761238865964142E-4"/>
        <n v="3.5916211602436275E-4"/>
        <n v="8.900420923889537E-4"/>
        <n v="3.248304431690928E-4"/>
        <n v="2.6647477436923545E-4"/>
        <n v="4.5759558365136057E-4"/>
        <n v="0.0013657092632249502"/>
        <n v="0.0011464230102528439"/>
        <n v="5.054836699548102E-4"/>
        <n v="1.3454174453212092E-4"/>
        <n v="5.442451646342206E-5"/>
        <n v="2.72635557415119E-5"/>
        <n v="4.0839579919544914E-5"/>
        <n v="2.5334889222876097E-5"/>
        <n v="8.619520894964704E-5"/>
        <n v="1.5190177594775486E-4"/>
        <n v="2.0500321439540586E-6"/>
        <n v="0.001066265738225283"/>
        <n v="8.638780182679186E-4"/>
        <n v="2.0416215025945072E-4"/>
        <n v="4.6523017943316187E-4"/>
        <n v="6.590600600571947E-4"/>
        <n v="1.0222675735506261E-4"/>
        <n v="2.7023150988485316E-6"/>
        <n v="2.5424303106019123E-4"/>
        <n v="0.0010728822328030035"/>
        <n v="2.0338947105324212E-4"/>
        <n v="0.002915508654079809"/>
        <n v="3.873834720319041E-5"/>
        <n v="4.929738925563968E-4"/>
        <n v="1.963426507926053E-5"/>
        <n v="0.0018321820097565937"/>
        <n v="6.114556008373685E-4"/>
        <n v="1.2935146936421193E-4"/>
        <n v="0.0021416547898279728"/>
        <n v="1.1042239156049602E-4"/>
        <n v="8.402458080458404E-5"/>
        <n v="5.129389080458697E-4"/>
        <n v="5.882911106347906E-4"/>
        <n v="0.0016958589435544663"/>
        <n v="0.00243898244750132"/>
        <n v="0.002929249941838063"/>
        <n v="2.074364488956872E-4"/>
        <n v="8.348125548775485E-6"/>
        <n v="0.002810855535967404"/>
        <n v="8.43983573205947E-4"/>
        <n v="6.683360234027806E-4"/>
        <n v="1.2599483856255722E-4"/>
        <n v="6.234649814998509E-4"/>
        <n v="0.0010319264161278712"/>
        <n v="7.341696195203886E-5"/>
        <n v="6.755279560143401E-5"/>
        <n v="7.929045250556471E-4"/>
        <n v="4.773302935024318E-4"/>
        <n v="0.0016600384062287416"/>
        <n v="4.335436521104721E-5"/>
        <n v="2.247361441233059E-5"/>
        <n v="4.7017741197575425E-4"/>
        <n v="7.168893235228405E-4"/>
        <n v="8.388204992600935E-4"/>
        <n v="0.0016633892677863232"/>
        <n v="5.4033506240116E-4"/>
        <n v="1.8888208995701384E-4"/>
        <n v="4.1392640101373266E-5"/>
        <n v="3.9888661621445516E-4"/>
        <n v="7.98087380106179E-6"/>
        <n v="1.62967409329771E-4"/>
        <n v="4.29574917437646E-5"/>
        <n v="2.529361739027561E-4"/>
        <n v="3.6321726010841846E-4"/>
        <n v="3.03164705051812E-4"/>
        <n v="0.0018157061296826505"/>
        <n v="0.0014112821201568888"/>
        <n v="7.58451968324564E-5"/>
        <n v="7.656839683949613E-4"/>
        <n v="3.9805533981844476E-5"/>
        <n v="2.578984288049157E-5"/>
        <n v="1.8761117601265344E-5"/>
        <n v="8.580252435306108E-5"/>
        <n v="9.96896094865339E-4"/>
        <n v="0.0022404205823635657"/>
        <n v="6.139133693124454E-7"/>
        <n v="0.0015483234454961323"/>
        <n v="2.0971751517729449E-4"/>
        <n v="8.736603649682853E-5"/>
        <n v="0.00123359981906907"/>
        <n v="8.811427279064787E-4"/>
        <n v="5.24018911663123E-5"/>
        <n v="2.3691255086419864E-4"/>
        <n v="0.0031108025538248213"/>
        <n v="3.824481657270596E-4"/>
        <n v="8.476816116568656E-5"/>
        <n v="7.753647834496337E-4"/>
        <n v="2.5871005922110875E-4"/>
        <n v="2.5839048892441083E-4"/>
        <n v="7.675814974455853E-4"/>
        <n v="6.319396367936395E-4"/>
        <n v="5.82295103544629E-4"/>
        <n v="2.7528385781945807E-4"/>
        <n v="6.751152611883113E-4"/>
        <n v="0.0013832364499688616"/>
        <n v="4.3055681692891765E-4"/>
        <n v="0.0010475158888624415"/>
        <n v="1.6951048410791735E-4"/>
        <n v="3.3284954555588146E-5"/>
        <n v="2.345000315926361E-4"/>
        <n v="1.420322913369071E-4"/>
        <n v="0.002043771644635616"/>
        <n v="7.634694834199535E-4"/>
        <n v="0.0011279634208418113"/>
        <n v="6.27325216784141E-4"/>
        <n v="3.39899714563078E-5"/>
        <n v="0.003050173274110697"/>
        <n v="0.003411897328128121"/>
        <n v="0.003800447585711359"/>
        <n v="1.0043020182570608E-4"/>
        <n v="1.2625320904712715E-5"/>
        <n v="9.592186658222428E-4"/>
        <n v="0.002229253922585336"/>
        <n v="5.4583476175119025E-5"/>
        <n v="4.989142399537391E-5"/>
        <n v="0.0024337783660975947"/>
        <n v="6.930668692462046E-4"/>
        <n v="2.4507532622838874E-4"/>
        <n v="7.476345769375231E-4"/>
        <n v="1.7089010306560253E-4"/>
        <n v="0.001966026474755046"/>
        <n v="2.971998471796499E-5"/>
        <n v="9.863221867281622E-4"/>
        <n v="7.315030890097776E-4"/>
        <n v="4.590675163892097E-4"/>
        <n v="0.0023972806299675724"/>
        <n v="8.209437915002533E-4"/>
        <n v="0.0010048563239376097"/>
        <n v="7.773642788955052E-5"/>
        <n v="4.425607103470373E-4"/>
        <n v="8.515672327900762E-4"/>
        <n v="1.9939387590801042E-4"/>
        <n v="8.106586921913762E-5"/>
        <n v="6.721284260067569E-4"/>
        <n v="0.0014556824869183542"/>
        <n v="2.665026512155969E-5"/>
        <n v="1.6978098058003E-4"/>
        <n v="1.4541738060932575E-4"/>
        <n v="6.792451351955953E-4"/>
        <n v="1.426566974454401E-4"/>
        <n v="0.0010111404524817775"/>
        <n v="0.0023265963215832143"/>
        <n v="1.9912234543696E-6"/>
        <n v="2.3556493299863797E-4"/>
        <n v="6.544658676519158E-4"/>
        <n v="2.575139574498921E-4"/>
        <n v="1.8727412173391716E-4"/>
        <n v="4.196955980869016E-4"/>
        <n v="4.022893187187793E-4"/>
        <n v="3.311411208109861E-4"/>
        <n v="0.0022209847099554916"/>
        <n v="2.8528699854299774E-4"/>
        <n v="0.0022621196610715945"/>
        <n v="0.0013034963730127064"/>
        <n v="0.0014239563915113137"/>
        <n v="0.0013340440445053696"/>
        <n v="0.001090331669876789"/>
        <n v="0.00245553127737532"/>
        <n v="6.38284019275907E-4"/>
        <n v="0.0011212335506305643"/>
        <n v="0.0035442719048866243"/>
        <n v="1.638355395629205E-4"/>
        <n v="0.0023251757891675604"/>
        <n v="5.187137098632809E-4"/>
        <n v="4.5589966089362163E-4"/>
        <n v="2.1011944113938656E-4"/>
        <n v="4.1418882524413807E-4"/>
        <n v="1.0462757363864792E-4"/>
        <n v="0.0030168015752692233"/>
        <n v="7.429417727585505E-4"/>
        <n v="2.6036974501607475E-4"/>
        <n v="3.920275372609473E-5"/>
        <n v="0.002011724527808368"/>
        <n v="1.9821724386679204E-4"/>
        <n v="0.0035907947953425713"/>
        <n v="9.44439942254771E-6"/>
        <n v="4.721651574336968E-5"/>
        <n v="3.651688273535278E-5"/>
        <n v="0.003446314969770073"/>
        <n v="5.73836886483953E-4"/>
        <n v="6.169805861614219E-4"/>
        <n v="5.0094692911551004E-5"/>
        <n v="0.0017070605477967965"/>
        <n v="4.55063308502826E-4"/>
        <n v="1.7696222070257418E-4"/>
        <n v="5.945752391789585E-4"/>
        <n v="8.030061130530497E-4"/>
        <n v="2.8821040141471765E-5"/>
        <n v="3.802892993199135E-5"/>
        <n v="1.499753301768376E-4"/>
        <n v="0.001463006883018831"/>
        <n v="0.0025208557406409724"/>
        <n v="1.9125756151663637E-4"/>
        <n v="4.401539603195479E-6"/>
        <n v="4.421317417877268E-4"/>
        <n v="7.566567934187892E-4"/>
        <n v="1.709090969210897E-5"/>
        <n v="3.3914155834194966E-4"/>
        <n v="7.457206331537622E-4"/>
        <n v="0.0020003388893801008"/>
        <n v="9.510175854974041E-6"/>
        <n v="6.642474506030672E-4"/>
        <n v="0.0015763903655373291"/>
        <n v="5.910313253197041E-5"/>
        <n v="0.001923585118856043"/>
        <n v="8.650960807665744E-4"/>
        <n v="0.0012865853732607717"/>
        <n v="0.0025660008275123695"/>
        <n v="0.0017724477207480252"/>
        <n v="5.767719512186924E-5"/>
        <n v="0.002053768957365143"/>
        <n v="2.2260316881456127E-4"/>
        <n v="2.397636736851735E-4"/>
        <n v="0.0038090210584036306"/>
        <n v="9.963184889587273E-5"/>
        <n v="0.0033937054680670442"/>
        <n v="1.5660222936886918E-4"/>
        <n v="1.633873421483642E-4"/>
        <n v="2.294645742656791E-5"/>
        <n v="3.7030301982905186E-4"/>
        <n v="0.0013984704855685805"/>
        <n v="3.34871542228637E-4"/>
        <n v="2.6013718925498475E-4"/>
        <n v="1.430965582435608E-4"/>
        <n v="7.969990374742589E-5"/>
        <n v="6.012969372736009E-4"/>
        <n v="6.029786660459216E-4"/>
        <n v="4.944190940717075E-4"/>
        <n v="6.599095548094888E-4"/>
        <n v="5.897589661268284E-4"/>
        <n v="9.403451889614066E-4"/>
        <n v="8.593849873837143E-4"/>
        <n v="4.7489999062413874E-4"/>
        <n v="0.0028349584213309465"/>
        <n v="3.4553480902401373E-4"/>
        <n v="6.564486546149525E-4"/>
        <n v="2.4594904358079843E-5"/>
        <n v="5.03780497454519E-5"/>
        <n v="6.529991871586712E-4"/>
        <n v="3.8413436536978725E-5"/>
        <n v="4.1082863419614096E-5"/>
        <n v="5.467146537222568E-4"/>
        <n v="2.1079166969879042E-4"/>
        <n v="2.893581167356429E-4"/>
        <n v="8.372437448799303E-4"/>
        <n v="3.963030053686589E-6"/>
        <n v="7.468025426672913E-4"/>
        <n v="2.110277269562833E-5"/>
        <n v="0.00369248032475365"/>
        <n v="8.726084237989689E-4"/>
        <n v="0.0010360414851503647"/>
        <n v="9.391188662212366E-4"/>
        <n v="2.7469832654598804E-4"/>
        <n v="2.7662194644480833E-4"/>
        <n v="5.252360224127568E-4"/>
        <n v="3.0624812513414243E-4"/>
        <n v="2.6428185649707124E-4"/>
        <n v="0.001581347567944679"/>
        <n v="0.0033529791639061285"/>
        <n v="4.268373465000165E-4"/>
        <n v="1.9182038593843368E-4"/>
        <n v="0.002409811134344692"/>
        <n v="2.444500741207248E-4"/>
        <n v="3.6034522230893E-5"/>
        <n v="0.00138590702247532"/>
        <n v="9.226293209113319E-5"/>
        <n v="4.0883791599125225E-4"/>
        <n v="4.7599189350240145E-4"/>
        <n v="6.570132297849513E-4"/>
        <n v="8.080205379016138E-4"/>
        <n v="4.030417291958105E-4"/>
        <n v="1.46226837277752E-4"/>
        <n v="1.4278520706341918E-4"/>
        <n v="0.0020222173375288597"/>
        <n v="5.149198385108136E-5"/>
        <n v="3.812840532979795E-5"/>
        <n v="1.817719372614399E-4"/>
        <n v="2.308143658790066E-4"/>
        <n v="0.003824707063164031"/>
        <n v="5.371777818947081E-4"/>
        <n v="6.930168965475428E-4"/>
        <n v="0.0010872660980261223"/>
        <n v="5.676092988816993E-4"/>
        <n v="0.0018316862895158589"/>
        <n v="3.518265985603113E-5"/>
        <n v="5.011731633830942E-4"/>
        <n v="5.719073974661622E-4"/>
        <n v="8.633291763317568E-4"/>
        <n v="0.002259067707456938"/>
        <n v="2.2131428326366357E-4"/>
        <n v="4.292891107312619E-4"/>
        <n v="3.095612516054902E-4"/>
        <n v="3.8656637787132394E-4"/>
        <n v="4.5550179455235905E-5"/>
        <n v="8.130695547146407E-4"/>
        <n v="2.6550443099109184E-4"/>
        <n v="0.0014923038505463716"/>
        <n v="2.4671009029895736E-4"/>
        <n v="0.0016832180774157234"/>
        <n v="2.4211041064931576E-4"/>
        <n v="6.87443031273705E-5"/>
        <n v="1.50284078734653E-4"/>
        <n v="1.766806909917962E-4"/>
        <n v="8.271498119996634E-4"/>
        <n v="2.0435475606158228E-4"/>
        <n v="6.843161303610432E-4"/>
        <n v="7.730628433144706E-6"/>
        <n v="8.716128120717841E-5"/>
        <n v="0.0017630509087765897"/>
        <n v="5.911218354767208E-4"/>
        <n v="3.9788265024585283E-4"/>
        <n v="0.001151736636794031"/>
        <n v="9.733497300550702E-5"/>
        <n v="9.892668512030394E-4"/>
        <n v="7.655349080480944E-4"/>
        <n v="2.3245353619504863E-4"/>
        <n v="5.834571656008154E-4"/>
        <n v="3.412152432116047E-5"/>
        <n v="4.6696191027911424E-4"/>
        <n v="0.002225288160659456"/>
        <n v="0.0017609960708875726"/>
        <n v="5.0275119851194184E-5"/>
        <n v="4.911986221301736E-4"/>
        <n v="2.1152223694826164E-4"/>
        <n v="2.20844783120992E-5"/>
        <n v="0.0016856716335201282"/>
        <n v="5.388812363947094E-4"/>
        <n v="2.694598176776307E-4"/>
        <n v="0.001116609842255608"/>
        <n v="0.003920193093319"/>
        <n v="5.804917036473038E-4"/>
        <n v="0.001109497897686875"/>
        <n v="1.5408464170524582E-4"/>
        <n v="0.0010303545203677166"/>
        <n v="2.862952121322364E-5"/>
        <n v="0.0011597709495401937"/>
        <n v="0.0018642516748106773"/>
        <n v="9.826482945024374E-4"/>
        <n v="0.0015170381685112283"/>
        <n v="0.0013569635709596043"/>
        <n v="1.5358796971548856E-5"/>
        <n v="7.834069451877329E-4"/>
        <n v="6.311318016235474E-5"/>
        <n v="1.4779786941379394E-4"/>
        <n v="0.0029516286104729335"/>
        <n v="7.428125581412957E-5"/>
        <n v="0.0010203887681057668"/>
        <n v="0.0013040514953174163"/>
        <n v="0.0023050028693916724"/>
        <n v="1.1521500601193116E-4"/>
        <n v="7.473346232456725E-4"/>
        <n v="3.171478310616198E-4"/>
        <n v="4.576313858645801E-4"/>
        <n v="2.2053898381014681E-4"/>
        <n v="0.0018656742693492127"/>
        <n v="8.027345825819993E-4"/>
        <n v="1.5328552502619708E-5"/>
        <n v="2.3240926811552627E-4"/>
        <n v="0.0012226112479828861"/>
        <n v="0.0018334213103584315"/>
        <n v="0.0012021663747363823"/>
        <n v="3.999228241499345E-4"/>
        <n v="1.2979967265376222E-4"/>
        <n v="0.0022064507915115256"/>
        <n v="8.265387538774177E-4"/>
        <n v="0.0011428830150145635"/>
        <n v="5.134297167916505E-4"/>
        <n v="3.0454488213392382E-5"/>
        <n v="0.001386685917425143"/>
        <n v="1.2148124519947716E-4"/>
        <n v="2.27059586736379E-4"/>
        <n v="6.006842341530452E-5"/>
        <n v="6.042431292469091E-6"/>
        <n v="0.003707635905683968"/>
        <n v="0.0025801564903449262"/>
        <n v="7.060936696134682E-4"/>
        <n v="3.4985442183637455E-5"/>
        <n v="0.0010394847544880135"/>
        <n v="3.3419362667507554E-4"/>
        <n v="7.83280068818076E-4"/>
        <n v="1.2851226172634953E-5"/>
        <n v="0.0028988501968184315"/>
        <n v="2.1439900411789146E-4"/>
        <n v="0.002425806998036767"/>
        <n v="0.0012700875970843228"/>
        <n v="1.8677487062180952E-4"/>
        <n v="0.002096185855664272"/>
        <n v="0.0011810534735511593"/>
        <n v="0.0016608035771926639"/>
        <n v="6.309214122146852E-4"/>
        <n v="1.5774415194574543E-4"/>
        <n v="3.174809138444361E-5"/>
        <n v="2.398836234369463E-4"/>
        <n v="7.108902496858293E-5"/>
        <n v="0.002745116685877461"/>
        <n v="0.0023293445791348647"/>
        <n v="2.3369160304815363E-4"/>
        <n v="3.250452035734644E-5"/>
        <n v="4.114477998100575E-5"/>
        <n v="3.133357531028566E-5"/>
        <n v="0.0019154630102000752"/>
        <n v="2.956845334863671E-4"/>
        <n v="8.784431975547693E-5"/>
        <n v="1.2254661660499622E-4"/>
        <n v="2.5033413907588734E-5"/>
        <n v="0.0011708692361386643"/>
        <n v="1.7559228960993637E-4"/>
        <n v="0.001518481777903175"/>
        <n v="7.64096968025324E-4"/>
        <n v="0.002854852866392918"/>
        <n v="2.1824783016390252E-4"/>
        <n v="4.45329501002594E-4"/>
        <n v="9.358484685809927E-5"/>
        <n v="0.0014867271829004125"/>
        <n v="0.00189414703984847"/>
        <n v="3.4900171346238177E-4"/>
        <n v="0.0036165805609772515"/>
        <n v="1.807487835625496E-4"/>
        <n v="4.52064335583741E-5"/>
        <n v="1.7619729648839867E-4"/>
        <n v="5.38818608959048E-6"/>
        <n v="0.002844446565958553"/>
        <n v="7.25138050048731E-4"/>
        <n v="0.0010723685233307492"/>
        <n v="6.917691300794025E-4"/>
        <n v="1.381855274137776E-4"/>
        <n v="0.001202443827201349"/>
        <n v="0.0013910808124101648"/>
        <n v="5.270884785096852E-5"/>
        <n v="5.3832528571585056E-5"/>
        <n v="0.002105181417297921"/>
        <n v="3.014893330229608E-4"/>
        <n v="0.0021090417642070963"/>
        <n v="0.0026417527529406454"/>
        <n v="1.6822322593034777E-5"/>
        <n v="0.0011159162110931915"/>
        <n v="0.0036555751519171966"/>
        <n v="0.0010691477928894807"/>
        <n v="1.8674699377544809E-4"/>
        <n v="3.1831318898942033E-4"/>
        <n v="6.041401993526513E-4"/>
        <n v="0.0010752172021542348"/>
        <n v="9.614072773238308E-4"/>
        <n v="6.146361110699559E-4"/>
        <n v="0.0022241051601247803"/>
        <n v="8.836960296584123E-6"/>
        <n v="4.243676165372279E-5"/>
        <n v="3.7788848303632816E-4"/>
        <n v="4.444131958189357E-4"/>
        <n v="4.3665305141611344E-6"/>
        <n v="4.703273888216795E-4"/>
        <n v="8.013769302267472E-4"/>
        <n v="2.5282721626469084E-4"/>
        <n v="6.007159121205017E-4"/>
        <n v="0.0020309658262913323"/>
        <n v="3.5234379777898043E-4"/>
        <n v="2.8891184044411294E-4"/>
        <n v="5.95151928586512E-5"/>
        <n v="2.3125897367225063E-5"/>
        <n v="1.571433163129979E-4"/>
        <n v="1.741231181192506E-4"/>
        <n v="2.5601371899112215E-4"/>
        <n v="1.9541983024064043E-4"/>
        <n v="7.771202081462448E-4"/>
        <n v="4.3015295809381126E-4"/>
        <n v="0.0024082588316894087"/>
        <n v="1.624950950649905E-4"/>
        <n v="7.309600280676769E-4"/>
        <n v="7.318860269913765E-4"/>
        <n v="1.6500305361350604E-4"/>
        <n v="5.643350002454628E-4"/>
        <n v="0.0011185273169107416"/>
        <n v="2.3958038562346963E-4"/>
        <n v="5.375346877780502E-4"/>
        <n v="2.719025520431525E-4"/>
        <n v="1.910121512687521E-4"/>
        <n v="0.00107769580335791"/>
        <n v="2.2296571469210944E-4"/>
        <n v="0.0011984036819768845"/>
        <n v="1.0707496687438364E-4"/>
        <n v="5.19907261887117E-4"/>
        <n v="2.5387443981385365E-4"/>
        <n v="2.0560590652624617E-4"/>
        <n v="5.632315001291143E-5"/>
        <n v="6.809079112373866E-4"/>
        <n v="5.954729382567312E-4"/>
        <n v="2.5243282791985526E-4"/>
        <n v="2.7592502528577174E-4"/>
        <n v="1.30881793667074E-4"/>
        <n v="1.8798391500472996E-4"/>
        <n v="3.662040952899728E-4"/>
        <n v="8.003813184995625E-4"/>
        <n v="4.5570532784326457E-4"/>
        <n v="2.8944241114904525E-4"/>
        <n v="9.247336849994695E-4"/>
        <n v="8.975892271356056E-4"/>
        <n v="3.274233247553649E-4"/>
        <n v="7.033206019623054E-4"/>
        <n v="7.026303489214184E-4"/>
        <n v="5.185897122406665E-4"/>
        <n v="4.335022216530345E-4"/>
        <n v="4.103366504515673E-4"/>
        <n v="0.002395815923472299"/>
        <n v="1.664526496243022E-4"/>
        <n v="6.0013427596803E-4"/>
        <n v="7.95829760925484E-4"/>
        <n v="2.0269254989420553E-4"/>
        <n v="1.5443772884251116E-4"/>
        <n v="0.001604398559138857"/>
        <n v="3.604450854563383E-4"/>
        <n v="1.601524823466113E-4"/>
        <n v="0.0023656321197308263"/>
        <n v="6.735599035361666E-4"/>
        <n v="7.036791645939456E-5"/>
        <n v="0.0032001496147864962"/>
        <n v="8.878141301777913E-4"/>
        <n v="1.2801152424076888E-4"/>
        <n v="9.426044766403876E-4"/>
        <n v="6.818130128075545E-4"/>
        <n v="4.302751579682725E-5"/>
        <n v="7.867245542794755E-5"/>
        <n v="2.0188412134972307E-4"/>
        <n v="2.309417239981686E-4"/>
        <n v="8.278130870682654E-4"/>
        <n v="5.185923559879506E-5"/>
        <n v="0.0016123300829906171"/>
        <n v="9.646479827445785E-5"/>
        <n v="5.966429550547457E-4"/>
        <n v="5.78002962204046E-4"/>
        <n v="4.7689801732151923E-4"/>
        <n v="0.0016522355623697855"/>
        <n v="0.0012100185391696703"/>
        <n v="0.0024476186886291077"/>
        <n v="1.8766672995558156E-4"/>
        <n v="4.904240394259206E-4"/>
        <n v="0.001119541669868673"/>
        <n v="8.298876296870393E-4"/>
        <n v="5.158819862723766E-4"/>
        <n v="1.641946250690236E-5"/>
        <n v="4.3464709347688094E-5"/>
        <n v="8.62219401721854E-6"/>
        <n v="6.238865123168025E-4"/>
        <n v="0.002620710551432791"/>
        <n v="1.3029637989348325E-4"/>
        <n v="8.560682830410423E-5"/>
        <n v="0.0012884510833440844"/>
        <n v="0.001469314793538567"/>
        <n v="8.130244817609453E-4"/>
        <n v="4.709441221880949E-4"/>
        <n v="0.001828805721225134"/>
        <n v="1.1543802078282288E-4"/>
        <n v="6.887091747229662E-4"/>
        <n v="8.46279086097713E-4"/>
        <n v="1.0693558264257632E-4"/>
        <n v="6.91254139858464E-4"/>
        <n v="3.1527807310746577E-4"/>
        <n v="8.091608037301921E-4"/>
        <n v="6.786858827701282E-4"/>
        <n v="4.785787179698962E-4"/>
        <n v="4.399733042551401E-4"/>
        <n v="0.0029531990433595908"/>
        <n v="2.0701369607999102E-4"/>
        <n v="3.487247192469444E-5"/>
        <n v="3.4579161676018917E-4"/>
        <n v="0.002562161254581852"/>
        <n v="4.4678815625408334E-4"/>
        <n v="1.7699341692052556E-5"/>
        <n v="6.746627104032273E-4"/>
        <n v="4.178380659951878E-4"/>
        <n v="1.6464065461080702E-4"/>
        <n v="2.594880259218854E-5"/>
        <n v="1.4473658630872167E-4"/>
        <n v="8.608670956111097E-5"/>
        <n v="5.316893037831499E-4"/>
        <n v="0.0021538487040508795"/>
      </sharedItems>
    </cacheField>
    <cacheField name="cumulative share of revenue" numFmtId="10">
      <sharedItems containsSemiMixedTypes="0" containsString="0" containsNumber="1">
        <n v="7.855160680209818E-5"/>
        <n v="3.1940291811991613E-4"/>
        <n v="0.0021619133023909293"/>
        <n v="0.0022370937671562802"/>
        <n v="0.002450295888128758"/>
        <n v="0.003299635658082159"/>
        <n v="0.0033363498701147907"/>
        <n v="0.00373631425397203"/>
        <n v="0.004523242764541977"/>
        <n v="0.005407250462630205"/>
        <n v="0.006897591272068254"/>
        <n v="0.0071856047319352944"/>
        <n v="0.007225563914634292"/>
        <n v="0.008286800076401576"/>
        <n v="0.008900955777465068"/>
        <n v="0.010965289806976466"/>
        <n v="0.012318830841452123"/>
        <n v="0.01263393393373935"/>
        <n v="0.013365221034471016"/>
        <n v="0.01562149171017641"/>
        <n v="0.015638018038823528"/>
        <n v="0.015710906785943213"/>
        <n v="0.015719323666546357"/>
        <n v="0.01657336566416905"/>
        <n v="0.01660816687829195"/>
        <n v="0.01943011739323622"/>
        <n v="0.019467461962746273"/>
        <n v="0.01976264864924409"/>
        <n v="0.02012036058175826"/>
        <n v="0.020300807226131205"/>
        <n v="0.02032572769915482"/>
        <n v="0.020506797263262825"/>
        <n v="0.020555395084087148"/>
        <n v="0.020599876396515455"/>
        <n v="0.02074600682514225"/>
        <n v="0.020858657161288926"/>
        <n v="0.020903343746006352"/>
        <n v="0.021115737438434347"/>
        <n v="0.021535222676487355"/>
        <n v="0.022538507968288924"/>
        <n v="0.022681739204894125"/>
        <n v="0.023547040475699905"/>
        <n v="0.023842757063153343"/>
        <n v="0.02470692364937481"/>
        <n v="0.02529351997700069"/>
        <n v="0.02534298385418529"/>
        <n v="0.026530500520221663"/>
        <n v="0.028025469720404858"/>
        <n v="0.0295346557244828"/>
        <n v="0.029733600175102515"/>
        <n v="0.02981274254192271"/>
        <n v="0.029902773152557162"/>
        <n v="0.02990355836900049"/>
        <n v="0.030298544694221805"/>
        <n v="0.031049177409829272"/>
        <n v="0.03143109926422202"/>
        <n v="0.03148895893665643"/>
        <n v="0.03384894025219246"/>
        <n v="0.034248340049129716"/>
        <n v="0.03499468680389025"/>
        <n v="0.03540301110440915"/>
        <n v="0.03565429299751139"/>
        <n v="0.03597063487927598"/>
        <n v="0.03597446073409559"/>
        <n v="0.036550994101809384"/>
        <n v="0.03696838304801596"/>
        <n v="0.03723810331592602"/>
        <n v="0.038422974213680454"/>
        <n v="0.038706990780028594"/>
        <n v="0.038713889714941156"/>
        <n v="0.03899008643519781"/>
        <n v="0.04019343063459918"/>
        <n v="0.04019829809059873"/>
        <n v="0.041027486654753934"/>
        <n v="0.04435405611691637"/>
        <n v="0.04500494681574114"/>
        <n v="0.04523366150577719"/>
        <n v="0.04571036301630059"/>
        <n v="0.04634384360526117"/>
        <n v="0.047637364056397374"/>
        <n v="0.048695348714505"/>
        <n v="0.04872786848047169"/>
        <n v="0.049650497801383024"/>
        <n v="0.05116744923735835"/>
        <n v="0.05260095551968384"/>
        <n v="0.053451174259234256"/>
        <n v="0.053622445602408204"/>
        <n v="0.05416835464758308"/>
        <n v="0.054169119818547"/>
        <n v="0.05418810728204074"/>
        <n v="0.05483306952445595"/>
        <n v="0.054874103055551245"/>
        <n v="0.05549172566105311"/>
        <n v="0.05647287418709629"/>
        <n v="0.056826416941893554"/>
        <n v="0.05687735530743838"/>
        <n v="0.05909793412581085"/>
        <n v="0.062035808041789306"/>
        <n v="0.062455086597554645"/>
        <n v="0.0625824865466737"/>
        <n v="0.06310026633812142"/>
        <n v="0.06327142869428233"/>
        <n v="0.06334385274112941"/>
        <n v="0.06406528075598955"/>
        <n v="0.06579801040379088"/>
        <n v="0.06751419387721548"/>
        <n v="0.06762905113721994"/>
        <n v="0.0708071887358699"/>
        <n v="0.07385333434324332"/>
        <n v="0.07505899820763665"/>
        <n v="0.07595798686420958"/>
        <n v="0.07641900668809314"/>
        <n v="0.07645432315093671"/>
        <n v="0.07708176865234728"/>
        <n v="0.07754909028850684"/>
        <n v="0.07771181516633577"/>
        <n v="0.07927297825251643"/>
        <n v="0.08295171728951183"/>
        <n v="0.08369372785222703"/>
        <n v="0.084015764753391"/>
        <n v="0.08416819872741702"/>
        <n v="0.084861937455098"/>
        <n v="0.08522667118039852"/>
        <n v="0.0852489726574877"/>
        <n v="0.08585901111578093"/>
        <n v="0.08887072402977785"/>
        <n v="0.08887102002372377"/>
        <n v="0.09054483150730311"/>
        <n v="0.09080998857340106"/>
        <n v="0.09130982788990444"/>
        <n v="0.09158596040822704"/>
        <n v="0.09166559811341336"/>
        <n v="0.09240407048451343"/>
        <n v="0.09541066424601938"/>
        <n v="0.09564095054394088"/>
        <n v="0.09568881934263915"/>
        <n v="0.09604280456673185"/>
        <n v="0.09884409546565023"/>
        <n v="0.0991610542100311"/>
        <n v="0.0991990072115411"/>
        <n v="0.0997607741344248"/>
        <n v="0.0998560379194331"/>
        <n v="0.1003578463224136"/>
        <n v="0.10040434490214452"/>
        <n v="0.1007195121963658"/>
        <n v="0.10088108639787684"/>
        <n v="0.10088280754785867"/>
        <n v="0.10112988003716032"/>
        <n v="0.10159196170745302"/>
        <n v="0.10162022949941286"/>
        <n v="0.10165406711465069"/>
        <n v="0.10173771155397081"/>
        <n v="0.1018563432390977"/>
        <n v="0.10206386979865081"/>
        <n v="0.10286642552291655"/>
        <n v="0.10300619404982908"/>
        <n v="0.10318879206999186"/>
        <n v="0.10333899530293457"/>
        <n v="0.10458485296203587"/>
        <n v="0.10504302675671823"/>
        <n v="0.10634037412604795"/>
        <n v="0.10690528955219714"/>
        <n v="0.10923059547835601"/>
        <n v="0.10951630136984367"/>
        <n v="0.10999135731805759"/>
        <n v="0.11117201611538921"/>
        <n v="0.1112474110761842"/>
        <n v="0.11325370342007318"/>
        <n v="0.11356809361709279"/>
        <n v="0.11694058464057892"/>
        <n v="0.11721889902591005"/>
        <n v="0.1193602969610019"/>
        <n v="0.11960439271423662"/>
        <n v="0.12135204319583442"/>
        <n v="0.12138987155347247"/>
        <n v="0.1236727591243337"/>
        <n v="0.12392245203719333"/>
        <n v="0.1243681045336141"/>
        <n v="0.12491060979528577"/>
        <n v="0.1251578387298017"/>
        <n v="0.12525075031997646"/>
        <n v="0.12570474926757272"/>
        <n v="0.12582744002715462"/>
        <n v="0.12874771501096288"/>
        <n v="0.12897691844174683"/>
        <n v="0.12995311773187448"/>
        <n v="0.13227730208056057"/>
        <n v="0.13245905841383804"/>
        <n v="0.1327001366761727"/>
        <n v="0.13372492846438014"/>
        <n v="0.13396709462872217"/>
        <n v="0.1340043734217998"/>
        <n v="0.13665109978600593"/>
        <n v="0.13706720445853188"/>
        <n v="0.1386237660144398"/>
        <n v="0.13864114396458702"/>
        <n v="0.13867658991817255"/>
        <n v="0.1388976254329726"/>
        <n v="0.13930280383872334"/>
        <n v="0.13932289904407907"/>
        <n v="0.13976520289969"/>
        <n v="0.14012051334029627"/>
        <n v="0.14358941590523658"/>
        <n v="0.1441393696722562"/>
        <n v="0.1463976365122859"/>
        <n v="0.1469788566211849"/>
        <n v="0.1504389597200401"/>
        <n v="0.15068829023389702"/>
        <n v="0.15110367946728295"/>
        <n v="0.1543927668557016"/>
        <n v="0.15755024483832566"/>
        <n v="0.15845481418104043"/>
        <n v="0.15850457435179566"/>
        <n v="0.15850793991258813"/>
        <n v="0.1618968821117986"/>
        <n v="0.161981596998519"/>
        <n v="0.16211981040277915"/>
        <n v="0.16236342616313199"/>
        <n v="0.16254833703329372"/>
        <n v="0.1631144448717179"/>
        <n v="0.16318373417453536"/>
        <n v="0.16320572900631455"/>
        <n v="0.163269429057249"/>
        <n v="0.16348161320039228"/>
        <n v="0.1646161405698658"/>
        <n v="0.16797332817407348"/>
        <n v="0.16843664966784247"/>
        <n v="0.168453137626904"/>
        <n v="0.1684610344647914"/>
        <n v="0.16848716465194727"/>
        <n v="0.17024300574463067"/>
        <n v="0.1708170994388508"/>
        <n v="0.17117216608483252"/>
        <n v="0.1714022305664819"/>
        <n v="0.17150113761737237"/>
        <n v="0.175192322347332"/>
        <n v="0.17546698132316843"/>
        <n v="0.17663807548345103"/>
        <n v="0.1783987338714355"/>
        <n v="0.17861134223026798"/>
        <n v="0.17996804894649146"/>
        <n v="0.1806098114791938"/>
        <n v="0.18222107562090448"/>
        <n v="0.18223808431005606"/>
        <n v="0.1825026062481815"/>
        <n v="0.18251928057380157"/>
        <n v="0.1830370049699312"/>
        <n v="0.18433295489557155"/>
        <n v="0.18453935506603183"/>
        <n v="0.1866806860085675"/>
        <n v="0.18670410255951111"/>
        <n v="0.18709553164638687"/>
        <n v="0.18712669323124884"/>
        <n v="0.18758554445386025"/>
        <n v="0.18814947383277242"/>
        <n v="0.18858593419613648"/>
        <n v="0.19086089659401442"/>
        <n v="0.1932616958694922"/>
        <n v="0.19452864260080321"/>
        <n v="0.19708125293644696"/>
        <n v="0.19719354087359095"/>
        <n v="0.19778445209053405"/>
        <n v="0.1978153724951438"/>
        <n v="0.198222854533028"/>
        <n v="0.198698635572997"/>
        <n v="0.1990380629791703"/>
        <n v="0.19942495205871008"/>
        <n v="0.19977247712768945"/>
        <n v="0.2005369091113706"/>
        <n v="0.20057571720650214"/>
        <n v="0.20073197447972538"/>
        <n v="0.20213680759550748"/>
        <n v="0.2023848432959446"/>
        <n v="0.20287017137735572"/>
        <n v="0.20389351754104829"/>
        <n v="0.2041504276666185"/>
        <n v="0.2043673536348904"/>
        <n v="0.2051004170517972"/>
        <n v="0.20578621919725665"/>
        <n v="0.20579536072311536"/>
        <n v="0.20625751785770552"/>
        <n v="0.2080868372884029"/>
        <n v="0.20885400137927732"/>
        <n v="0.2090164406090247"/>
        <n v="0.2090198497681474"/>
        <n v="0.20994535688435229"/>
        <n v="0.21324783476463957"/>
        <n v="0.2133055861726852"/>
        <n v="0.21581762549200847"/>
        <n v="0.21792514642590297"/>
        <n v="0.21793997353004574"/>
        <n v="0.21820494295471146"/>
        <n v="0.2184851596513383"/>
        <n v="0.21852236718661414"/>
        <n v="0.2194943055081192"/>
        <n v="0.2198263864164647"/>
        <n v="0.21985746029941677"/>
        <n v="0.2212150507087324"/>
        <n v="0.2217405695768546"/>
        <n v="0.22184474676758092"/>
        <n v="0.22205449448610218"/>
        <n v="0.224315073018757"/>
        <n v="0.22436128644390588"/>
        <n v="0.2246639397189831"/>
        <n v="0.22592059571099102"/>
        <n v="0.22629440280634525"/>
        <n v="0.22630238916151568"/>
        <n v="0.22662324766814024"/>
        <n v="0.22754677286688121"/>
        <n v="0.22788255103230345"/>
        <n v="0.22930043213368106"/>
        <n v="0.22934083530729893"/>
        <n v="0.22939085479441274"/>
        <n v="0.22953893660228483"/>
        <n v="0.23064569917915675"/>
        <n v="0.23067038178542473"/>
        <n v="0.2308303241662372"/>
        <n v="0.2308409837905363"/>
        <n v="0.23315729980093072"/>
        <n v="0.23319133910471135"/>
        <n v="0.23340784471716508"/>
        <n v="0.23349744090137084"/>
        <n v="0.2344619304355282"/>
        <n v="0.2346064718839124"/>
        <n v="0.23461409098733513"/>
        <n v="0.23673820558318256"/>
        <n v="0.23822237645045913"/>
        <n v="0.23857807058104624"/>
        <n v="0.23981223004616536"/>
        <n v="0.24003496604859345"/>
        <n v="0.2408867071635799"/>
        <n v="0.24092977689120837"/>
        <n v="0.2432320315030484"/>
        <n v="0.24334139950944209"/>
        <n v="0.2443817853293794"/>
        <n v="0.2447994831122687"/>
        <n v="0.24658102756204645"/>
        <n v="0.24670045197185897"/>
        <n v="0.24846658513746908"/>
        <n v="0.24917567566500382"/>
        <n v="0.2502000123526788"/>
        <n v="0.2532312371262557"/>
        <n v="0.25377227642418343"/>
        <n v="0.2562111121437105"/>
        <n v="0.2564703738296149"/>
        <n v="0.25689840812388526"/>
        <n v="0.2569874303916806"/>
        <n v="0.2594254955469993"/>
        <n v="0.261900034074848"/>
        <n v="0.26546611335220643"/>
        <n v="0.2656732729126366"/>
        <n v="0.26784712362113894"/>
        <n v="0.2684020889342601"/>
        <n v="0.270364369871238"/>
        <n v="0.2727696847963268"/>
        <n v="0.27286454970449486"/>
        <n v="0.2737727091855214"/>
        <n v="0.27427404494523744"/>
        <n v="0.275354119110652"/>
        <n v="0.27568094894939205"/>
        <n v="0.2762175661041127"/>
        <n v="0.27836453046673604"/>
        <n v="0.27952243161719714"/>
        <n v="0.2797456383828916"/>
        <n v="0.2797816506271454"/>
        <n v="0.2802158699740617"/>
        <n v="0.28061193170517823"/>
        <n v="0.28167556716748066"/>
        <n v="0.2827502497863091"/>
        <n v="0.28286231989042687"/>
        <n v="0.2828738438085881"/>
        <n v="0.2829023085597206"/>
        <n v="0.2833829174934798"/>
        <n v="0.2836436496374986"/>
        <n v="0.2847562082190412"/>
        <n v="0.2848047527242953"/>
        <n v="0.28541081898166926"/>
        <n v="0.28586831853266925"/>
        <n v="0.2863252631082394"/>
        <n v="0.286489039580613"/>
        <n v="0.28704027738631355"/>
        <n v="0.2873996219091505"/>
        <n v="0.28784083322738385"/>
        <n v="0.28807741735433545"/>
        <n v="0.288580139741877"/>
        <n v="0.2894139193083158"/>
        <n v="0.29077285950924475"/>
        <n v="0.2909905078843995"/>
        <n v="0.29112491546756947"/>
        <n v="0.29117542080493414"/>
        <n v="0.29278512943624285"/>
        <n v="0.293896907795087"/>
        <n v="0.29759488463494393"/>
        <n v="0.29929547710226057"/>
        <n v="0.2999682732330814"/>
        <n v="0.3000616049146996"/>
        <n v="0.3004054978391603"/>
        <n v="0.300418888331029"/>
        <n v="0.30073328520204173"/>
        <n v="0.30083356862301824"/>
        <n v="0.303146545521843"/>
        <n v="0.30331007110259933"/>
        <n v="0.30394534923996325"/>
        <n v="0.30463202101965425"/>
        <n v="0.305076747816776"/>
        <n v="0.3075419645739512"/>
        <n v="0.30800147769688263"/>
        <n v="0.30894138259029635"/>
        <n v="0.3095778805644071"/>
        <n v="0.3096024699873958"/>
        <n v="0.30975189679288617"/>
        <n v="0.3102592204757007"/>
        <n v="0.3106255239465136"/>
        <n v="0.311187773041902"/>
        <n v="0.31119330374359516"/>
        <n v="0.31191141669323597"/>
        <n v="0.31264704865750403"/>
        <n v="0.3151048916275045"/>
        <n v="0.3154738010576402"/>
        <n v="0.31633373805945686"/>
        <n v="0.3165767006673557"/>
        <n v="0.3168426195086711"/>
        <n v="0.3173227347490625"/>
        <n v="0.3175202131184383"/>
        <n v="0.31813512335672667"/>
        <n v="0.31959927799619137"/>
        <n v="0.3203209859897639"/>
        <n v="0.3207405939094409"/>
        <n v="0.32137166543362633"/>
        <n v="0.32170700556537357"/>
        <n v="0.32177552673623017"/>
        <n v="0.3219217364479005"/>
        <n v="0.32195666921488825"/>
        <n v="0.32232531672016806"/>
        <n v="0.3223270378701499"/>
        <n v="0.32277850253334966"/>
        <n v="0.3258235719005787"/>
        <n v="0.32586383803996233"/>
        <n v="0.3259924896859205"/>
        <n v="0.3260430508768528"/>
        <n v="0.32652251092029233"/>
        <n v="0.326846236987971"/>
        <n v="0.3268713495262973"/>
        <n v="0.3271150767940356"/>
        <n v="0.32811782198589207"/>
        <n v="0.32867723027494883"/>
        <n v="0.32970127217892664"/>
        <n v="0.33025718556332384"/>
        <n v="0.33029922766638303"/>
        <n v="0.33091532790819883"/>
        <n v="0.33157540310258815"/>
        <n v="0.3325153637144446"/>
        <n v="0.3330157943725905"/>
        <n v="0.3332219678857836"/>
        <n v="0.3339953984802203"/>
        <n v="0.33537848495334327"/>
        <n v="0.3356736716398411"/>
        <n v="0.3356995575447479"/>
        <n v="0.33623890496191366"/>
        <n v="0.3367006877830134"/>
        <n v="0.33709784635200307"/>
        <n v="0.3372602855817505"/>
        <n v="0.339108938630586"/>
        <n v="0.33925870155035603"/>
        <n v="0.34281062516488187"/>
        <n v="0.34435008437248443"/>
        <n v="0.3446605444922915"/>
        <n v="0.34496109809152575"/>
        <n v="0.3456929632211636"/>
        <n v="0.3457333060997184"/>
        <n v="0.3459115785322"/>
        <n v="0.3469677154812058"/>
        <n v="0.3471641181626867"/>
        <n v="0.34784546297372526"/>
        <n v="0.3482386390958062"/>
        <n v="0.3483670398501471"/>
        <n v="0.34872372002797125"/>
        <n v="0.35006527231476325"/>
        <n v="0.35187514691368676"/>
        <n v="0.3548189233597264"/>
        <n v="0.3563925872639397"/>
        <n v="0.3568276423169975"/>
        <n v="0.357051103117431"/>
        <n v="0.35710849093972513"/>
        <n v="0.3573302512525306"/>
        <n v="0.35784317509709196"/>
        <n v="0.3608323154676532"/>
        <n v="0.3613778685116938"/>
        <n v="0.3618032931571451"/>
        <n v="0.36211242394206783"/>
        <n v="0.3627029533314032"/>
        <n v="0.3628197851945041"/>
        <n v="0.36300410690264606"/>
        <n v="0.3655326143529263"/>
        <n v="0.3657361498293295"/>
        <n v="0.3665596261133531"/>
        <n v="0.3668174887281948"/>
        <n v="0.3669568321052941"/>
        <n v="0.36701813329044297"/>
        <n v="0.36702897738367757"/>
        <n v="0.36893774817062774"/>
        <n v="0.36930507686901237"/>
        <n v="0.3698119947894937"/>
        <n v="0.37006057530749614"/>
        <n v="0.3701832090032617"/>
        <n v="0.37044385751674136"/>
        <n v="0.37142563175314175"/>
        <n v="0.37144494809879763"/>
        <n v="0.3715509817288668"/>
        <n v="0.372709436656259"/>
        <n v="0.37332769822610445"/>
        <n v="0.37342621500114587"/>
        <n v="0.37426098612556596"/>
        <n v="0.3754033597609788"/>
        <n v="0.3772658931645547"/>
        <n v="0.378100111228793"/>
        <n v="0.3800899383204721"/>
        <n v="0.3802808032150171"/>
        <n v="0.381019067470331"/>
        <n v="0.3815434833200863"/>
        <n v="0.3815628873676521"/>
        <n v="0.38164867684951853"/>
        <n v="0.3828512941535417"/>
        <n v="0.3836166460907778"/>
        <n v="0.3847034377830413"/>
        <n v="0.386244566199804"/>
        <n v="0.3872371129661375"/>
        <n v="0.38726619711200866"/>
        <n v="0.3873874807224112"/>
        <n v="0.38744488381968967"/>
        <n v="0.38794305172391014"/>
        <n v="0.38825462966119384"/>
        <n v="0.39032786038794043"/>
        <n v="0.3918311320179693"/>
        <n v="0.3929081101496895"/>
        <n v="0.39522213223344055"/>
        <n v="0.396351307906412"/>
        <n v="0.3963960852127862"/>
        <n v="0.39644026023240414"/>
        <n v="0.3965326459694941"/>
        <n v="0.3967762924678154"/>
        <n v="0.3990428197314839"/>
        <n v="0.3996176852706611"/>
        <n v="0.4001226414366578"/>
        <n v="0.4001329792992875"/>
        <n v="0.4001906469064192"/>
        <n v="0.40057919501375466"/>
        <n v="0.4009337822954789"/>
        <n v="0.40197702123573514"/>
        <n v="0.4051061878926941"/>
        <n v="0.4055946712101138"/>
        <n v="0.40563998569068616"/>
        <n v="0.4067942702712376"/>
        <n v="0.40790958223920154"/>
        <n v="0.40804124458456675"/>
        <n v="0.40850194128378225"/>
        <n v="0.4092278292180606"/>
        <n v="0.40930307388476"/>
        <n v="0.40931049565888544"/>
        <n v="0.40953321127508446"/>
        <n v="0.4095497288911155"/>
        <n v="0.4095725259063206"/>
        <n v="0.4099306442944172"/>
        <n v="0.41011880003537043"/>
        <n v="0.41059940896912966"/>
        <n v="0.4106776592768663"/>
        <n v="0.4107874690828061"/>
        <n v="0.4116883955885133"/>
        <n v="0.4119994466739632"/>
        <n v="0.4121326422458783"/>
        <n v="0.4125384282141299"/>
        <n v="0.4134739837790118"/>
        <n v="0.4135008753771354"/>
        <n v="0.41421401527951013"/>
        <n v="0.4150250839522803"/>
        <n v="0.4151792867988641"/>
        <n v="0.4164807858678037"/>
        <n v="0.41651592692682743"/>
        <n v="0.4187365057451999"/>
        <n v="0.41914086524729194"/>
        <n v="0.4228657174996642"/>
        <n v="0.42288767946085215"/>
        <n v="0.42318398820657227"/>
        <n v="0.4255873779725138"/>
        <n v="0.4259058832150559"/>
        <n v="0.42591971270997353"/>
        <n v="0.42595081801826834"/>
        <n v="0.4261881356499664"/>
        <n v="0.42670554152742324"/>
        <n v="0.427490807649701"/>
        <n v="0.4303576328842944"/>
        <n v="0.4308053770430664"/>
        <n v="0.4309689583775154"/>
        <n v="0.4316180067134829"/>
        <n v="0.43162269328429326"/>
        <n v="0.4317035705779561"/>
        <n v="0.4320251209356199"/>
        <n v="0.43242574100405357"/>
        <n v="0.43356688899822554"/>
        <n v="0.4355248926517226"/>
        <n v="0.43759254177582835"/>
        <n v="0.4379565724876011"/>
        <n v="0.4380724663197907"/>
        <n v="0.43853720404547974"/>
        <n v="0.43893223854565155"/>
        <n v="0.43924490516044185"/>
        <n v="0.44003114337097093"/>
        <n v="0.4401365629466709"/>
        <n v="0.4406906898394034"/>
        <n v="0.4409786437444566"/>
        <n v="0.44111590933594047"/>
        <n v="0.44132441350623924"/>
        <n v="0.44135580283524223"/>
        <n v="0.44358971946441245"/>
        <n v="0.4463415104900582"/>
        <n v="0.4469616565112177"/>
        <n v="0.4487601908619163"/>
        <n v="0.44926077334165626"/>
        <n v="0.4509583051251172"/>
        <n v="0.45161196947909255"/>
        <n v="0.4534964499742467"/>
        <n v="0.45359550290123735"/>
        <n v="0.45400813414220664"/>
        <n v="0.45609412491521956"/>
        <n v="0.4569346652190879"/>
        <n v="0.458009626530005"/>
        <n v="0.45805914522088326"/>
        <n v="0.4589232811631362"/>
        <n v="0.45962373386329475"/>
        <n v="0.45978035368239556"/>
        <n v="0.4602290051752354"/>
        <n v="0.4607220675687009"/>
        <n v="0.4612680408158098"/>
        <n v="0.46481460823358817"/>
        <n v="0.4670936699496298"/>
        <n v="0.4678588402085525"/>
        <n v="0.4682404565045092"/>
        <n v="0.46874861481246627"/>
        <n v="0.4692584585269419"/>
        <n v="0.46948990649917"/>
        <n v="0.4698308038699582"/>
        <n v="0.47007793930982017"/>
        <n v="0.4700821529318664"/>
        <n v="0.4713141575314493"/>
        <n v="0.4724899760035035"/>
        <n v="0.4733756257036549"/>
        <n v="0.4757846662737912"/>
        <n v="0.4762691982700201"/>
        <n v="0.47627892770064983"/>
        <n v="0.4765788783610035"/>
        <n v="0.47690438103273197"/>
        <n v="0.477168747600767"/>
        <n v="0.4775135119865825"/>
        <n v="0.47834453368985447"/>
        <n v="0.4805140533234312"/>
        <n v="0.4822456041243186"/>
        <n v="0.48555882490694446"/>
        <n v="0.48637373198352135"/>
        <n v="0.4864047031598289"/>
        <n v="0.4865111431044807"/>
        <n v="0.4868159507398447"/>
        <n v="0.4869504117267098"/>
        <n v="0.4871018640891192"/>
        <n v="0.48720747627062133"/>
        <n v="0.489160599684132"/>
        <n v="0.4891637776446172"/>
        <n v="0.48964883990017644"/>
        <n v="0.49154867108481043"/>
        <n v="0.4920270577374776"/>
        <n v="0.4922800133576104"/>
        <n v="0.49390870220854527"/>
        <n v="0.49409322894810165"/>
        <n v="0.4954567573019421"/>
        <n v="0.4957037052648717"/>
        <n v="0.4959542244662574"/>
        <n v="0.4961163275817251"/>
        <n v="0.4961646458527116"/>
        <n v="0.49669953165846087"/>
        <n v="0.4980709121767346"/>
        <n v="0.4998392222743583"/>
        <n v="0.5027508048462215"/>
        <n v="0.5042325998189389"/>
        <n v="0.5052819878098781"/>
        <n v="0.5063722841122912"/>
        <n v="0.5087911510269577"/>
        <n v="0.5097037719901508"/>
        <n v="0.5099799138790888"/>
        <n v="0.5104610122585952"/>
        <n v="0.5105517792703481"/>
        <n v="0.5108215992662807"/>
        <n v="0.5111239937008738"/>
        <n v="0.5113791051500418"/>
        <n v="0.5118181482077526"/>
        <n v="0.5120872349045635"/>
        <n v="0.5121317659018157"/>
        <n v="0.5125063170886556"/>
        <n v="0.5129598312846249"/>
        <n v="0.5130242900264049"/>
        <n v="0.5130757320845573"/>
        <n v="0.5132870664568235"/>
        <n v="0.5133359054579001"/>
        <n v="0.5157082158007702"/>
        <n v="0.5165226011778831"/>
        <n v="0.5170742751548855"/>
        <n v="0.5181496091401697"/>
        <n v="0.5203223030388605"/>
        <n v="0.5204526673630592"/>
        <n v="0.5236799069451405"/>
        <n v="0.524231747372472"/>
        <n v="0.5247389490551618"/>
        <n v="0.5253074457601319"/>
        <n v="0.5258147338639829"/>
        <n v="0.5263574184069704"/>
        <n v="0.5292329308893892"/>
        <n v="0.5317809501992493"/>
        <n v="0.5322000847060376"/>
        <n v="0.5346707704128445"/>
        <n v="0.5348193809407984"/>
        <n v="0.5366309905605645"/>
        <n v="0.5366810190187941"/>
        <n v="0.5372122231303257"/>
        <n v="0.5372393997596565"/>
        <n v="0.5382769395797676"/>
        <n v="0.5388867417458036"/>
        <n v="0.5389905507154082"/>
        <n v="0.5390526324522552"/>
        <n v="0.5410485809116456"/>
        <n v="0.5416766033609635"/>
        <n v="0.5422113357588704"/>
        <n v="0.5431449581099883"/>
        <n v="0.5443003662655105"/>
        <n v="0.5463418477082489"/>
        <n v="0.5468133575688557"/>
        <n v="0.5472682839077493"/>
        <n v="0.5475717700630959"/>
        <n v="0.547906488279732"/>
        <n v="0.551642818096563"/>
        <n v="0.5519355134683702"/>
        <n v="0.5522138704944075"/>
        <n v="0.5524814174610503"/>
        <n v="0.5528474459116457"/>
        <n v="0.5531588317836267"/>
        <n v="0.5531811957706516"/>
        <n v="0.5541439967727937"/>
        <n v="0.5546933147244665"/>
        <n v="0.5551848447315062"/>
        <n v="0.5553624571201659"/>
        <n v="0.5557216192361902"/>
        <n v="0.5566116613285792"/>
        <n v="0.5569364917717483"/>
        <n v="0.5572029665461176"/>
        <n v="0.5576605621297689"/>
        <n v="0.5590262713929939"/>
        <n v="0.5601726944032467"/>
        <n v="0.5606781780732015"/>
        <n v="0.5608127198177336"/>
        <n v="0.560867144334197"/>
        <n v="0.5608944078899386"/>
        <n v="0.5609352474698581"/>
        <n v="0.560960582359081"/>
        <n v="0.5610467775680307"/>
        <n v="0.5611986793439784"/>
        <n v="0.5612007293761223"/>
        <n v="0.5622669951143476"/>
        <n v="0.5631308731326156"/>
        <n v="0.563335035282875"/>
        <n v="0.5638002654623081"/>
        <n v="0.5644593255223653"/>
        <n v="0.5645615522797204"/>
        <n v="0.5645642545948192"/>
        <n v="0.5648184976258793"/>
        <n v="0.5658913798586823"/>
        <n v="0.5660947693297356"/>
        <n v="0.5690102779838154"/>
        <n v="0.5690490163310186"/>
        <n v="0.569541990223575"/>
        <n v="0.5695616244886542"/>
        <n v="0.5713938064984108"/>
        <n v="0.5720052620992482"/>
        <n v="0.5721346135686124"/>
        <n v="0.5742762683584404"/>
        <n v="0.5743866907500008"/>
        <n v="0.5744707153308054"/>
        <n v="0.5749836542388512"/>
        <n v="0.575571945349486"/>
        <n v="0.5772678042930405"/>
        <n v="0.5797067867405418"/>
        <n v="0.5826360366823798"/>
        <n v="0.5828434731312755"/>
        <n v="0.5828518212568242"/>
        <n v="0.5856626767927916"/>
        <n v="0.5865066603659975"/>
        <n v="0.5871749963894003"/>
        <n v="0.5873009912279629"/>
        <n v="0.5879244562094628"/>
        <n v="0.5889563826255907"/>
        <n v="0.5890297995875428"/>
        <n v="0.5890973523831442"/>
        <n v="0.5898902569081999"/>
        <n v="0.5903675872017022"/>
        <n v="0.592027625607931"/>
        <n v="0.5920709799731421"/>
        <n v="0.5920934535875544"/>
        <n v="0.5925636309995301"/>
        <n v="0.593280520323053"/>
        <n v="0.5941193408223131"/>
        <n v="0.5957827300900994"/>
        <n v="0.5963230651525006"/>
        <n v="0.5965119472424576"/>
        <n v="0.596553339882559"/>
        <n v="0.5969522264987734"/>
        <n v="0.5969602073725745"/>
        <n v="0.5971231747819042"/>
        <n v="0.597166132273648"/>
        <n v="0.5974190684475508"/>
        <n v="0.5977822857076592"/>
        <n v="0.598085450412711"/>
        <n v="0.5999011565423936"/>
        <n v="0.6013124386625505"/>
        <n v="0.6013882838593829"/>
        <n v="0.6021539678277779"/>
        <n v="0.6021937733617597"/>
        <n v="0.6022195632046402"/>
        <n v="0.6022383243222414"/>
        <n v="0.6023241268465945"/>
        <n v="0.6033210229414598"/>
        <n v="0.6055614435238234"/>
        <n v="0.6055620574371927"/>
        <n v="0.6071103808826889"/>
        <n v="0.6073200983978662"/>
        <n v="0.607407464434363"/>
        <n v="0.6086410642534321"/>
        <n v="0.6095222069813386"/>
        <n v="0.6095746088725049"/>
        <n v="0.6098115214233691"/>
        <n v="0.6129223239771939"/>
        <n v="0.613304772142921"/>
        <n v="0.6133895403040867"/>
        <n v="0.6141649050875363"/>
        <n v="0.6144236151467574"/>
        <n v="0.6146820056356818"/>
        <n v="0.6154495871331274"/>
        <n v="0.616081526769921"/>
        <n v="0.6166638218734657"/>
        <n v="0.6169391057312852"/>
        <n v="0.6176142209924735"/>
        <n v="0.6189974574424424"/>
        <n v="0.6194280142593713"/>
        <n v="0.6204755301482338"/>
        <n v="0.6206450406323417"/>
        <n v="0.6206783255868973"/>
        <n v="0.6209128256184899"/>
        <n v="0.6210548579098268"/>
        <n v="0.6230986295544625"/>
        <n v="0.6238620990378825"/>
        <n v="0.6249900624587242"/>
        <n v="0.6256173876755083"/>
        <n v="0.6256513776469647"/>
        <n v="0.6287015509210754"/>
        <n v="0.6321134482492035"/>
        <n v="0.6359138958349149"/>
        <n v="0.6360143260367406"/>
        <n v="0.636022222874628"/>
        <n v="0.6360348481955327"/>
        <n v="0.636994066861355"/>
        <n v="0.6392233207839403"/>
        <n v="0.6392779042601154"/>
        <n v="0.6393277956841108"/>
        <n v="0.6417615740502084"/>
        <n v="0.6424546409194546"/>
        <n v="0.642699716245683"/>
        <n v="0.6434473508226205"/>
        <n v="0.6436182409256861"/>
        <n v="0.6455842674004412"/>
        <n v="0.6456139873851592"/>
        <n v="0.6466003095718873"/>
        <n v="0.6473318126608971"/>
        <n v="0.6477908801772864"/>
        <n v="0.650188160807254"/>
        <n v="0.6510091045987542"/>
        <n v="0.6520139609226918"/>
        <n v="0.6520916973505814"/>
        <n v="0.6525342580609284"/>
        <n v="0.6533858252937185"/>
        <n v="0.6535852191696265"/>
        <n v="0.6536662850388457"/>
        <n v="0.6543384134648524"/>
        <n v="0.6557940959517709"/>
        <n v="0.6558207462168925"/>
        <n v="0.6559905271974725"/>
        <n v="0.6561359445780819"/>
        <n v="0.6568151897132775"/>
        <n v="0.6569578464107229"/>
        <n v="0.6579689868632046"/>
        <n v="0.6602955831847878"/>
        <n v="0.6602975744082421"/>
        <n v="0.6605331393412407"/>
        <n v="0.6611876052088926"/>
        <n v="0.6614451191663425"/>
        <n v="0.6616323932880764"/>
        <n v="0.6620520888861633"/>
        <n v="0.6624543782048821"/>
        <n v="0.6627855193256931"/>
        <n v="0.6650065040356485"/>
        <n v="0.6652917910341916"/>
        <n v="0.6675539106952632"/>
        <n v="0.6688574070682759"/>
        <n v="0.6702813634597872"/>
        <n v="0.6716154075042925"/>
        <n v="0.6727057391741693"/>
        <n v="0.6751612704515446"/>
        <n v="0.6757995544708205"/>
        <n v="0.6769207880214511"/>
        <n v="0.6804650599263377"/>
        <n v="0.6806288954659006"/>
        <n v="0.6829540712550681"/>
        <n v="0.6834727849649314"/>
        <n v="0.683928684625825"/>
        <n v="0.6841388040669644"/>
        <n v="0.6845529928922085"/>
        <n v="0.6846576204658471"/>
        <n v="0.6876744220411163"/>
        <n v="0.6884173638138749"/>
        <n v="0.688677733558891"/>
        <n v="0.688716936312617"/>
        <n v="0.6907286608404254"/>
        <n v="0.6909268780842922"/>
        <n v="0.6945176728796347"/>
        <n v="0.6945271172790572"/>
        <n v="0.6945743337948006"/>
        <n v="0.6946108506775359"/>
        <n v="0.698057165647306"/>
        <n v="0.69863100253379"/>
        <n v="0.6992479831199514"/>
        <n v="0.6992980778128629"/>
        <n v="0.7010051383606597"/>
        <n v="0.7014602016691626"/>
        <n v="0.7016371638898652"/>
        <n v="0.7022317391290441"/>
        <n v="0.7030347452420972"/>
        <n v="0.7030635662822387"/>
        <n v="0.7031015952121706"/>
        <n v="0.7032515705423474"/>
        <n v="0.7047145774253663"/>
        <n v="0.7072354331660072"/>
        <n v="0.7074266907275238"/>
        <n v="0.7074310922671271"/>
        <n v="0.7078732240089148"/>
        <n v="0.7086298808023336"/>
        <n v="0.7086469717120257"/>
        <n v="0.7089861132703676"/>
        <n v="0.7097318339035215"/>
        <n v="0.7117321727929016"/>
        <n v="0.7117416829687565"/>
        <n v="0.7124059304193596"/>
        <n v="0.713982320784897"/>
        <n v="0.714041423917429"/>
        <n v="0.715965009036285"/>
        <n v="0.7168301051170516"/>
        <n v="0.7181166904903123"/>
        <n v="0.7206826913178247"/>
        <n v="0.7224551390385727"/>
        <n v="0.7225128162336946"/>
        <n v="0.7245665851910597"/>
        <n v="0.7247891883598742"/>
        <n v="0.7250289520335593"/>
        <n v="0.728837973091963"/>
        <n v="0.7289376049408588"/>
        <n v="0.7323313104089259"/>
        <n v="0.7324879126382947"/>
        <n v="0.7326512999804431"/>
        <n v="0.7326742464378697"/>
        <n v="0.7330445494576988"/>
        <n v="0.7344430199432674"/>
        <n v="0.7347778914854961"/>
        <n v="0.7350380286747511"/>
        <n v="0.7351811252329946"/>
        <n v="0.7352608251367421"/>
        <n v="0.7358621220740157"/>
        <n v="0.7364651007400617"/>
        <n v="0.7369595198341333"/>
        <n v="0.7376194293889428"/>
        <n v="0.7382091883550695"/>
        <n v="0.7391495335440309"/>
        <n v="0.7400089185314146"/>
        <n v="0.7404838185220387"/>
        <n v="0.7433187769433697"/>
        <n v="0.7436643117523937"/>
        <n v="0.7443207604070087"/>
        <n v="0.7443453553113668"/>
        <n v="0.7443957333611123"/>
        <n v="0.745048732548271"/>
        <n v="0.745087145984808"/>
        <n v="0.7451282288482276"/>
        <n v="0.7456749435019498"/>
        <n v="0.7458857351716487"/>
        <n v="0.7461750932883844"/>
        <n v="0.7470123370332643"/>
        <n v="0.747016300063318"/>
        <n v="0.7477631026059853"/>
        <n v="0.747784205378681"/>
        <n v="0.7514766857034346"/>
        <n v="0.7523492941272336"/>
        <n v="0.753385335612384"/>
        <n v="0.7543244544786052"/>
        <n v="0.7545991528051512"/>
        <n v="0.7548757747515961"/>
        <n v="0.7554010107740088"/>
        <n v="0.7557072588991429"/>
        <n v="0.75597154075564"/>
        <n v="0.7575528883235847"/>
        <n v="0.7609058674874908"/>
        <n v="0.7613327048339908"/>
        <n v="0.7615245252199293"/>
        <n v="0.763934336354274"/>
        <n v="0.7641787864283948"/>
        <n v="0.7642148209506257"/>
        <n v="0.765600727973101"/>
        <n v="0.765692990905192"/>
        <n v="0.7661018288211833"/>
        <n v="0.7665778207146857"/>
        <n v="0.7672348339444707"/>
        <n v="0.7680428544823723"/>
        <n v="0.7684458962115681"/>
        <n v="0.7685921230488458"/>
        <n v="0.7687349082559093"/>
        <n v="0.7707571255934381"/>
        <n v="0.7708086175772892"/>
        <n v="0.770846745982619"/>
        <n v="0.7710285179198805"/>
        <n v="0.7712593322857595"/>
        <n v="0.7750840393489236"/>
        <n v="0.7756212171308182"/>
        <n v="0.7763142340273658"/>
        <n v="0.7774015001253919"/>
        <n v="0.7779691094242736"/>
        <n v="0.7798007957137895"/>
        <n v="0.7798359783736455"/>
        <n v="0.7803371515370285"/>
        <n v="0.7809090589344947"/>
        <n v="0.7817723881108265"/>
        <n v="0.7840314558182835"/>
        <n v="0.7842527701015471"/>
        <n v="0.7846820592122784"/>
        <n v="0.7849916204638839"/>
        <n v="0.7853781868417553"/>
        <n v="0.7854237370212106"/>
        <n v="0.7862368065759252"/>
        <n v="0.7865023110069163"/>
        <n v="0.7879946148574626"/>
        <n v="0.7882413249477616"/>
        <n v="0.7899245430251772"/>
        <n v="0.7901666534358266"/>
        <n v="0.790235397738954"/>
        <n v="0.7903856818176886"/>
        <n v="0.7905623625086804"/>
        <n v="0.7913895123206801"/>
        <n v="0.7915938670767417"/>
        <n v="0.7922781832071027"/>
        <n v="0.7922859138355359"/>
        <n v="0.7923730751167432"/>
        <n v="0.7941361260255198"/>
        <n v="0.7947272478609965"/>
        <n v="0.7951251305112423"/>
        <n v="0.7962768671480364"/>
        <n v="0.7963742021210418"/>
        <n v="0.7973634689722449"/>
        <n v="0.798129003880293"/>
        <n v="0.798361457416488"/>
        <n v="0.7989449145820888"/>
        <n v="0.79897903610641"/>
        <n v="0.799445998016689"/>
        <n v="0.8016712861773485"/>
        <n v="0.803432282248236"/>
        <n v="0.8034825573680873"/>
        <n v="0.8039737559902175"/>
        <n v="0.8041852782271658"/>
        <n v="0.8042073627054779"/>
        <n v="0.8058930343389981"/>
        <n v="0.8064319155753927"/>
        <n v="0.8067013753930704"/>
        <n v="0.807817985235326"/>
        <n v="0.811738178328645"/>
        <n v="0.8123186700322923"/>
        <n v="0.8134281679299792"/>
        <n v="0.8135822525716845"/>
        <n v="0.8146126070920522"/>
        <n v="0.8146412366132654"/>
        <n v="0.8158010075628056"/>
        <n v="0.8176652592376162"/>
        <n v="0.8186479075321187"/>
        <n v="0.8201649457006299"/>
        <n v="0.8215219092715895"/>
        <n v="0.8215372680685611"/>
        <n v="0.8223206750137488"/>
        <n v="0.8223837881939112"/>
        <n v="0.822531586063325"/>
        <n v="0.8254832146737979"/>
        <n v="0.825557495929612"/>
        <n v="0.8265778846977178"/>
        <n v="0.8278819361930352"/>
        <n v="0.8301869390624269"/>
        <n v="0.8303021540684389"/>
        <n v="0.8310494886916846"/>
        <n v="0.8313666365227462"/>
        <n v="0.8318242679086109"/>
        <n v="0.832044806892421"/>
        <n v="0.8339104811617702"/>
        <n v="0.8347132157443522"/>
        <n v="0.8347285442968548"/>
        <n v="0.8349609535649704"/>
        <n v="0.8361835648129532"/>
        <n v="0.8380169861233117"/>
        <n v="0.839219152498048"/>
        <n v="0.8396190753221979"/>
        <n v="0.8397488749948517"/>
        <n v="0.8419553257863632"/>
        <n v="0.8427818645402406"/>
        <n v="0.8439247475552552"/>
        <n v="0.8444381772720468"/>
        <n v="0.8444686317602602"/>
        <n v="0.8458553176776854"/>
        <n v="0.8459767989228849"/>
        <n v="0.8462038585096213"/>
        <n v="0.8462639269330366"/>
        <n v="0.8462699693643291"/>
        <n v="0.8499776052700131"/>
        <n v="0.852557761760358"/>
        <n v="0.8532638554299715"/>
        <n v="0.8532988408721551"/>
        <n v="0.8543383256266431"/>
        <n v="0.8546725192533182"/>
        <n v="0.8554557993221363"/>
        <n v="0.855468650548309"/>
        <n v="0.8583675007451275"/>
        <n v="0.8585818997492454"/>
        <n v="0.8610077067472821"/>
        <n v="0.8622777943443665"/>
        <n v="0.8624645692149883"/>
        <n v="0.8645607550706526"/>
        <n v="0.8657418085442037"/>
        <n v="0.8674026121213964"/>
        <n v="0.868033533533611"/>
        <n v="0.8681912776855567"/>
        <n v="0.8682230257769411"/>
        <n v="0.8684629094003781"/>
        <n v="0.8685339984253466"/>
        <n v="0.8712791151112241"/>
        <n v="0.873608459690359"/>
        <n v="0.8738421512934073"/>
        <n v="0.8738746558137646"/>
        <n v="0.8739158005937455"/>
        <n v="0.8739471341690558"/>
        <n v="0.8758625971792559"/>
        <n v="0.8761582817127422"/>
        <n v="0.8762461260324977"/>
        <n v="0.8763686726491028"/>
        <n v="0.8763937060630104"/>
        <n v="0.877564575299149"/>
        <n v="0.877740167588759"/>
        <n v="0.8792586493666621"/>
        <n v="0.8800227463346875"/>
        <n v="0.8828775992010803"/>
        <n v="0.8830958470312442"/>
        <n v="0.8835411765322468"/>
        <n v="0.8836347613791049"/>
        <n v="0.8851214885620053"/>
        <n v="0.8870156356018538"/>
        <n v="0.8873646373153162"/>
        <n v="0.8909812178762935"/>
        <n v="0.891161966659856"/>
        <n v="0.8912071730934144"/>
        <n v="0.8913833703899028"/>
        <n v="0.8913887585759924"/>
        <n v="0.8942332051419509"/>
        <n v="0.8949583431919996"/>
        <n v="0.8960307117153303"/>
        <n v="0.8967224808454097"/>
        <n v="0.8968606663728235"/>
        <n v="0.8980631102000248"/>
        <n v="0.899454191012435"/>
        <n v="0.899506899860286"/>
        <n v="0.8995607323888576"/>
        <n v="0.9016659138061555"/>
        <n v="0.9019674031391784"/>
        <n v="0.9040764449033856"/>
        <n v="0.9067181976563262"/>
        <n v="0.9067350199789193"/>
        <n v="0.9078509361900124"/>
        <n v="0.9115065113419296"/>
        <n v="0.9125756591348191"/>
        <n v="0.9127624061285945"/>
        <n v="0.9130807193175839"/>
        <n v="0.9136848595169366"/>
        <n v="0.9147600767190908"/>
        <n v="0.9157214839964146"/>
        <n v="0.9163361201074846"/>
        <n v="0.9185602252676094"/>
        <n v="0.918569062227906"/>
        <n v="0.9186114989895597"/>
        <n v="0.9189893874725961"/>
        <n v="0.919433800668415"/>
        <n v="0.9194381671989291"/>
        <n v="0.9199084945877508"/>
        <n v="0.9207098715179776"/>
        <n v="0.9209626987342423"/>
        <n v="0.9215634146463628"/>
        <n v="0.9235943804726542"/>
        <n v="0.9239467242704331"/>
        <n v="0.9242356361108772"/>
        <n v="0.9242951513037359"/>
        <n v="0.924318277201103"/>
        <n v="0.924475420517416"/>
        <n v="0.9246495436355353"/>
        <n v="0.9249055573545264"/>
        <n v="0.925100977184767"/>
        <n v="0.9258780973929133"/>
        <n v="0.9263082503510071"/>
        <n v="0.9287165091826964"/>
        <n v="0.9288790042777614"/>
        <n v="0.9296099643058291"/>
        <n v="0.9303418503328205"/>
        <n v="0.930506853386434"/>
        <n v="0.9310711883866795"/>
        <n v="0.9321897157035902"/>
        <n v="0.9324292960892137"/>
        <n v="0.9329668307769917"/>
        <n v="0.9332387333290348"/>
        <n v="0.9334297454803036"/>
        <n v="0.9345074412836615"/>
        <n v="0.9347304069983536"/>
        <n v="0.9359288106803305"/>
        <n v="0.9360358856472049"/>
        <n v="0.936555792909092"/>
        <n v="0.9368096673489058"/>
        <n v="0.9370152732554321"/>
        <n v="0.937071596405445"/>
        <n v="0.9377525043166824"/>
        <n v="0.9383479772549391"/>
        <n v="0.938600410082859"/>
        <n v="0.9388763351081447"/>
        <n v="0.9390072169018118"/>
        <n v="0.9391952008168165"/>
        <n v="0.9395614049121065"/>
        <n v="0.9403617862306061"/>
        <n v="0.9408174915584493"/>
        <n v="0.9411069339695983"/>
        <n v="0.9420316676545978"/>
        <n v="0.9429292568817333"/>
        <n v="0.9432566802064887"/>
        <n v="0.943960000808451"/>
        <n v="0.9446626311573724"/>
        <n v="0.945181220869613"/>
        <n v="0.945614723091266"/>
        <n v="0.9460250597417176"/>
        <n v="0.9484208756651898"/>
        <n v="0.9485873283148142"/>
        <n v="0.9491874625907822"/>
        <n v="0.9499832923517078"/>
        <n v="0.950185984901602"/>
        <n v="0.9503404226304445"/>
        <n v="0.9519448211895833"/>
        <n v="0.9523052662750396"/>
        <n v="0.9524654187573862"/>
        <n v="0.9548310508771171"/>
        <n v="0.9555046107806532"/>
        <n v="0.9555749786971126"/>
        <n v="0.9587751283118991"/>
        <n v="0.959662942442077"/>
        <n v="0.9597909539663178"/>
        <n v="0.9607335584429582"/>
        <n v="0.9614153714557657"/>
        <n v="0.9614583989715626"/>
        <n v="0.9615370714269905"/>
        <n v="0.9617389555483402"/>
        <n v="0.9619698972723384"/>
        <n v="0.9627977103594066"/>
        <n v="0.9628495695950055"/>
        <n v="0.9644618996779961"/>
        <n v="0.9645583644762705"/>
        <n v="0.9651550074313253"/>
        <n v="0.9657330103935293"/>
        <n v="0.9662099084108509"/>
        <n v="0.9678621439732207"/>
        <n v="0.9690721625123904"/>
        <n v="0.9715197812010195"/>
        <n v="0.9717074479309751"/>
        <n v="0.972197871970401"/>
        <n v="0.9733174136402697"/>
        <n v="0.9741473012699567"/>
        <n v="0.9746631832562291"/>
        <n v="0.974679602718736"/>
        <n v="0.9747230674280837"/>
        <n v="0.9747316896221009"/>
        <n v="0.9753555761344177"/>
        <n v="0.9779762866858505"/>
        <n v="0.9781065830657439"/>
        <n v="0.978192189894048"/>
        <n v="0.9794806409773921"/>
        <n v="0.9809499557709306"/>
        <n v="0.9817629802526915"/>
        <n v="0.9822339243748796"/>
        <n v="0.9840627300961047"/>
        <n v="0.9841781681168875"/>
        <n v="0.9848668772916105"/>
        <n v="0.9857131563777082"/>
        <n v="0.9858200919603508"/>
        <n v="0.9865113461002093"/>
        <n v="0.9868266241733168"/>
        <n v="0.987635784977047"/>
        <n v="0.988314470859817"/>
        <n v="0.9887930495777869"/>
        <n v="0.9892330228820421"/>
        <n v="0.9921862219254016"/>
        <n v="0.9923932356214816"/>
        <n v="0.9924281080934063"/>
        <n v="0.9927738997101665"/>
        <n v="0.9953360609647484"/>
        <n v="0.9957828491210025"/>
        <n v="0.9958005484626945"/>
        <n v="0.9964752111730977"/>
        <n v="0.9968930492390928"/>
        <n v="0.9970576898937037"/>
        <n v="0.9970836386962959"/>
        <n v="0.9972283752826047"/>
        <n v="0.9973144619921658"/>
        <n v="0.9978461512959489"/>
        <n v="0.9999999999999998"/>
      </sharedItems>
    </cacheField>
    <cacheField name="share of total profit" numFmtId="10">
      <sharedItems containsSemiMixedTypes="0" containsString="0" containsNumber="1">
        <n v="-1.9878988375600208E-4"/>
        <n v="-0.003885182478218926"/>
        <n v="0.006169804965859545"/>
        <n v="-2.2963232377905954E-4"/>
        <n v="-0.001600192760040884"/>
        <n v="0.0027902423087562394"/>
        <n v="-6.766105107128451E-4"/>
        <n v="-3.10433330927502E-4"/>
        <n v="9.626806068949933E-4"/>
        <n v="-8.034652820250928E-4"/>
        <n v="0.004213237411448795"/>
        <n v="8.769294150514945E-4"/>
        <n v="-0.0021136946282233043"/>
        <n v="0.0029182152818010214"/>
        <n v="-0.003184345260289084"/>
        <n v="0.004137496277608448"/>
        <n v="0.004243179232387107"/>
        <n v="-4.8051963282557346E-4"/>
        <n v="-0.004137555359113709"/>
        <n v="0.00761619199776784"/>
        <n v="-9.839906059569176E-5"/>
        <n v="2.2435610408821699E-4"/>
        <n v="-0.0017173030111176308"/>
        <n v="0.002811017304150379"/>
        <n v="-0.007602768392640132"/>
        <n v="0.009483706196703072"/>
        <n v="-5.130592254772982E-4"/>
        <n v="3.1066211971972596E-4"/>
        <n v="8.22964252495966E-4"/>
        <n v="5.537905296496539E-4"/>
        <n v="-3.4153756004356165E-4"/>
        <n v="4.922151587587498E-4"/>
        <n v="5.2967935339501824E-5"/>
        <n v="-1.8131268518670882E-4"/>
        <n v="2.3981450177998817E-4"/>
        <n v="2.807240474560639E-4"/>
        <n v="-3.3129043824829164E-4"/>
        <n v="-1.682440875242911E-4"/>
        <n v="-5.149025165980526E-4"/>
        <n v="0.003079465199837397"/>
        <n v="-0.001389382890596863"/>
        <n v="0.00236542680478902"/>
        <n v="-8.279588829133395E-4"/>
        <n v="0.0017579011575808638"/>
        <n v="0.0018663948805762057"/>
        <n v="-0.0023490903000001635"/>
        <n v="8.618132833191556E-4"/>
        <n v="0.001222042572639204"/>
        <n v="0.0045778708750492695"/>
        <n v="4.95258524261584E-4"/>
        <n v="5.67371878209059E-5"/>
        <n v="3.0356023565488897E-4"/>
        <n v="-7.885815282415572E-4"/>
        <n v="-7.131528105417518E-4"/>
        <n v="0.0016488602078456069"/>
        <n v="0.001160081347476179"/>
        <n v="-0.0046280008443411146"/>
        <n v="0.007069865876937373"/>
        <n v="-1.3953572012425386E-4"/>
        <n v="0.0020785929560263807"/>
        <n v="8.14470832485259E-4"/>
        <n v="1.6719196615234746E-4"/>
        <n v="0.0010631983466199287"/>
        <n v="-6.287626069336744E-4"/>
        <n v="0.0011035124113398453"/>
        <n v="8.763097272281785E-4"/>
        <n v="-0.0015067328973331615"/>
        <n v="0.0033530709328673906"/>
        <n v="9.493311776699405E-4"/>
        <n v="-2.840235192206482E-4"/>
        <n v="-0.0021338782901311115"/>
        <n v="0.004071903304540555"/>
        <n v="-0.002099815000812333"/>
        <n v="-0.0056761218819390445"/>
        <n v="0.010032684145933"/>
        <n v="0.0017243598313276282"/>
        <n v="-5.280011435371907E-4"/>
        <n v="3.4892302735774514E-4"/>
        <n v="-4.942347173471053E-4"/>
        <n v="0.002227436415970093"/>
        <n v="0.003501830805342305"/>
        <n v="-0.0022444514508104204"/>
        <n v="-0.0010189852814082368"/>
        <n v="0.0022181045889220308"/>
        <n v="0.003063267814745538"/>
        <n v="0.002383163140463397"/>
        <n v="-2.636341188817659E-5"/>
        <n v="0.0018507245033088607"/>
        <n v="-4.520036242784717E-5"/>
        <n v="-0.0012540164344548672"/>
        <n v="0.002085710891597034"/>
        <n v="-5.482165894204905E-4"/>
        <n v="1.664563086919799E-5"/>
        <n v="0.0025637313548163543"/>
        <n v="0.0010716981473534446"/>
        <n v="-0.006341947994056335"/>
        <n v="-5.013958623750328E-4"/>
        <n v="0.008984454815505142"/>
        <n v="0.0011625969673834241"/>
        <n v="-0.0010866893564970375"/>
        <n v="0.0015668239127010818"/>
        <n v="4.162425841382627E-4"/>
        <n v="-0.0013178625650152175"/>
        <n v="-0.002292234789650667"/>
        <n v="8.458775278022289E-4"/>
        <n v="0.005696885990224891"/>
        <n v="-0.008305589078194942"/>
        <n v="0.0024523310131838814"/>
        <n v="0.007783198982778001"/>
        <n v="0.001454536191983692"/>
        <n v="0.0016986114812387312"/>
        <n v="0.0014758010474317418"/>
        <n v="-5.785543541488658E-4"/>
        <n v="0.0012265525273399502"/>
        <n v="0.0012411925574519372"/>
        <n v="-0.0026391087076975467"/>
        <n v="-0.004090637924238174"/>
        <n v="0.011051879492699965"/>
        <n v="0.0021599236429270135"/>
        <n v="6.457772629185843E-4"/>
        <n v="-0.0012532653436212015"/>
        <n v="0.0016089480887831458"/>
        <n v="0.0011871972858606532"/>
        <n v="-0.0011463530827740946"/>
        <n v="-0.006169602078813975"/>
        <n v="0.010221023522354192"/>
        <n v="-0.004578559793715065"/>
        <n v="0.005106205790208653"/>
        <n v="-1.218489546901993E-4"/>
        <n v="0.0013890900552994427"/>
        <n v="7.684010566951547E-4"/>
        <n v="-0.001209035688530206"/>
        <n v="-0.005167340193334173"/>
        <n v="0.009662452854272344"/>
        <n v="6.610921741061859E-4"/>
        <n v="-5.4664517691068E-4"/>
        <n v="-0.0064629313638179635"/>
        <n v="0.008859654357780803"/>
        <n v="9.80220037451434E-4"/>
        <n v="-4.964981591250802E-4"/>
        <n v="0.0016459970977621295"/>
        <n v="-7.64326506567094E-4"/>
        <n v="0.0015974082126069939"/>
        <n v="-1.9300083340913706E-4"/>
        <n v="7.022796600798743E-4"/>
        <n v="5.440509744140887E-4"/>
        <n v="-5.559706232359346E-4"/>
        <n v="-1.0604226923184526E-4"/>
        <n v="0.001496159700662588"/>
        <n v="3.055696249662676E-5"/>
        <n v="-8.199854918115739E-5"/>
        <n v="3.2446852833646315E-5"/>
        <n v="-8.574347515685177E-5"/>
        <n v="-8.464237176746872E-4"/>
        <n v="0.002367147386634251"/>
        <n v="7.86002160925497E-5"/>
        <n v="1.7906565383020895E-4"/>
        <n v="-0.0021308356025800754"/>
        <n v="0.003059051672390392"/>
        <n v="-0.0019945108017516717"/>
        <n v="0.0031787688874093498"/>
        <n v="-0.0028361661454518426"/>
        <n v="0.0072865391919682615"/>
        <n v="5.174166011438731E-5"/>
        <n v="-0.0016179516276426814"/>
        <n v="0.0038561287541968464"/>
        <n v="-0.003845459547587754"/>
        <n v="0.006166676038851793"/>
        <n v="-0.008160126145135248"/>
        <n v="0.010908467403710152"/>
        <n v="-0.003432938759305003"/>
        <n v="0.006996208766925514"/>
        <n v="-0.003953126408666073"/>
        <n v="0.0058495427894566685"/>
        <n v="-0.006117612826714837"/>
        <n v="0.007180361053220102"/>
        <n v="-4.6001615712671935E-4"/>
        <n v="3.3668549890145366E-4"/>
        <n v="0.0013054054399954992"/>
        <n v="6.204439190291426E-4"/>
        <n v="-5.941197286464835E-4"/>
        <n v="0.0011809190733514355"/>
        <n v="4.1641304913605945E-4"/>
        <n v="-0.007989900583961866"/>
        <n v="0.009390247650019432"/>
        <n v="-0.0012911609548783998"/>
        <n v="-0.0035055703276433703"/>
        <n v="0.007537087425416748"/>
        <n v="3.4853422200132456E-4"/>
        <n v="-0.0013538507190079124"/>
        <n v="0.002927492593548585"/>
        <n v="7.280708407706274E-4"/>
        <n v="-0.007114944507137879"/>
        <n v="0.008132383121276949"/>
        <n v="-0.003154448303808023"/>
        <n v="0.0052481657263859114"/>
        <n v="-1.3479316813735713E-5"/>
        <n v="-3.8230361921546776E-4"/>
        <n v="2.9918573173552454E-4"/>
        <n v="0.0013528092654069154"/>
        <n v="-8.359736290748115E-4"/>
        <n v="5.943238519570981E-4"/>
        <n v="-0.008285025543942646"/>
        <n v="0.011161311142068728"/>
        <n v="-0.0027499018637354576"/>
        <n v="0.007017604447130909"/>
        <n v="-0.007494211580248015"/>
        <n v="0.011176660469279983"/>
        <n v="-1.3132199510993182E-4"/>
        <n v="-0.00758914176088854"/>
        <n v="0.002524288697434573"/>
        <n v="0.008407766723079144"/>
        <n v="0.002956964394492973"/>
        <n v="1.6041410316766004E-4"/>
        <n v="-0.009260755885488253"/>
        <n v="0.01133839302917759"/>
        <n v="-2.6757401581879564E-5"/>
        <n v="-8.485505920447882E-5"/>
        <n v="3.91675445419641E-4"/>
        <n v="-5.296739497203892E-4"/>
        <n v="0.0017745124322456859"/>
        <n v="1.8515471778765414E-4"/>
        <n v="-1.1223547854939037E-4"/>
        <n v="-2.8314258067781714E-4"/>
        <n v="-0.0015990963524646928"/>
        <n v="-0.005334706193701137"/>
        <n v="0.010466174162800152"/>
        <n v="0.0015310101318989039"/>
        <n v="4.717013143853308E-5"/>
        <n v="-2.283979729516398E-6"/>
        <n v="-0.005062678832156768"/>
        <n v="0.005320301472682494"/>
        <n v="0.0011788822469319781"/>
        <n v="7.174706057871504E-4"/>
        <n v="5.559376229351563E-4"/>
        <n v="-0.009763426077907056"/>
        <n v="0.01193258557782313"/>
        <n v="-0.0022719310106359782"/>
        <n v="-8.424789554365161E-4"/>
        <n v="0.005549780918331001"/>
        <n v="-0.002051845285046785"/>
        <n v="0.003890314254297177"/>
        <n v="-0.001934278792349429"/>
        <n v="0.005425822357101802"/>
        <n v="-5.647817833027759E-4"/>
        <n v="8.558143071918708E-4"/>
        <n v="-5.196937215963688E-4"/>
        <n v="-9.896387420284954E-4"/>
        <n v="0.003929132099337637"/>
        <n v="-0.005158178950922458"/>
        <n v="0.007214441550550704"/>
        <n v="-8.416888026154026E-4"/>
        <n v="0.001250068860710708"/>
        <n v="-4.049913160306699E-4"/>
        <n v="3.3504601205517373E-4"/>
        <n v="9.679664574893262E-4"/>
        <n v="-0.003169228829460362"/>
        <n v="0.001593681830606963"/>
        <n v="0.004914700837503073"/>
        <n v="-0.0026839430359734983"/>
        <n v="0.008408243343133226"/>
        <n v="-8.996737009021098E-4"/>
        <n v="0.001927719329542642"/>
        <n v="-0.0010905449481339517"/>
        <n v="4.636494204532546E-4"/>
        <n v="8.160160242122754E-4"/>
        <n v="3.1344967805719144E-4"/>
        <n v="9.262683142933222E-4"/>
        <n v="-4.407306816530867E-4"/>
        <n v="0.0024967939036333077"/>
        <n v="-1.7021939978791755E-4"/>
        <n v="-0.002447240572225577"/>
        <n v="0.0042304018349618895"/>
        <n v="-9.595988972360278E-5"/>
        <n v="-3.3019498778052243E-4"/>
        <n v="0.0029163982114630608"/>
        <n v="2.784426997747063E-4"/>
        <n v="-7.623124314124023E-4"/>
        <n v="0.001086074194998964"/>
        <n v="0.0023093033627433136"/>
        <n v="-0.001056585265801786"/>
        <n v="-0.0021710110460969644"/>
        <n v="0.004671916827086766"/>
        <n v="0.00222148443785425"/>
        <n v="5.432966533395009E-4"/>
        <n v="-0.0019500645211213067"/>
        <n v="-0.005894435640924636"/>
        <n v="0.0110391927214784"/>
        <n v="-0.00493921190562001"/>
        <n v="0.0031468554031832663"/>
        <n v="0.007115612110201538"/>
        <n v="-5.521843621402924E-4"/>
        <n v="2.919475992989547E-4"/>
        <n v="8.573939149425392E-4"/>
        <n v="-0.0018605961993258505"/>
        <n v="0.0025172650968627"/>
        <n v="0.0010488616201787206"/>
        <n v="-0.0027719815374862293"/>
        <n v="0.0034938183721928513"/>
        <n v="0.0015749232831988094"/>
        <n v="1.2010470435129742E-4"/>
        <n v="-0.003909288549895314"/>
        <n v="0.0075560812220989695"/>
        <n v="-4.8463250717000633E-4"/>
        <n v="-0.0016363067339114708"/>
        <n v="0.0033854024940157806"/>
        <n v="0.001248599001392356"/>
        <n v="-6.15646113970671E-4"/>
        <n v="-6.955225543840753E-4"/>
        <n v="0.002344249823857906"/>
        <n v="-0.0018656012981165826"/>
        <n v="0.004710588154779723"/>
        <n v="2.8713073183109096E-5"/>
        <n v="-1.6695328723976953E-4"/>
        <n v="-0.0023221959920345114"/>
        <n v="0.003694223894843634"/>
        <n v="-2.92625491278145E-4"/>
        <n v="5.177595450551024E-4"/>
        <n v="3.6178817966134656E-5"/>
        <n v="-0.004735114337233813"/>
        <n v="0.007775900552510884"/>
        <n v="-3.939811794259846E-4"/>
        <n v="5.310905100635266E-4"/>
        <n v="-0.001667561727543654"/>
        <n v="0.002944812945975328"/>
        <n v="4.7139474059411255E-4"/>
        <n v="-0.005785738791606617"/>
        <n v="0.004063518655913986"/>
        <n v="0.004266328654256582"/>
        <n v="-0.001408603860950847"/>
        <n v="0.0036822693115644086"/>
        <n v="-8.898432004267565E-4"/>
        <n v="0.0027928783648065053"/>
        <n v="-0.005729857797087899"/>
        <n v="0.007602532983847993"/>
        <n v="-0.0016391309016460538"/>
        <n v="0.003066129249889278"/>
        <n v="-0.002224242604987276"/>
        <n v="0.005775014431624744"/>
        <n v="-0.00320507949881628"/>
        <n v="0.004491329849420799"/>
        <n v="3.1266299475410614E-4"/>
        <n v="-0.004816856461117081"/>
        <n v="0.009242547495964554"/>
        <n v="-0.0031492844047783784"/>
        <n v="0.007516787095980328"/>
        <n v="4.034843288814725E-4"/>
        <n v="0.0012432510982687047"/>
        <n v="-0.004681857235512506"/>
        <n v="0.003216245564334613"/>
        <n v="-0.0013582312846139467"/>
        <n v="0.011654279684733404"/>
        <n v="-0.005244575971613032"/>
        <n v="0.006175192110428473"/>
        <n v="-0.0034852645745925637"/>
        <n v="7.902638855692166E-5"/>
        <n v="0.007947939794263233"/>
        <n v="-0.0023424267715923116"/>
        <n v="0.002078009379106212"/>
        <n v="-5.063987079730219E-4"/>
        <n v="0.002957384784427298"/>
        <n v="-2.8111231443899662E-5"/>
        <n v="-0.004477578394779255"/>
        <n v="0.004919775645690495"/>
        <n v="0.0034736332546826533"/>
        <n v="6.728159147980335E-4"/>
        <n v="-8.18929601825221E-4"/>
        <n v="0.0010328806213491253"/>
        <n v="-8.300945706568207E-4"/>
        <n v="6.696420236342355E-4"/>
        <n v="0.003383739398495107"/>
        <n v="3.532468244705362E-4"/>
        <n v="-3.254240415771251E-5"/>
        <n v="-8.66158415973839E-4"/>
        <n v="0.0010383165385680244"/>
        <n v="-0.0021590448379383716"/>
        <n v="0.003661787769600211"/>
        <n v="-5.098607685306857E-4"/>
        <n v="9.803411116667366E-4"/>
        <n v="6.186496996547422E-4"/>
        <n v="0.001178464768202434"/>
        <n v="-5.773256063936637E-5"/>
        <n v="0.0011092642540968297"/>
        <n v="2.6330690744021134E-4"/>
        <n v="0.0012341282199528803"/>
        <n v="-2.6256482937751324E-4"/>
        <n v="3.599405616129378E-5"/>
        <n v="-5.0455366215349336E-5"/>
        <n v="0.004191690169136925"/>
        <n v="4.6945101290839106E-4"/>
        <n v="3.290423500845765E-4"/>
        <n v="-0.0031192213102271757"/>
        <n v="0.003106917382374152"/>
        <n v="-0.005664952506420756"/>
        <n v="0.00789811438484697"/>
        <n v="0.004345811264494354"/>
        <n v="0.0020712487440731095"/>
        <n v="-4.925278739956719E-4"/>
        <n v="0.0011305377833399483"/>
        <n v="-3.045122793775239E-4"/>
        <n v="9.554376290970406E-4"/>
        <n v="-0.004387925949251239"/>
        <n v="0.0074784182145485245"/>
        <n v="-1.5213058899761362E-4"/>
        <n v="4.035470992421071E-4"/>
        <n v="0.0018355356512762564"/>
        <n v="-0.0057231577789214816"/>
        <n v="0.0074276011610486916"/>
        <n v="-4.325618410357749E-4"/>
        <n v="0.0024815468474448294"/>
        <n v="0.002098378062035724"/>
        <n v="-2.6819505954570814E-4"/>
        <n v="-5.7553960219987964E-5"/>
        <n v="7.869439954916374E-4"/>
        <n v="1.1692425300686166E-4"/>
        <n v="0.0018943537323835205"/>
        <n v="-0.0019459927426197165"/>
        <n v="9.334679430556913E-4"/>
        <n v="-0.002527691377390594"/>
        <n v="0.007473762938885801"/>
        <n v="-4.70567021267461E-4"/>
        <n v="0.002346857485691673"/>
        <n v="2.9192097972098553E-4"/>
        <n v="-2.2734325941105478E-4"/>
        <n v="0.0012014860173024816"/>
        <n v="-5.867837916931053E-4"/>
        <n v="-0.0019189328349574098"/>
        <n v="0.0035747994553028215"/>
        <n v="0.0015399949473249462"/>
        <n v="2.0473857181164728E-4"/>
        <n v="0.0014700980969632816"/>
        <n v="0.001005743347422758"/>
        <n v="-1.1151958138996842E-4"/>
        <n v="4.082998404457396E-4"/>
        <n v="-2.917848509878052E-4"/>
        <n v="0.001246858798824486"/>
        <n v="-8.985437945311715E-4"/>
        <n v="-0.006239646942005052"/>
        <n v="0.010233618191829963"/>
        <n v="-1.5587441828657507E-4"/>
        <n v="3.1765678770161095E-4"/>
        <n v="-3.620889310430017E-4"/>
        <n v="8.654531267660872E-4"/>
        <n v="0.0010396296115631016"/>
        <n v="-4.6897351550492404E-4"/>
        <n v="-0.0012981316752099918"/>
        <n v="0.0023223834855863055"/>
        <n v="-2.7184762455874096E-4"/>
        <n v="0.002361983627182919"/>
        <n v="0.0017809397343312898"/>
        <n v="-0.0011926847473559944"/>
        <n v="8.155910082539138E-4"/>
        <n v="4.24022599459395E-4"/>
        <n v="0.002187755697808256"/>
        <n v="0.0012515902244259842"/>
        <n v="-9.39551344121643E-4"/>
        <n v="-3.0645869893068027E-4"/>
        <n v="0.004054395498441538"/>
        <n v="9.50009787480447E-4"/>
        <n v="-9.543183904970487E-4"/>
        <n v="9.054928403449714E-4"/>
        <n v="7.716951447248687E-4"/>
        <n v="9.656838536031655E-4"/>
        <n v="-0.004506613056391944"/>
        <n v="0.005921894981834792"/>
        <n v="-0.009209801247652851"/>
        <n v="0.007538712435998157"/>
        <n v="0.0046250334293794675"/>
        <n v="4.166724055784904E-4"/>
        <n v="-4.460102512234043E-4"/>
        <n v="0.0023823983111359325"/>
        <n v="-2.684454829762064E-4"/>
        <n v="-0.0016334508619604304"/>
        <n v="0.003158838081582611"/>
        <n v="-7.775355000710705E-4"/>
        <n v="0.0015248673701710683"/>
        <n v="0.001042474317249226"/>
        <n v="-3.372990851585836E-4"/>
        <n v="-0.0015318854673695176"/>
        <n v="-7.56655581666238E-4"/>
        <n v="-0.0013706672734893593"/>
        <n v="0.0053743066543338915"/>
        <n v="0.0045003708750268375"/>
        <n v="9.684568559167228E-4"/>
        <n v="6.014134331907686E-4"/>
        <n v="-3.0948090834945034E-4"/>
        <n v="-3.590889943347868E-4"/>
        <n v="-0.006437450864508737"/>
        <n v="0.008962690050364762"/>
        <n v="8.504420376829928E-4"/>
        <n v="8.465632361668599E-4"/>
        <n v="3.918646737304482E-4"/>
        <n v="0.001738598513974923"/>
        <n v="-2.2596791454931193E-5"/>
        <n v="-0.0062924320297565554"/>
        <n v="0.008024891849714434"/>
        <n v="-9.925857586169122E-4"/>
        <n v="0.002089368002875068"/>
        <n v="5.472650242520663E-4"/>
        <n v="3.3354081948426653E-4"/>
        <n v="1.8339840389469133E-4"/>
        <n v="-0.005563231860867994"/>
        <n v="0.0054006922591735874"/>
        <n v="1.4798846302705294E-4"/>
        <n v="0.001135488127553075"/>
        <n v="5.55085058669067E-4"/>
        <n v="-1.7646303675541313E-4"/>
        <n v="-0.0010124295672760996"/>
        <n v="0.003283521393224129"/>
        <n v="-1.5918112818359586E-4"/>
        <n v="-0.001878591472707725"/>
        <n v="0.0027371415347437547"/>
        <n v="0.001874367912762313"/>
        <n v="-0.0014349516201283827"/>
        <n v="4.119281786518566E-4"/>
        <n v="-8.765159043339479E-4"/>
        <n v="0.004709496951480573"/>
        <n v="-0.0026128458918924075"/>
        <n v="0.006304313573699375"/>
        <n v="-7.787437696940083E-4"/>
        <n v="0.0014551495190239577"/>
        <n v="0.0017310239778680022"/>
        <n v="-1.0951717099416223E-4"/>
        <n v="-0.00323712229237804"/>
        <n v="0.002422815404589458"/>
        <n v="4.976122532673073E-4"/>
        <n v="5.381344093098354E-4"/>
        <n v="0.003126870101995788"/>
        <n v="0.0032954948195754005"/>
        <n v="-1.4424664765372798E-4"/>
        <n v="3.0071778316150634E-4"/>
        <n v="-8.031160969693648E-4"/>
        <n v="9.575363485277465E-4"/>
        <n v="-0.004614882237763682"/>
        <n v="0.002626190136780178"/>
        <n v="0.002155488821237344"/>
        <n v="-0.0031337119317266355"/>
        <n v="0.005460486710509198"/>
        <n v="0.003719709438911832"/>
        <n v="4.8015676909532374E-5"/>
        <n v="-4.588361820214879E-5"/>
        <n v="-4.0126329897041967E-4"/>
        <n v="-0.004957912448269878"/>
        <n v="0.006446603752161524"/>
        <n v="9.39555591290263E-4"/>
        <n v="0.001687800124089308"/>
        <n v="-1.006245769524698E-4"/>
        <n v="-7.186606305308057E-4"/>
        <n v="9.240380123944374E-4"/>
        <n v="-0.0010076997368553035"/>
        <n v="-0.005020672061374392"/>
        <n v="0.009641865133092651"/>
        <n v="0.001543844158239052"/>
        <n v="-0.0032326939511099742"/>
        <n v="0.001762542156376302"/>
        <n v="0.003485990521390409"/>
        <n v="-4.760165772813646E-4"/>
        <n v="2.5069461121768113E-5"/>
        <n v="0.002379911344662052"/>
        <n v="2.3669785766364333E-4"/>
        <n v="-4.468617188027606E-4"/>
        <n v="7.170263878410844E-4"/>
        <n v="-1.3263129949059907E-6"/>
        <n v="-3.2125354132982284E-4"/>
        <n v="8.076345659471095E-4"/>
        <n v="-3.241664011114521E-4"/>
        <n v="0.0014532576147713015"/>
        <n v="2.7572997535193594E-5"/>
        <n v="-0.0013681556814133871"/>
        <n v="0.0024218848359870274"/>
        <n v="7.528387130408715E-4"/>
        <n v="-5.028848439220522E-4"/>
        <n v="-6.056935622318347E-4"/>
        <n v="0.0031075857232088877"/>
        <n v="-0.0014202474438124058"/>
        <n v="6.624372304743435E-4"/>
        <n v="0.002454806594055499"/>
        <n v="-0.0022351942383397054"/>
        <n v="0.004328833337545113"/>
        <n v="-0.0063955641310742065"/>
        <n v="0.006755316002749823"/>
        <n v="-0.008818833603850567"/>
        <n v="0.012594565310472063"/>
        <n v="-6.227754351435867E-4"/>
        <n v="-0.003907440951786663"/>
        <n v="0.007519079111432633"/>
        <n v="0.0010461952357553512"/>
        <n v="-2.0482299675031506E-5"/>
        <n v="-3.6982908678633594E-4"/>
        <n v="-3.1600202700010654E-4"/>
        <n v="1.8301324751412732E-4"/>
        <n v="-0.004651791229756523"/>
        <n v="0.008864847847412474"/>
        <n v="0.001147682227214747"/>
        <n v="-7.449941128410557E-4"/>
        <n v="0.002191075727464141"/>
        <n v="-1.9051659868220887E-4"/>
        <n v="-4.0703599871508636E-4"/>
        <n v="6.454075598510732E-4"/>
        <n v="-0.0019882443138206154"/>
        <n v="-1.2957459428914302E-4"/>
        <n v="5.793130420306265E-4"/>
        <n v="0.006228587514316666"/>
        <n v="0.001011581629034047"/>
        <n v="-9.701239992084285E-4"/>
        <n v="0.001137603576441396"/>
        <n v="6.630550439603345E-4"/>
        <n v="-6.429519386779922E-4"/>
        <n v="0.0025511523579909825"/>
        <n v="-2.5901204291740794E-4"/>
        <n v="0.0012030567518604939"/>
        <n v="6.65192047727895E-4"/>
        <n v="1.3954561024460824E-5"/>
        <n v="6.362887492460398E-4"/>
        <n v="-0.006005481952139998"/>
        <n v="5.585372291063765E-4"/>
        <n v="0.007520180424189483"/>
        <n v="-0.0028160286839651262"/>
        <n v="0.005547028992342472"/>
        <n v="-0.00294548393879798"/>
        <n v="0.0044519944280617275"/>
        <n v="-0.003310232753902989"/>
        <n v="0.006181242411494852"/>
        <n v="-7.169711945887858E-4"/>
        <n v="-0.004719500170146465"/>
        <n v="0.004780136677495286"/>
        <n v="1.0917785611902988E-4"/>
        <n v="0.0035237700832515175"/>
        <n v="-0.0017049179284463788"/>
        <n v="8.778623564852202E-4"/>
        <n v="0.0020747051417392796"/>
        <n v="-4.4086806659107014E-4"/>
        <n v="5.699861799824986E-4"/>
        <n v="0.001065725551527024"/>
        <n v="-0.007850406817090082"/>
        <n v="0.0058015325959808"/>
        <n v="0.006170952359398934"/>
        <n v="0.0021722090866236497"/>
        <n v="7.295692937030674E-4"/>
        <n v="7.033600560297656E-4"/>
        <n v="0.0014727840422900126"/>
        <n v="6.29951614749633E-5"/>
        <n v="6.794701911578123E-4"/>
        <n v="8.264168017886921E-4"/>
        <n v="-0.0031301401227366563"/>
        <n v="0.0016892534134681154"/>
        <n v="0.0020711188166049094"/>
        <n v="-0.0019187664376704027"/>
        <n v="0.007636956165872963"/>
        <n v="0.0016200120029172564"/>
        <n v="-5.678469828414723E-4"/>
        <n v="2.520164377668602E-4"/>
        <n v="3.8144820356387317E-4"/>
        <n v="5.134992560740208E-4"/>
        <n v="-5.912390117560048E-4"/>
        <n v="-0.0035445415493083536"/>
        <n v="0.002283259565248597"/>
        <n v="-0.002579430166179718"/>
        <n v="0.009015494200525656"/>
        <n v="0.002695374061006479"/>
        <n v="-1.081068517955227E-4"/>
        <n v="-3.56057492988426E-4"/>
        <n v="7.430791183477343E-4"/>
        <n v="2.8777745796731036E-4"/>
        <n v="3.964716353576516E-4"/>
        <n v="-0.0036342119007397524"/>
        <n v="0.006621684305621551"/>
        <n v="-0.0014123112403607618"/>
        <n v="-0.003202629002161205"/>
        <n v="0.005322231322296106"/>
        <n v="0.0013420781458468168"/>
        <n v="-0.00391978727156685"/>
        <n v="0.005093524402721953"/>
        <n v="-0.002853844137392036"/>
        <n v="0.004046670157938975"/>
        <n v="3.540670265081281E-4"/>
        <n v="4.687800998447733E-4"/>
        <n v="4.285466515695979E-4"/>
        <n v="-9.953539355088451E-4"/>
        <n v="-0.0016847647743695026"/>
        <n v="-1.8364121033733673E-4"/>
        <n v="-0.0014295690816437338"/>
        <n v="0.00685277576112874"/>
        <n v="0.002805015715914694"/>
        <n v="0.0014548601133650475"/>
        <n v="-0.003396108429660542"/>
        <n v="0.005532158319040694"/>
        <n v="0.002447585071437992"/>
        <n v="7.605662070373945E-6"/>
        <n v="0.001426457362647807"/>
        <n v="-3.054735352687143E-4"/>
        <n v="3.1000626117398574E-4"/>
        <n v="5.33379075937562E-4"/>
        <n v="1.749129597874946E-5"/>
        <n v="9.510730751173065E-4"/>
        <n v="8.240759738068985E-4"/>
        <n v="-8.736372412386232E-4"/>
        <n v="2.0395669399042753E-4"/>
        <n v="0.0014674794882019461"/>
        <n v="1.0974057605151574E-4"/>
        <n v="-3.059535650215463E-4"/>
        <n v="5.943269426197087E-4"/>
        <n v="-0.0046838205839208665"/>
        <n v="0.006286481128387686"/>
        <n v="0.0016980342651016131"/>
        <n v="-4.068127531758029E-4"/>
        <n v="-0.0018956703945351783"/>
        <n v="0.007067342679921792"/>
        <n v="-0.0077944155158258"/>
        <n v="0.009847806570852605"/>
        <n v="8.928887393632976E-4"/>
        <n v="2.704728180704854E-4"/>
        <n v="8.924601541881139E-4"/>
        <n v="5.454884715039432E-4"/>
        <n v="-0.0060255559054950055"/>
        <n v="0.0027880982263743122"/>
        <n v="0.007661625336337255"/>
        <n v="-0.0036281390079266774"/>
        <n v="0.008035788888007328"/>
        <n v="-0.004810596134571487"/>
        <n v="0.0060226748695683865"/>
        <n v="-8.943246213326909E-4"/>
        <n v="0.001734497364208652"/>
        <n v="-0.002106853695781601"/>
        <n v="0.002343101074414922"/>
        <n v="0.0018690826204812263"/>
        <n v="2.111619856442891E-4"/>
        <n v="-0.005250228554250817"/>
        <n v="0.005413042188050114"/>
        <n v="7.667156286446491E-4"/>
        <n v="-5.679967503696573E-4"/>
        <n v="7.511027975211131E-6"/>
        <n v="-2.518244777090995E-4"/>
        <n v="0.005906816954981478"/>
        <n v="6.142697920607487E-4"/>
        <n v="7.694355712600972E-4"/>
        <n v="3.0454342528073576E-4"/>
        <n v="-0.009086599200871705"/>
        <n v="0.012115549853289699"/>
        <n v="4.034249482798304E-4"/>
        <n v="3.1511686122841464E-4"/>
        <n v="4.666731054141736E-5"/>
        <n v="5.095063791979166E-4"/>
        <n v="0.001000548083152556"/>
        <n v="-0.0017845066580803692"/>
        <n v="0.0020771238344791036"/>
        <n v="0.0013172587492398893"/>
        <n v="0.0012502734226960159"/>
        <n v="-2.4241229343315948E-4"/>
        <n v="-7.101372809421722E-4"/>
        <n v="0.002256371677885271"/>
        <n v="4.965455359919377E-4"/>
        <n v="-1.7246007036136703E-4"/>
        <n v="-0.002453696986358997"/>
        <n v="0.0022053521161952854"/>
        <n v="0.0027953471262806224"/>
        <n v="0.001398991979990741"/>
        <n v="3.1963190056764955E-4"/>
        <n v="1.2272313365480447E-4"/>
        <n v="-3.314984896913713E-7"/>
        <n v="7.483393463520366E-5"/>
        <n v="-1.1001048062634055E-4"/>
        <n v="1.2346291864524298E-4"/>
        <n v="5.103948150900484E-4"/>
        <n v="-0.0029103555473242934"/>
        <n v="0.0012553326180523136"/>
        <n v="0.002704750473355171"/>
        <n v="-4.0191620643186053E-4"/>
        <n v="-3.5458621794720054E-4"/>
        <n v="0.001996279079499901"/>
        <n v="3.401555553023875E-4"/>
        <n v="-5.001343735359144E-4"/>
        <n v="-0.0013303305970829874"/>
        <n v="0.003178885196022303"/>
        <n v="-0.0067509380093726725"/>
        <n v="0.009817649260941176"/>
        <n v="-9.133922150621515E-4"/>
        <n v="0.0016237302893752227"/>
        <n v="-0.005308698407410774"/>
        <n v="0.004922439597463294"/>
        <n v="0.0017949185421024254"/>
        <n v="-0.00393904471173964"/>
        <n v="0.00704758610770726"/>
        <n v="1.282590886434949E-4"/>
        <n v="-7.633922690490484E-4"/>
        <n v="6.041685495407018E-4"/>
        <n v="-0.002978723556561139"/>
        <n v="-9.173258509149252E-4"/>
        <n v="8.0160384572385E-4"/>
        <n v="0.009710988400572747"/>
        <n v="6.830255099672825E-4"/>
        <n v="-0.007662194337293756"/>
        <n v="0.007230910475277608"/>
        <n v="0.0014982427673826532"/>
        <n v="0.0019718274318641237"/>
        <n v="-2.6636072137664537E-4"/>
        <n v="1.2206280860309806E-4"/>
        <n v="0.0033295885170263155"/>
        <n v="1.1108315988958498E-4"/>
        <n v="-0.002096984093439283"/>
        <n v="0.0015678026956402384"/>
        <n v="-0.002921819732176122"/>
        <n v="0.005547330062760266"/>
        <n v="9.057184786553083E-5"/>
        <n v="-9.202770947322027E-4"/>
        <n v="7.631982551961356E-5"/>
        <n v="6.552251393627384E-4"/>
        <n v="-0.002033164582456902"/>
        <n v="0.004060292383003876"/>
        <n v="0.0016236525243159866"/>
        <n v="5.196271826213251E-4"/>
        <n v="-3.0351959842649855E-4"/>
        <n v="0.001333732818424557"/>
        <n v="-3.5643016707999483E-4"/>
        <n v="4.4497481942955784E-4"/>
        <n v="-3.4294793906147747E-4"/>
        <n v="1.30860668850834E-4"/>
        <n v="5.756622317163662E-4"/>
        <n v="-0.002682803239482205"/>
        <n v="0.0031712682879279784"/>
        <n v="0.0045673805280764205"/>
        <n v="-0.001307825628217231"/>
        <n v="0.0025050593523819015"/>
        <n v="7.017911758693202E-5"/>
        <n v="4.487039929958173E-5"/>
        <n v="-1.0211997910181689E-4"/>
        <n v="-0.0018217317351293667"/>
        <n v="-0.0027463420584802633"/>
        <n v="0.0076024532048731205"/>
        <n v="-0.004234144288407495"/>
        <n v="0.004778145852099331"/>
        <n v="5.131227535487665E-4"/>
        <n v="-0.0033226693409711652"/>
        <n v="0.0016017081418285267"/>
        <n v="0.002858690934437826"/>
        <n v="-3.796828768999426E-4"/>
        <n v="-0.007707103479544645"/>
        <n v="0.009436035896355343"/>
        <n v="0.0010493343719195983"/>
        <n v="-0.0012105255673663712"/>
        <n v="0.002083249567652942"/>
        <n v="2.905152865463825E-4"/>
        <n v="-7.499293626567871E-4"/>
        <n v="0.0019017543339746167"/>
        <n v="5.516412429906855E-4"/>
        <n v="0.0013503511118844696"/>
        <n v="-4.180931133914536E-4"/>
        <n v="-6.404593093126182E-4"/>
        <n v="0.003832209139204795"/>
        <n v="-5.62791835256206E-4"/>
        <n v="0.0031878660633761075"/>
        <n v="4.996335665544354E-4"/>
        <n v="-4.20254702881588E-4"/>
        <n v="4.616443780092896E-4"/>
        <n v="-0.005109720671187322"/>
        <n v="0.005281777579565947"/>
        <n v="-2.876779984505236E-4"/>
        <n v="0.0026161396210064632"/>
        <n v="0.0020435815710572055"/>
        <n v="-0.007669584809487393"/>
        <n v="0.0010173192148635042"/>
        <n v="0.0018801269936517342"/>
        <n v="0.012693434231543607"/>
        <n v="3.3207052149122136E-4"/>
        <n v="-7.741092911996906E-6"/>
        <n v="-0.002771348051349839"/>
        <n v="-0.0032846915380282823"/>
        <n v="0.007428695315432141"/>
        <n v="5.966434440957928E-5"/>
        <n v="-0.0060423925592533"/>
        <n v="0.006921050153198121"/>
        <n v="0.0017755274856060608"/>
        <n v="-7.528430997878026E-4"/>
        <n v="0.0021353134143896712"/>
        <n v="-0.0051880141938500995"/>
        <n v="0.006597889194483312"/>
        <n v="-0.0019154131086173585"/>
        <n v="0.001882216999407854"/>
        <n v="0.001563109514496077"/>
        <n v="-0.005000905539220229"/>
        <n v="0.006041090333486999"/>
        <n v="8.446141247462685E-4"/>
        <n v="0.00321208094631615"/>
        <n v="-6.408641063555794E-4"/>
        <n v="-6.713989157802033E-4"/>
        <n v="0.0024907925945542465"/>
        <n v="4.924100699008089E-4"/>
        <n v="-0.0010712866306117755"/>
        <n v="-0.0019895389026593053"/>
        <n v="0.004879994211807067"/>
        <n v="-2.5662256192419475E-4"/>
        <n v="4.143713175359423E-4"/>
        <n v="-9.461295503016819E-4"/>
        <n v="0.002146568152015292"/>
        <n v="-0.001469638405764404"/>
        <n v="-0.002506348198570063"/>
        <n v="0.007892490635100379"/>
        <n v="-5.944733602684187E-4"/>
        <n v="-5.383791499090821E-4"/>
        <n v="0.0019346179277667322"/>
        <n v="3.9602454608632175E-4"/>
        <n v="-2.051354926498907E-4"/>
        <n v="9.766549282204035E-4"/>
        <n v="3.9385537948785144E-4"/>
        <n v="-0.004544717157766929"/>
        <n v="0.006701045462788603"/>
        <n v="-0.003656058299252576"/>
        <n v="0.003853389669412971"/>
        <n v="2.4640648633334237E-4"/>
        <n v="0.002005375737032932"/>
        <n v="0.0022167671894212436"/>
        <n v="-0.0013191131468062824"/>
        <n v="0.007029277321498113"/>
        <n v="-2.085299973049614E-7"/>
        <n v="-0.0058916899361408466"/>
        <n v="0.011548608494412426"/>
        <n v="-0.00626564567564493"/>
        <n v="0.00685255783950505"/>
        <n v="8.472472297122362E-4"/>
        <n v="0.0010528437894043604"/>
        <n v="-2.615796058962711E-4"/>
        <n v="0.001159534958206132"/>
        <n v="-0.007344665961638679"/>
        <n v="0.008628739109921938"/>
        <n v="0.00192949955120638"/>
        <n v="7.850106763599984E-4"/>
        <n v="-0.005001463373911814"/>
        <n v="0.006430729291463081"/>
        <n v="-0.008492023110966059"/>
        <n v="0.012163400927490515"/>
        <n v="-8.68043301431405E-5"/>
        <n v="6.832872791205256E-5"/>
        <n v="-0.008672079571409969"/>
        <n v="0.01105806408804172"/>
        <n v="0.001260835293583603"/>
        <n v="0.0019801260603713247"/>
        <n v="-0.004186903231246987"/>
        <n v="0.005287234493350839"/>
        <n v="0.0011420969811423562"/>
        <n v="-5.482807555642392E-4"/>
        <n v="4.093892491665989E-4"/>
        <n v="0.002652855217278913"/>
        <n v="8.32385230205528E-6"/>
        <n v="-1.7136398182131693E-4"/>
        <n v="-0.0034937839561691997"/>
        <n v="-0.0019316330256366374"/>
        <n v="0.00834290539958011"/>
        <n v="6.38049071030517E-4"/>
        <n v="-9.221703150089382E-4"/>
        <n v="-1.39429959643693E-4"/>
        <n v="0.0025250737855569555"/>
        <n v="-6.213702803424709E-4"/>
        <n v="-4.6527540808284136E-4"/>
        <n v="-0.002574478645520823"/>
        <n v="0.006765220080935069"/>
        <n v="-0.0013756113167387115"/>
        <n v="-0.0023704251240617667"/>
        <n v="0.005231879868584353"/>
        <n v="-0.0037316803727932553"/>
        <n v="0.004795675213077588"/>
        <n v="3.0604640453841864E-4"/>
        <n v="-0.0026539259025662805"/>
        <n v="0.003508933506937253"/>
        <n v="0.00588454560032957"/>
        <n v="-0.005829682171580831"/>
        <n v="0.006540368334262897"/>
        <n v="2.922234658616542E-4"/>
        <n v="-0.009607759332208159"/>
        <n v="0.012701285970177069"/>
        <n v="-0.008323592008444186"/>
        <n v="0.011178823374794197"/>
        <n v="2.1579712215064647E-4"/>
        <n v="5.059018690035398E-4"/>
        <n v="-0.0010085311051578113"/>
        <n v="-0.002312501201557404"/>
        <n v="0.004099347072499105"/>
        <n v="5.727173686218974E-4"/>
        <n v="5.962522858478363E-4"/>
        <n v="3.044427294989047E-4"/>
        <n v="-9.586955862838478E-4"/>
        <n v="8.329027467048631E-4"/>
        <n v="0.0014961675968070641"/>
        <n v="3.561134240117995E-4"/>
        <n v="0.0015832671350789196"/>
        <n v="7.935017035996534E-5"/>
        <n v="0.001328849172704544"/>
        <n v="0.0015234741792252197"/>
        <n v="-0.006144660710702601"/>
        <n v="0.009237243240972871"/>
        <n v="-2.1861229705402022E-4"/>
        <n v="0.0021660769727270017"/>
        <n v="-2.571744346279054E-5"/>
        <n v="-0.0012130645766106635"/>
        <n v="0.0021195839157375487"/>
        <n v="2.6957038446769144E-5"/>
        <n v="-0.001356381134216172"/>
        <n v="0.0013594883468266146"/>
        <n v="3.9333929865114823E-4"/>
        <n v="-8.326138196001637E-4"/>
        <n v="0.0028316332600285027"/>
        <n v="-0.0021775520247473644"/>
        <n v="0.0024866664602702262"/>
        <n v="-0.009352682141468808"/>
        <n v="0.010784265437845544"/>
        <n v="1.2701781871977846E-4"/>
        <n v="0.001119420051796895"/>
        <n v="0.0026370915020007264"/>
        <n v="3.03323470959154E-4"/>
        <n v="3.5420849909666103E-4"/>
        <n v="0.0010619485225396967"/>
        <n v="4.174632961706782E-4"/>
        <n v="-0.0037424540039190705"/>
        <n v="-0.0038066818811612344"/>
        <n v="0.010555254716106644"/>
        <n v="0.001042120027615251"/>
        <n v="-0.004275201807033465"/>
        <n v="0.00764907395607779"/>
        <n v="7.389546590034513E-4"/>
        <n v="-0.0034149444629713093"/>
        <n v="0.00446829296754987"/>
        <n v="-1.4194250882808667E-4"/>
        <n v="3.559020426289895E-4"/>
        <n v="2.993734047451472E-4"/>
        <n v="1.9154172162076706E-5"/>
        <n v="0.0019350423854118488"/>
        <n v="0.001085373073200797"/>
        <n v="1.7161875211922889E-4"/>
        <n v="-0.003649291283496664"/>
        <n v="0.006733794363088226"/>
        <n v="7.878298392151279E-5"/>
        <n v="-2.558621193436618E-4"/>
        <n v="1.277181030480773E-4"/>
        <n v="-0.009681050388128363"/>
        <n v="0.01190498675830032"/>
        <n v="-2.100197764421844E-4"/>
        <n v="1.2946596248331816E-4"/>
        <n v="0.0030583724843268817"/>
        <n v="-0.003447414047129963"/>
        <n v="0.006177590065819167"/>
        <n v="-0.0013509540303706527"/>
        <n v="4.613948119884188E-4"/>
        <n v="6.98205807843371E-5"/>
        <n v="-0.002835667352386001"/>
        <n v="0.007164045804214102"/>
        <n v="-1.793274429232107E-4"/>
        <n v="7.285073220902874E-4"/>
        <n v="2.6041655964624305E-4"/>
        <n v="0.0011973442303078203"/>
        <n v="-0.0014164881213308733"/>
        <n v="0.0022465307289763173"/>
        <n v="-0.0029076787144673246"/>
        <n v="0.004503898537390883"/>
        <n v="-0.0041009649047673525"/>
        <n v="0.005162321475688194"/>
        <n v="6.654079155564303E-4"/>
        <n v="-1.0840885938198074E-4"/>
        <n v="1.6866669077184124E-4"/>
        <n v="-0.0016634347358500067"/>
        <n v="0.0025798803660534164"/>
        <n v="-0.0010529966874746736"/>
        <n v="0.002304379578288879"/>
        <n v="-1.4836588278121103E-4"/>
        <n v="-0.0033082798339884706"/>
        <n v="0.004799653414291231"/>
        <n v="0.0012092219059374374"/>
        <n v="-0.0010040146301559445"/>
        <n v="0.0037026959992522072"/>
        <n v="-0.0015811944370334194"/>
        <n v="0.0018240378081116095"/>
        <n v="0.002123037621536284"/>
        <n v="-3.3845961899900564E-4"/>
        <n v="0.0018943620273231723"/>
        <n v="-8.387753047614922E-4"/>
        <n v="-0.004943778489235687"/>
        <n v="0.00395273403409283"/>
        <n v="0.005850271308483397"/>
        <n v="-8.13347446415441E-4"/>
        <n v="0.0012434038966402238"/>
        <n v="6.736673424978726E-4"/>
        <n v="-0.0045370590541309675"/>
        <n v="0.004619573365112688"/>
        <n v="0.0012449208137892927"/>
        <n v="-0.0023614117349613946"/>
        <n v="-0.006215716220567362"/>
        <n v="0.012118488395480635"/>
        <n v="-0.0010654052392420075"/>
        <n v="0.0035941275619807227"/>
        <n v="-0.0024999359510023368"/>
        <n v="0.003431928391787941"/>
        <n v="-0.0023609944755691972"/>
        <n v="1.2528369777833662E-4"/>
        <n v="0.004244532105140706"/>
        <n v="-5.368181858328715E-4"/>
        <n v="0.0023748709126187643"/>
        <n v="0.004566878245552793"/>
        <n v="-0.0015493468537100998"/>
        <n v="0.002515375525561821"/>
        <n v="-7.138180407741175E-5"/>
        <n v="-0.0070318050248991786"/>
        <n v="0.009843033351516707"/>
        <n v="-0.0023522238530319524"/>
        <n v="7.974055494528106E-4"/>
        <n v="-0.001457093765143408"/>
        <n v="0.007561206577574896"/>
        <n v="-0.0011929539141597445"/>
        <n v="0.001790101594875526"/>
        <n v="5.670052458643997E-4"/>
        <n v="0.001034200573560981"/>
        <n v="-0.004013243724575821"/>
        <n v="0.004724049625509352"/>
        <n v="0.0026912610670234934"/>
        <n v="-4.764446839023374E-4"/>
        <n v="-0.0018025565664012962"/>
        <n v="-0.0012294244507968079"/>
        <n v="0.0031543558830260847"/>
        <n v="0.003262618962831636"/>
        <n v="0.0010760037793459884"/>
        <n v="-0.006032842890340583"/>
        <n v="0.005832961723526394"/>
        <n v="-5.477644553901898E-4"/>
        <n v="0.0024742019774795184"/>
        <n v="0.001665919588709457"/>
        <n v="-0.00283575241539695"/>
        <n v="0.00444893640683619"/>
        <n v="-5.185717113699062E-5"/>
        <n v="6.292801034932509E-4"/>
        <n v="1.9219680251591445E-4"/>
        <n v="-0.010123619635179373"/>
        <n v="0.005524401633237333"/>
        <n v="0.00731363646673852"/>
        <n v="0.0023169328727651864"/>
        <n v="-0.00272529957122211"/>
        <n v="0.0027415460878795987"/>
        <n v="-5.63477483801561E-4"/>
        <n v="0.0026292343596926396"/>
        <n v="-0.007887665034018169"/>
        <n v="0.009209698657593935"/>
        <n v="-0.006389269348625444"/>
        <n v="0.004991560751328958"/>
        <n v="0.003885980726582102"/>
        <n v="-0.0051012699222604"/>
        <n v="0.0036494379404224796"/>
        <n v="-5.354732690430262E-4"/>
        <n v="0.0040264770246457495"/>
        <n v="0.0019657631330870814"/>
        <n v="4.5546460808916126E-4"/>
        <n v="-5.045009813108026E-4"/>
        <n v="6.634912660631302E-4"/>
        <n v="-0.006765075537623685"/>
        <n v="0.0033717614059390745"/>
        <n v="0.00737442136577217"/>
        <n v="7.11326468215959E-4"/>
        <n v="-1.0391884444001287E-5"/>
        <n v="6.839692188707478E-5"/>
        <n v="-0.005513324399344358"/>
        <n v="0.0058052455385834145"/>
        <n v="8.239795850129636E-4"/>
        <n v="1.9488242880650468E-5"/>
        <n v="3.5290693134239903E-4"/>
        <n v="-0.002396722774625492"/>
        <n v="0.0037784817183931815"/>
        <n v="-0.0035586197168974826"/>
        <n v="0.003497581104373135"/>
        <n v="-0.005217556122926111"/>
        <n v="0.00919311633545886"/>
        <n v="-4.7769159677778775E-4"/>
        <n v="0.0013086086426047014"/>
        <n v="-0.003750072507194097"/>
        <n v="-5.111735025498633E-4"/>
        <n v="0.006040265664943439"/>
        <n v="-0.008710485819949723"/>
        <n v="0.011912611921454779"/>
        <n v="5.210493061571616E-4"/>
        <n v="-1.870333022814463E-4"/>
        <n v="5.844507601569939E-4"/>
        <n v="-0.0072415838293565255"/>
        <n v="0.008117117780329669"/>
        <n v="2.6893959019873596E-4"/>
        <n v="0.0022538547618937044"/>
        <n v="0.0020336511125710957"/>
        <n v="-0.0018544670564532605"/>
        <n v="2.750897894565957E-4"/>
        <n v="0.004588650627681029"/>
        <n v="4.338085943931552E-5"/>
        <n v="-0.004120795912101404"/>
        <n v="0.00654104518937463"/>
        <n v="-0.005164344384156024"/>
        <n v="-6.976281530315698E-5"/>
        <n v="0.008923774979060495"/>
        <n v="-0.0020991779853386386"/>
        <n v="-0.005542686930410641"/>
        <n v="0.010341137359115009"/>
        <n v="0.003204053418769301"/>
        <n v="2.795012417489768E-4"/>
        <n v="4.078794106318963E-4"/>
        <n v="-0.0011040652810314947"/>
        <n v="0.0016839418007054405"/>
        <n v="0.0020753662643813375"/>
        <n v="-0.0024605348680176073"/>
        <n v="0.0075285298392622916"/>
        <n v="-7.683385256116254E-5"/>
        <n v="-7.452685038616059E-4"/>
        <n v="-2.128383809840693E-5"/>
        <n v="0.0014994143478494386"/>
        <n v="-9.820505073072938E-4"/>
        <n v="-9.044953738518654E-6"/>
        <n v="0.0024384516848692914"/>
        <n v="-3.4527241644107285E-4"/>
        <n v="-0.0039197052194594765"/>
        <n v="0.006063924308372598"/>
        <n v="5.696502349265995E-4"/>
        <n v="9.143210090260509E-4"/>
        <n v="1.4377977814168983E-4"/>
        <n v="-3.8254465101958147E-4"/>
        <n v="1.6428694269591805E-4"/>
        <n v="3.6073894955442564E-5"/>
        <n v="4.5471467376150465E-4"/>
        <n v="-8.934909001386474E-4"/>
        <n v="0.002158740417641101"/>
        <n v="-0.004686649597016833"/>
        <n v="0.00799276684452723"/>
        <n v="-9.127683797690098E-4"/>
        <n v="4.7843473164770094E-4"/>
        <n v="0.002108828330093429"/>
        <n v="-6.814821327583154E-5"/>
        <n v="-4.5539051194554045E-4"/>
        <n v="0.003316353821173274"/>
        <n v="-2.25535540819961E-4"/>
        <n v="0.0010266755877546248"/>
        <n v="4.885006608549513E-4"/>
        <n v="-0.00251349576462226"/>
        <n v="0.0032268706442575277"/>
        <n v="-0.002759183362832365"/>
        <n v="0.0038239128635891304"/>
        <n v="-2.153032741449811E-4"/>
        <n v="0.0011872888292932054"/>
        <n v="3.777910524063215E-4"/>
        <n v="5.652800978144077E-4"/>
        <n v="-0.0011728508288171612"/>
        <n v="0.001648175356890603"/>
        <n v="0.0015153583185469818"/>
        <n v="2.293389700479114E-4"/>
        <n v="6.388819348149334E-4"/>
        <n v="1.8238897354628863E-6"/>
        <n v="-9.557092484911207E-5"/>
        <n v="-3.6044549612448365E-4"/>
        <n v="0.0022092460320485723"/>
        <n v="8.655105133918516E-4"/>
        <n v="-8.044840840601176E-4"/>
        <n v="0.0013404773820120841"/>
        <n v="0.0022758847657053595"/>
        <n v="-4.1314655773249477E-4"/>
        <n v="9.795468113757983E-4"/>
        <n v="0.0013246071684822624"/>
        <n v="8.204950722869154E-4"/>
        <n v="6.015900196945105E-4"/>
        <n v="-0.005636266850405967"/>
        <n v="0.0077529184850368355"/>
        <n v="-5.946919598439067E-4"/>
        <n v="3.119253831973744E-4"/>
        <n v="0.0022401524388177916"/>
        <n v="3.367672718522041E-4"/>
        <n v="-0.004182893545154233"/>
        <n v="0.004664084509778357"/>
        <n v="8.5918552220854E-4"/>
        <n v="-0.00429237015867904"/>
        <n v="0.006569049523771719"/>
        <n v="0.00213354565507517"/>
        <n v="-0.007928901990533387"/>
        <n v="0.009082832101884248"/>
        <n v="0.002711991277719417"/>
        <n v="-0.0015634017516007338"/>
        <n v="0.001833379286002922"/>
        <n v="0.0022208161169592735"/>
        <n v="-5.982346368463097E-6"/>
        <n v="-1.9204476185522893E-4"/>
        <n v="2.3894947516466238E-4"/>
        <n v="-8.157570665650203E-4"/>
        <n v="0.002679055900795699"/>
        <n v="-0.004554315320172996"/>
        <n v="0.0052452421190743006"/>
        <n v="-8.678081917356488E-4"/>
        <n v="7.722078358025797E-4"/>
        <n v="0.0010064108109081073"/>
        <n v="-0.003228808051039716"/>
        <n v="0.002519369499124657"/>
        <n v="-0.0030741237970751084"/>
        <n v="0.007828248859846346"/>
        <n v="-4.260352389514546E-4"/>
        <n v="-4.987768348787613E-4"/>
        <n v="0.0021372781984606627"/>
        <n v="0.0016984864788909496"/>
        <n v="0.0017135702085152736"/>
        <n v="7.3465449050481255E-6"/>
        <n v="1.25814693554606E-4"/>
        <n v="-0.0012205214083215153"/>
        <n v="-0.0050528154709589485"/>
        <n v="0.008598426848145041"/>
        <n v="2.5667673824879587E-4"/>
        <n v="-0.002440353937856753"/>
        <n v="6.226819774941954E-5"/>
        <n v="0.0032636362295052354"/>
        <n v="0.001651118744442922"/>
        <n v="-0.0021401378190863533"/>
        <n v="0.00594448397684404"/>
        <n v="-0.0011009559747463806"/>
        <n v="2.2054609473987208E-5"/>
        <n v="0.0026291171737302986"/>
        <n v="-9.727631259815474E-4"/>
        <n v="0.0014211431377767329"/>
        <n v="-5.508759550487697E-4"/>
        <n v="0.0014348782816955956"/>
        <n v="0.0011772060908693044"/>
        <n v="4.2052733920336556E-4"/>
        <n v="-0.00604416835429059"/>
        <n v="0.009623161898575348"/>
        <n v="6.148206478367615E-4"/>
        <n v="-2.6654827474771527E-4"/>
        <n v="-0.005365777043661001"/>
        <n v="0.007555652158369575"/>
        <n v="0.0014718464748322507"/>
        <n v="-0.0012914296830074572"/>
        <n v="0.0013064946692585295"/>
        <n v="0.001043772036630044"/>
        <n v="4.934699877184351E-4"/>
        <n v="-2.4104269122194545E-4"/>
        <n v="3.0877378468389103E-4"/>
        <n v="-7.947237715356644E-4"/>
        <n v="-0.0036927046248030294"/>
        <n v="0.007310173229735087"/>
      </sharedItems>
    </cacheField>
    <cacheField name="cumulative share of total profit" numFmtId="10">
      <sharedItems containsSemiMixedTypes="0" containsString="0" containsNumber="1">
        <n v="-1.9878988375600208E-4"/>
        <n v="-0.004083972361974928"/>
        <n v="0.002085832603884617"/>
        <n v="0.0018562002801055574"/>
        <n v="2.5600752006467334E-4"/>
        <n v="0.003046249828820913"/>
        <n v="0.002369639318108068"/>
        <n v="0.0020592059871805657"/>
        <n v="0.0030218865940755592"/>
        <n v="0.0022184213120504666"/>
        <n v="0.006431658723499262"/>
        <n v="0.007308588138550756"/>
        <n v="0.005194893510327452"/>
        <n v="0.008113108792128473"/>
        <n v="0.0049287635318393894"/>
        <n v="0.009066259809447837"/>
        <n v="0.013309439041834945"/>
        <n v="0.012828919409009371"/>
        <n v="0.008691364049895662"/>
        <n v="0.016307556047663502"/>
        <n v="0.016209156987067812"/>
        <n v="0.016433513091156027"/>
        <n v="0.014716210080038396"/>
        <n v="0.017527227384188774"/>
        <n v="0.009924458991548642"/>
        <n v="0.019408165188251714"/>
        <n v="0.018895105962774415"/>
        <n v="0.01920576808249414"/>
        <n v="0.02002873233499011"/>
        <n v="0.02058252286463976"/>
        <n v="0.0202409853045962"/>
        <n v="0.02073320046335495"/>
        <n v="0.02078616839869445"/>
        <n v="0.02060485571350774"/>
        <n v="0.020844670215287728"/>
        <n v="0.02112539426274379"/>
        <n v="0.020794103824495497"/>
        <n v="0.020625859736971206"/>
        <n v="0.020110957220373153"/>
        <n v="0.02319042242021055"/>
        <n v="0.021801039529613687"/>
        <n v="0.024166466334402708"/>
        <n v="0.023338507451489368"/>
        <n v="0.025096408609070232"/>
        <n v="0.02696280348964644"/>
        <n v="0.024613713189646273"/>
        <n v="0.02547552647296543"/>
        <n v="0.026697569045604632"/>
        <n v="0.0312754399206539"/>
        <n v="0.031770698444915486"/>
        <n v="0.03182743563273639"/>
        <n v="0.03213099586839128"/>
        <n v="0.03134241434014972"/>
        <n v="0.030629261529607966"/>
        <n v="0.03227812173745357"/>
        <n v="0.03343820308492975"/>
        <n v="0.028810202240588636"/>
        <n v="0.03588006811752601"/>
        <n v="0.035740532397401756"/>
        <n v="0.037819125353428136"/>
        <n v="0.038633596185913395"/>
        <n v="0.038800788152065745"/>
        <n v="0.03986398649868567"/>
        <n v="0.039235223891752"/>
        <n v="0.04033873630309184"/>
        <n v="0.04121504603032002"/>
        <n v="0.03970831313298686"/>
        <n v="0.04306138406585425"/>
        <n v="0.044010715243524186"/>
        <n v="0.04372669172430354"/>
        <n v="0.041592813434172426"/>
        <n v="0.04566471673871298"/>
        <n v="0.043564901737900646"/>
        <n v="0.037888779855961605"/>
        <n v="0.047921464001894606"/>
        <n v="0.04964582383322223"/>
        <n v="0.049117822689685044"/>
        <n v="0.049466745717042786"/>
        <n v="0.04897251099969568"/>
        <n v="0.05119994741566577"/>
        <n v="0.05470177822100807"/>
        <n v="0.052457326770197654"/>
        <n v="0.05143834148878942"/>
        <n v="0.053656446077711445"/>
        <n v="0.05671971389245698"/>
        <n v="0.05910287703292038"/>
        <n v="0.0590765136210322"/>
        <n v="0.06092723812434106"/>
        <n v="0.06088203776191321"/>
        <n v="0.05962802132745835"/>
        <n v="0.061713732219055385"/>
        <n v="0.061165515629634896"/>
        <n v="0.061182161260504096"/>
        <n v="0.06374589261532045"/>
        <n v="0.06481759076267389"/>
        <n v="0.05847564276861755"/>
        <n v="0.05797424690624252"/>
        <n v="0.06695870172174766"/>
        <n v="0.06812129868913108"/>
        <n v="0.06703460933263404"/>
        <n v="0.06860143324533512"/>
        <n v="0.06901767582947338"/>
        <n v="0.06769981326445816"/>
        <n v="0.06540757847480749"/>
        <n v="0.06625345600260972"/>
        <n v="0.07195034199283461"/>
        <n v="0.06364475291463967"/>
        <n v="0.06609708392782356"/>
        <n v="0.07388028291060156"/>
        <n v="0.07533481910258524"/>
        <n v="0.07703343058382398"/>
        <n v="0.07850923163125571"/>
        <n v="0.07793067727710684"/>
        <n v="0.0791572298044468"/>
        <n v="0.08039842236189873"/>
        <n v="0.07775931365420119"/>
        <n v="0.07366867572996301"/>
        <n v="0.08472055522266297"/>
        <n v="0.08688047886558999"/>
        <n v="0.08752625612850858"/>
        <n v="0.08627299078488737"/>
        <n v="0.08788193887367052"/>
        <n v="0.08906913615953117"/>
        <n v="0.08792278307675708"/>
        <n v="0.0817531809979431"/>
        <n v="0.0919742045202973"/>
        <n v="0.08739564472658223"/>
        <n v="0.09250185051679088"/>
        <n v="0.09238000156210069"/>
        <n v="0.09376909161740013"/>
        <n v="0.09453749267409528"/>
        <n v="0.09332845698556508"/>
        <n v="0.0881611167922309"/>
        <n v="0.09782356964650325"/>
        <n v="0.09848466182060944"/>
        <n v="0.09793801664369876"/>
        <n v="0.0914750852798808"/>
        <n v="0.1003347396376616"/>
        <n v="0.10131495967511303"/>
        <n v="0.10081846151598794"/>
        <n v="0.10246445861375007"/>
        <n v="0.10170013210718298"/>
        <n v="0.10329754031978998"/>
        <n v="0.10310453948638085"/>
        <n v="0.10380681914646073"/>
        <n v="0.10435087012087482"/>
        <n v="0.10379489949763888"/>
        <n v="0.10368885722840704"/>
        <n v="0.10518501692906963"/>
        <n v="0.10521557389156626"/>
        <n v="0.1051335753423851"/>
        <n v="0.10516602219521874"/>
        <n v="0.10508027872006188"/>
        <n v="0.1042338550023872"/>
        <n v="0.10660100238902145"/>
        <n v="0.106679602605114"/>
        <n v="0.1068586682589442"/>
        <n v="0.10472783265636412"/>
        <n v="0.10778688432875451"/>
        <n v="0.10579237352700284"/>
        <n v="0.10897114241441219"/>
        <n v="0.10613497626896035"/>
        <n v="0.1134215154609286"/>
        <n v="0.11347325712104299"/>
        <n v="0.11185530549340031"/>
        <n v="0.11571143424759715"/>
        <n v="0.1118659747000094"/>
        <n v="0.1180326507388612"/>
        <n v="0.10987252459372596"/>
        <n v="0.12078099199743611"/>
        <n v="0.1173480532381311"/>
        <n v="0.12434426200505662"/>
        <n v="0.12039113559639054"/>
        <n v="0.1262406783858472"/>
        <n v="0.12012306555913238"/>
        <n v="0.12730342661235247"/>
        <n v="0.12684341045522576"/>
        <n v="0.12718009595412721"/>
        <n v="0.1284855013941227"/>
        <n v="0.12910594531315184"/>
        <n v="0.12851182558450536"/>
        <n v="0.1296927446578568"/>
        <n v="0.13010915770699286"/>
        <n v="0.12211925712303098"/>
        <n v="0.1315095047730504"/>
        <n v="0.130218343818172"/>
        <n v="0.12671277349052862"/>
        <n v="0.13424986091594537"/>
        <n v="0.1345983951379467"/>
        <n v="0.1332445444189388"/>
        <n v="0.13617203701248737"/>
        <n v="0.13690010785325799"/>
        <n v="0.1297851633461201"/>
        <n v="0.13791754646739707"/>
        <n v="0.13476309816358906"/>
        <n v="0.14001126388997498"/>
        <n v="0.13999778457316125"/>
        <n v="0.1396154809539458"/>
        <n v="0.1399146666856813"/>
        <n v="0.14126747595108824"/>
        <n v="0.14043150232201343"/>
        <n v="0.14102582617397053"/>
        <n v="0.13274080063002788"/>
        <n v="0.1439021117720966"/>
        <n v="0.14115220990836114"/>
        <n v="0.14816981435549204"/>
        <n v="0.14067560277524402"/>
        <n v="0.151852263244524"/>
        <n v="0.15172094124941407"/>
        <n v="0.14413179948852553"/>
        <n v="0.1466560881859601"/>
        <n v="0.15506385490903923"/>
        <n v="0.1580208193035322"/>
        <n v="0.15818123340669987"/>
        <n v="0.14892047752121162"/>
        <n v="0.1602588705503892"/>
        <n v="0.16023211314880734"/>
        <n v="0.16014725808960287"/>
        <n v="0.16053893353502252"/>
        <n v="0.16000925958530213"/>
        <n v="0.16178377201754782"/>
        <n v="0.16196892673533547"/>
        <n v="0.1618566912567861"/>
        <n v="0.16157354867610826"/>
        <n v="0.15997445232364357"/>
        <n v="0.15463974612994244"/>
        <n v="0.1651059202927426"/>
        <n v="0.1666369304246415"/>
        <n v="0.16668410055608004"/>
        <n v="0.16668181657635053"/>
        <n v="0.16161913774419376"/>
        <n v="0.16693943921687626"/>
        <n v="0.16811832146380823"/>
        <n v="0.16883579206959537"/>
        <n v="0.16939172969253052"/>
        <n v="0.15962830361462346"/>
        <n v="0.17156088919244658"/>
        <n v="0.1692889581818106"/>
        <n v="0.1684464792263741"/>
        <n v="0.1739962601447051"/>
        <n v="0.1719444148596583"/>
        <n v="0.17583472911395548"/>
        <n v="0.17390045032160606"/>
        <n v="0.17932627267870785"/>
        <n v="0.17876149089540508"/>
        <n v="0.17961730520259694"/>
        <n v="0.17909761148100056"/>
        <n v="0.17810797273897205"/>
        <n v="0.1820371048383097"/>
        <n v="0.17687892588738724"/>
        <n v="0.18409336743793794"/>
        <n v="0.18325167863532255"/>
        <n v="0.18450174749603326"/>
        <n v="0.1840967561800026"/>
        <n v="0.18443180219205776"/>
        <n v="0.1853997686495471"/>
        <n v="0.18223053982008675"/>
        <n v="0.1838242216506937"/>
        <n v="0.18873892248819676"/>
        <n v="0.18605497945222327"/>
        <n v="0.1944632227953565"/>
        <n v="0.1935635490944544"/>
        <n v="0.19549126842399703"/>
        <n v="0.19440072347586307"/>
        <n v="0.19486437289631633"/>
        <n v="0.1956803889205286"/>
        <n v="0.1959938385985858"/>
        <n v="0.19692010691287912"/>
        <n v="0.19647937623122602"/>
        <n v="0.19897617013485933"/>
        <n v="0.1988059507350714"/>
        <n v="0.1963587101628458"/>
        <n v="0.2005891119978077"/>
        <n v="0.2004931521080841"/>
        <n v="0.20016295712030358"/>
        <n v="0.20307935533176663"/>
        <n v="0.20335779803154133"/>
        <n v="0.20259548560012894"/>
        <n v="0.2036815597951279"/>
        <n v="0.2059908631578712"/>
        <n v="0.20493427789206942"/>
        <n v="0.20276326684597246"/>
        <n v="0.20743518367305921"/>
        <n v="0.20965666811091346"/>
        <n v="0.21019996476425296"/>
        <n v="0.20824990024313164"/>
        <n v="0.202355464602207"/>
        <n v="0.2133946573236854"/>
        <n v="0.20845544541806538"/>
        <n v="0.21160230082124865"/>
        <n v="0.21871791293145018"/>
        <n v="0.21816572856930988"/>
        <n v="0.21845767616860884"/>
        <n v="0.2193150700835514"/>
        <n v="0.21745447388422554"/>
        <n v="0.21997173898108824"/>
        <n v="0.22102060060126696"/>
        <n v="0.21824861906378074"/>
        <n v="0.22174243743597358"/>
        <n v="0.22331736071917238"/>
        <n v="0.2234374654235237"/>
        <n v="0.21952817687362838"/>
        <n v="0.22708425809572735"/>
        <n v="0.22659962558855734"/>
        <n v="0.22496331885464588"/>
        <n v="0.22834872134866166"/>
        <n v="0.229597320350054"/>
        <n v="0.22898167423608334"/>
        <n v="0.22828615168169927"/>
        <n v="0.2306304015055572"/>
        <n v="0.2287648002074406"/>
        <n v="0.23347538836222034"/>
        <n v="0.23350410143540345"/>
        <n v="0.2333371481481637"/>
        <n v="0.2310149521561292"/>
        <n v="0.23470917605097283"/>
        <n v="0.23441655055969468"/>
        <n v="0.23493431010474977"/>
        <n v="0.2349704889227159"/>
        <n v="0.2302353745854821"/>
        <n v="0.23801127513799297"/>
        <n v="0.23761729395856698"/>
        <n v="0.23814838446863051"/>
        <n v="0.23648082274108687"/>
        <n v="0.23942563568706218"/>
        <n v="0.23989703042765628"/>
        <n v="0.23411129163604966"/>
        <n v="0.23817481029196363"/>
        <n v="0.2424411389462202"/>
        <n v="0.24103253508526937"/>
        <n v="0.24471480439683377"/>
        <n v="0.243824961196407"/>
        <n v="0.24661783956121353"/>
        <n v="0.24088798176412562"/>
        <n v="0.24849051474797362"/>
        <n v="0.24685138384632757"/>
        <n v="0.24991751309621685"/>
        <n v="0.24769327049122958"/>
        <n v="0.25346828492285434"/>
        <n v="0.25026320542403807"/>
        <n v="0.25475453527345887"/>
        <n v="0.255067198268213"/>
        <n v="0.25025034180709593"/>
        <n v="0.25949288930306047"/>
        <n v="0.2563436048982821"/>
        <n v="0.2638603919942624"/>
        <n v="0.2642638763231439"/>
        <n v="0.26550712742141264"/>
        <n v="0.2608252701859001"/>
        <n v="0.2640415157502347"/>
        <n v="0.2626832844656208"/>
        <n v="0.2743375641503542"/>
        <n v="0.26909298817874117"/>
        <n v="0.27526818028916966"/>
        <n v="0.2717829157145771"/>
        <n v="0.271861942103134"/>
        <n v="0.27980988189739725"/>
        <n v="0.27746745512580495"/>
        <n v="0.2795454645049112"/>
        <n v="0.27903906579693816"/>
        <n v="0.28199645058136547"/>
        <n v="0.28196833934992155"/>
        <n v="0.2774907609551423"/>
        <n v="0.2824105366008328"/>
        <n v="0.28588416985551546"/>
        <n v="0.28655698577031347"/>
        <n v="0.28573805616848824"/>
        <n v="0.2867709367898374"/>
        <n v="0.2859408422191806"/>
        <n v="0.2866104842428148"/>
        <n v="0.28999422364130995"/>
        <n v="0.29034747046578047"/>
        <n v="0.29031492806162273"/>
        <n v="0.2894487696456489"/>
        <n v="0.2904870861842169"/>
        <n v="0.28832804134627854"/>
        <n v="0.29198982911587873"/>
        <n v="0.291479968347348"/>
        <n v="0.29246030945901474"/>
        <n v="0.2930789591586695"/>
        <n v="0.29425742392687193"/>
        <n v="0.2941996913662326"/>
        <n v="0.29530895562032944"/>
        <n v="0.29557226252776964"/>
        <n v="0.2968063907477225"/>
        <n v="0.296543825918345"/>
        <n v="0.2965798199745063"/>
        <n v="0.29652936460829094"/>
        <n v="0.30072105477742783"/>
        <n v="0.30119050579033624"/>
        <n v="0.3015195481404208"/>
        <n v="0.29840032683019363"/>
        <n v="0.3015072442125678"/>
        <n v="0.29584229170614706"/>
        <n v="0.303740406090994"/>
        <n v="0.30808621735548836"/>
        <n v="0.31015746609956146"/>
        <n v="0.3096649382255658"/>
        <n v="0.3107954760089057"/>
        <n v="0.3104909637295282"/>
        <n v="0.3114464013586253"/>
        <n v="0.30705847540937403"/>
        <n v="0.31453689362392256"/>
        <n v="0.31438476303492496"/>
        <n v="0.3147883101341671"/>
        <n v="0.31662384578544334"/>
        <n v="0.3109006880065219"/>
        <n v="0.31832828916757056"/>
        <n v="0.31789572732653476"/>
        <n v="0.3203772741739796"/>
        <n v="0.3224756522360153"/>
        <n v="0.3222074571764696"/>
        <n v="0.3221499032162496"/>
        <n v="0.3229368472117412"/>
        <n v="0.32305377146474806"/>
        <n v="0.32494812519713157"/>
        <n v="0.32300213245451187"/>
        <n v="0.3239356003975676"/>
        <n v="0.32140790902017696"/>
        <n v="0.32888167195906276"/>
        <n v="0.3284111049377953"/>
        <n v="0.330757962423487"/>
        <n v="0.33104988340320796"/>
        <n v="0.3308225401437969"/>
        <n v="0.3320240261610994"/>
        <n v="0.3314372423694063"/>
        <n v="0.3295183095344489"/>
        <n v="0.3330931089897517"/>
        <n v="0.3346331039370766"/>
        <n v="0.33483784250888826"/>
        <n v="0.33630794060585156"/>
        <n v="0.3373136839532743"/>
        <n v="0.3372021643718843"/>
        <n v="0.33761046421233004"/>
        <n v="0.33731867936134224"/>
        <n v="0.3385655381601667"/>
        <n v="0.3376669943656355"/>
        <n v="0.33142734742363045"/>
        <n v="0.3416609656154604"/>
        <n v="0.3415050911971738"/>
        <n v="0.34182274798487544"/>
        <n v="0.34146065905383244"/>
        <n v="0.34232611218059855"/>
        <n v="0.34336574179216167"/>
        <n v="0.34289676827665677"/>
        <n v="0.3415986366014468"/>
        <n v="0.3439210200870331"/>
        <n v="0.3436491724624744"/>
        <n v="0.3460111560896573"/>
        <n v="0.3477920958239886"/>
        <n v="0.3465994110766326"/>
        <n v="0.3474150020848865"/>
        <n v="0.3478390246843459"/>
        <n v="0.3500267803821542"/>
        <n v="0.3512783706065802"/>
        <n v="0.3503388192624585"/>
        <n v="0.3500323605635278"/>
        <n v="0.3540867560619694"/>
        <n v="0.3550367658494498"/>
        <n v="0.3540824474589528"/>
        <n v="0.35498794029929776"/>
        <n v="0.3557596354440226"/>
        <n v="0.3567253192976258"/>
        <n v="0.35221870624123386"/>
        <n v="0.3581406012230687"/>
        <n v="0.3489307999754158"/>
        <n v="0.356469512411414"/>
        <n v="0.3610945458407935"/>
        <n v="0.36151121824637195"/>
        <n v="0.3610652079951485"/>
        <n v="0.3634476063062845"/>
        <n v="0.36317916082330826"/>
        <n v="0.3615457099613478"/>
        <n v="0.36470454804293045"/>
        <n v="0.36392701254285936"/>
        <n v="0.3654518799130304"/>
        <n v="0.36649435423027965"/>
        <n v="0.3661570551451211"/>
        <n v="0.36462516967775155"/>
        <n v="0.3638685140960853"/>
        <n v="0.36249784682259595"/>
        <n v="0.36787215347692986"/>
        <n v="0.3723725243519567"/>
        <n v="0.37334098120787346"/>
        <n v="0.3739423946410642"/>
        <n v="0.3736329137327148"/>
        <n v="0.37327382473838"/>
        <n v="0.36683637387387125"/>
        <n v="0.375799063924236"/>
        <n v="0.376649505961919"/>
        <n v="0.37749606919808587"/>
        <n v="0.3778879338718163"/>
        <n v="0.3796265323857912"/>
        <n v="0.37960393559433625"/>
        <n v="0.3733115035645797"/>
        <n v="0.38133639541429415"/>
        <n v="0.3803438096556772"/>
        <n v="0.3824331776585523"/>
        <n v="0.38298044268280435"/>
        <n v="0.3833139835022886"/>
        <n v="0.3834973819061833"/>
        <n v="0.37793415004531533"/>
        <n v="0.38333484230448894"/>
        <n v="0.383482830767516"/>
        <n v="0.3846183188950691"/>
        <n v="0.38517340395373817"/>
        <n v="0.3849969409169828"/>
        <n v="0.3839845113497067"/>
        <n v="0.3872680327429308"/>
        <n v="0.38710885161474723"/>
        <n v="0.3852302601420395"/>
        <n v="0.38796740167678323"/>
        <n v="0.38984176958954553"/>
        <n v="0.3884068179694172"/>
        <n v="0.38881874614806905"/>
        <n v="0.3879422302437351"/>
        <n v="0.3926517271952157"/>
        <n v="0.39003888130332326"/>
        <n v="0.39634319487702263"/>
        <n v="0.39556445110732863"/>
        <n v="0.3970196006263526"/>
        <n v="0.3987506246042206"/>
        <n v="0.39864110743322645"/>
        <n v="0.3954039851408484"/>
        <n v="0.39782680054543784"/>
        <n v="0.3983244127987052"/>
        <n v="0.398862547208015"/>
        <n v="0.4019894173100108"/>
        <n v="0.40528491212958623"/>
        <n v="0.4051406654819325"/>
        <n v="0.405441383265094"/>
        <n v="0.4046382671681246"/>
        <n v="0.40559580351665236"/>
        <n v="0.4009809212788887"/>
        <n v="0.40360711141566885"/>
        <n v="0.4057626002369062"/>
        <n v="0.40262888830517957"/>
        <n v="0.40808937501568876"/>
        <n v="0.41180908445460057"/>
        <n v="0.4118571001315101"/>
        <n v="0.411811216513308"/>
        <n v="0.41140995321433754"/>
        <n v="0.40645204076606767"/>
        <n v="0.4128986445182292"/>
        <n v="0.4138382001095195"/>
        <n v="0.4155260002336088"/>
        <n v="0.4154253756566563"/>
        <n v="0.4147067150261255"/>
        <n v="0.41563075303851993"/>
        <n v="0.4146230533016646"/>
        <n v="0.4096023812402902"/>
        <n v="0.41924424637338287"/>
        <n v="0.4207880905316219"/>
        <n v="0.41755539658051194"/>
        <n v="0.4193179387368882"/>
        <n v="0.42280392925827864"/>
        <n v="0.4223279126809973"/>
        <n v="0.422352982142119"/>
        <n v="0.42473289348678106"/>
        <n v="0.42496959134444473"/>
        <n v="0.42452272962564197"/>
        <n v="0.4252397560134831"/>
        <n v="0.42523842970048814"/>
        <n v="0.4249171761591583"/>
        <n v="0.42572481072510543"/>
        <n v="0.425400644323994"/>
        <n v="0.42685390193876527"/>
        <n v="0.42688147493630046"/>
        <n v="0.42551331925488706"/>
        <n v="0.4279352040908741"/>
        <n v="0.428688042803915"/>
        <n v="0.42818515795999296"/>
        <n v="0.4275794643977611"/>
        <n v="0.43068705012097"/>
        <n v="0.4292668026771576"/>
        <n v="0.42992923990763193"/>
        <n v="0.43238404650168744"/>
        <n v="0.4301488522633477"/>
        <n v="0.43447768560089284"/>
        <n v="0.4280821214698186"/>
        <n v="0.4348374374725684"/>
        <n v="0.42601860386871787"/>
        <n v="0.4386131691791899"/>
        <n v="0.4379903937440463"/>
        <n v="0.4340829527922596"/>
        <n v="0.44160203190369224"/>
        <n v="0.44264822713944757"/>
        <n v="0.4426277448397725"/>
        <n v="0.4422579157529862"/>
        <n v="0.44194191372598607"/>
        <n v="0.4421249269735002"/>
        <n v="0.4374731357437437"/>
        <n v="0.4463379835911562"/>
        <n v="0.4474856658183709"/>
        <n v="0.44674067170552983"/>
        <n v="0.44893174743299397"/>
        <n v="0.4487412308343118"/>
        <n v="0.44833419483559667"/>
        <n v="0.44897960239544776"/>
        <n v="0.44699135808162715"/>
        <n v="0.446861783487338"/>
        <n v="0.44744109652936864"/>
        <n v="0.4536696840436853"/>
        <n v="0.4546812656727193"/>
        <n v="0.4537111416735109"/>
        <n v="0.4548487452499523"/>
        <n v="0.45551180029391264"/>
        <n v="0.45486884835523467"/>
        <n v="0.45742000071322564"/>
        <n v="0.45716098867030824"/>
        <n v="0.45836404542216874"/>
        <n v="0.45902923746989666"/>
        <n v="0.45904319203092114"/>
        <n v="0.4596794807801672"/>
        <n v="0.45367399882802717"/>
        <n v="0.45423253605713354"/>
        <n v="0.46175271648132304"/>
        <n v="0.4589366877973579"/>
        <n v="0.4644837167897004"/>
        <n v="0.46153823285090245"/>
        <n v="0.46599022727896416"/>
        <n v="0.4626799945250612"/>
        <n v="0.46886123693655607"/>
        <n v="0.46814426574196727"/>
        <n v="0.46342476557182083"/>
        <n v="0.4682049022493161"/>
        <n v="0.4683140801054351"/>
        <n v="0.4718378501886866"/>
        <n v="0.4701329322602402"/>
        <n v="0.47101079461672546"/>
        <n v="0.47308549975846476"/>
        <n v="0.4726446316918737"/>
        <n v="0.4732146178718562"/>
        <n v="0.4742803434233832"/>
        <n v="0.4664299366062931"/>
        <n v="0.47223146920227393"/>
        <n v="0.47840242156167284"/>
        <n v="0.4805746306482965"/>
        <n v="0.4813041999419995"/>
        <n v="0.4820075599980293"/>
        <n v="0.4834803440403193"/>
        <n v="0.48354333920179426"/>
        <n v="0.4842228093929521"/>
        <n v="0.4850492261947408"/>
        <n v="0.4819190860720041"/>
        <n v="0.4836083394854722"/>
        <n v="0.48567945830207715"/>
        <n v="0.48376069186440673"/>
        <n v="0.4913976480302797"/>
        <n v="0.49301766003319697"/>
        <n v="0.4924498130503555"/>
        <n v="0.49270182948812236"/>
        <n v="0.49308327769168625"/>
        <n v="0.4935967769477603"/>
        <n v="0.49300553793600427"/>
        <n v="0.48946099638669593"/>
        <n v="0.49174425595194454"/>
        <n v="0.4891648257857648"/>
        <n v="0.4981803199862905"/>
        <n v="0.5008756940472969"/>
        <n v="0.5007675871955014"/>
        <n v="0.500411529702513"/>
        <n v="0.5011546088208607"/>
        <n v="0.501442386278828"/>
        <n v="0.5018388579141856"/>
        <n v="0.49820464601344583"/>
        <n v="0.5048263303190674"/>
        <n v="0.5034140190787066"/>
        <n v="0.5002113900765455"/>
        <n v="0.5055336213988416"/>
        <n v="0.5068756995446885"/>
        <n v="0.5029559122731216"/>
        <n v="0.5080494366758436"/>
        <n v="0.5051955925384516"/>
        <n v="0.5092422626963906"/>
        <n v="0.5095963297228987"/>
        <n v="0.5100651098227434"/>
        <n v="0.510493656474313"/>
        <n v="0.5094983025388041"/>
        <n v="0.5078135377644346"/>
        <n v="0.5076298965540973"/>
        <n v="0.5062003274724536"/>
        <n v="0.5130531032335823"/>
        <n v="0.5158581189494971"/>
        <n v="0.5173129790628621"/>
        <n v="0.5139168706332016"/>
        <n v="0.5194490289522423"/>
        <n v="0.5218966140236803"/>
        <n v="0.5219042196857506"/>
        <n v="0.5233306770483984"/>
        <n v="0.5230252035131298"/>
        <n v="0.5233352097743037"/>
        <n v="0.5238685888502412"/>
        <n v="0.52388608014622"/>
        <n v="0.5248371532213373"/>
        <n v="0.5256612291951441"/>
        <n v="0.5247875919539055"/>
        <n v="0.5249915486478959"/>
        <n v="0.5264590281360978"/>
        <n v="0.5265687687121493"/>
        <n v="0.5262628151471278"/>
        <n v="0.5268571420897475"/>
        <n v="0.5221733215058266"/>
        <n v="0.5284598026342143"/>
        <n v="0.530157836899316"/>
        <n v="0.5297510241461402"/>
        <n v="0.527855353751605"/>
        <n v="0.5349226964315268"/>
        <n v="0.527128280915701"/>
        <n v="0.5369760874865536"/>
        <n v="0.5378689762259169"/>
        <n v="0.5381394490439874"/>
        <n v="0.5390319091981755"/>
        <n v="0.5395773976696794"/>
        <n v="0.5335518417641844"/>
        <n v="0.5363399399905586"/>
        <n v="0.5440015653268959"/>
        <n v="0.5403734263189692"/>
        <n v="0.5484092152069766"/>
        <n v="0.5435986190724051"/>
        <n v="0.5496212939419736"/>
        <n v="0.5487269693206409"/>
        <n v="0.5504614666848495"/>
        <n v="0.548354612989068"/>
        <n v="0.5506977140634829"/>
        <n v="0.5525667966839641"/>
        <n v="0.5527779586696084"/>
        <n v="0.5475277301153576"/>
        <n v="0.5529407723034078"/>
        <n v="0.5537074879320524"/>
        <n v="0.5531394911816827"/>
        <n v="0.553147002209658"/>
        <n v="0.5528951777319489"/>
        <n v="0.5588019946869304"/>
        <n v="0.5594162644789911"/>
        <n v="0.5601857000502511"/>
        <n v="0.5604902434755319"/>
        <n v="0.5514036442746602"/>
        <n v="0.5635191941279498"/>
        <n v="0.5639226190762296"/>
        <n v="0.5642377359374581"/>
        <n v="0.5642844032479994"/>
        <n v="0.5647939096271973"/>
        <n v="0.5657944577103499"/>
        <n v="0.5640099510522695"/>
        <n v="0.5660870748867486"/>
        <n v="0.5674043336359885"/>
        <n v="0.5686546070586845"/>
        <n v="0.5684121947652514"/>
        <n v="0.5677020574843092"/>
        <n v="0.5699584291621945"/>
        <n v="0.5704549746981865"/>
        <n v="0.5702825146278252"/>
        <n v="0.5678288176414662"/>
        <n v="0.5700341697576615"/>
        <n v="0.5728295168839421"/>
        <n v="0.5742285088639328"/>
        <n v="0.5745481407645004"/>
        <n v="0.5746708638981552"/>
        <n v="0.5746705323996656"/>
        <n v="0.5747453663343008"/>
        <n v="0.5746353558536745"/>
        <n v="0.5747588187723198"/>
        <n v="0.5752692135874099"/>
        <n v="0.5723588580400856"/>
        <n v="0.5736141906581379"/>
        <n v="0.5763189411314931"/>
        <n v="0.5759170249250612"/>
        <n v="0.5755624387071141"/>
        <n v="0.577558717786614"/>
        <n v="0.5778988733419165"/>
        <n v="0.5773987389683806"/>
        <n v="0.5760684083712976"/>
        <n v="0.5792472935673199"/>
        <n v="0.5724963555579472"/>
        <n v="0.5823140048188884"/>
        <n v="0.5814006126038263"/>
        <n v="0.5830243428932015"/>
        <n v="0.5777156444857907"/>
        <n v="0.582638084083254"/>
        <n v="0.5844330026253565"/>
        <n v="0.5804939579136168"/>
        <n v="0.5875415440213241"/>
        <n v="0.5876698031099675"/>
        <n v="0.5869064108409184"/>
        <n v="0.5875105793904591"/>
        <n v="0.584531855833898"/>
        <n v="0.583614529982983"/>
        <n v="0.5844161338287068"/>
        <n v="0.5941271222292795"/>
        <n v="0.5948101477392468"/>
        <n v="0.587147953401953"/>
        <n v="0.5943788638772306"/>
        <n v="0.5958771066446132"/>
        <n v="0.5978489340764773"/>
        <n v="0.5975825733551007"/>
        <n v="0.5977046361637037"/>
        <n v="0.6010342246807301"/>
        <n v="0.6011453078406197"/>
        <n v="0.5990483237471804"/>
        <n v="0.6006161264428207"/>
        <n v="0.5976943067106446"/>
        <n v="0.6032416367734049"/>
        <n v="0.6033322086212705"/>
        <n v="0.6024119315265383"/>
        <n v="0.6024882513520579"/>
        <n v="0.6031434764914206"/>
        <n v="0.6011103119089637"/>
        <n v="0.6051706042919676"/>
        <n v="0.6067942568162835"/>
        <n v="0.6073138839989048"/>
        <n v="0.6070103644004784"/>
        <n v="0.6083440972189029"/>
        <n v="0.6079876670518229"/>
        <n v="0.6084326418712525"/>
        <n v="0.608089693932191"/>
        <n v="0.6082205546010419"/>
        <n v="0.6087962168327582"/>
        <n v="0.606113413593276"/>
        <n v="0.609284681881204"/>
        <n v="0.6138520624092804"/>
        <n v="0.6125442367810632"/>
        <n v="0.6150492961334451"/>
        <n v="0.6151194752510319"/>
        <n v="0.6151643456503315"/>
        <n v="0.6150622256712297"/>
        <n v="0.6132404939361004"/>
        <n v="0.6104941518776201"/>
        <n v="0.6180966050824932"/>
        <n v="0.6138624607940857"/>
        <n v="0.618640606646185"/>
        <n v="0.6191537293997338"/>
        <n v="0.6158310600587626"/>
        <n v="0.6174327682005911"/>
        <n v="0.6202914591350289"/>
        <n v="0.619911776258129"/>
        <n v="0.6122046727785844"/>
        <n v="0.6216407086749397"/>
        <n v="0.6226900430468593"/>
        <n v="0.6214795174794929"/>
        <n v="0.6235627670471459"/>
        <n v="0.6238532823336922"/>
        <n v="0.6231033529710354"/>
        <n v="0.62500510730501"/>
        <n v="0.6255567485480007"/>
        <n v="0.6269070996598851"/>
        <n v="0.6264890065464936"/>
        <n v="0.625848547237181"/>
        <n v="0.6296807563763858"/>
        <n v="0.6291179645411296"/>
        <n v="0.6323058306045056"/>
        <n v="0.6328054641710601"/>
        <n v="0.6323852094681786"/>
        <n v="0.6328468538461879"/>
        <n v="0.6277371331750006"/>
        <n v="0.6330189107545665"/>
        <n v="0.632731232756116"/>
        <n v="0.6353473723771225"/>
        <n v="0.6373909539481797"/>
        <n v="0.6297213691386923"/>
        <n v="0.6307386883535557"/>
        <n v="0.6326188153472074"/>
        <n v="0.645312249578751"/>
        <n v="0.6456443201002422"/>
        <n v="0.6456365790073302"/>
        <n v="0.6428652309559804"/>
        <n v="0.6395805394179521"/>
        <n v="0.6470092347333842"/>
        <n v="0.6470688990777939"/>
        <n v="0.6410265065185405"/>
        <n v="0.6479475566717386"/>
        <n v="0.6497230841573447"/>
        <n v="0.6489702410575569"/>
        <n v="0.6511055544719465"/>
        <n v="0.6459175402780964"/>
        <n v="0.6525154294725798"/>
        <n v="0.6506000163639625"/>
        <n v="0.6524822333633703"/>
        <n v="0.6540453428778664"/>
        <n v="0.6490444373386461"/>
        <n v="0.6550855276721331"/>
        <n v="0.6559301417968794"/>
        <n v="0.6591422227431956"/>
        <n v="0.65850135863684"/>
        <n v="0.6578299597210598"/>
        <n v="0.660320752315614"/>
        <n v="0.6608131623855149"/>
        <n v="0.6597418757549032"/>
        <n v="0.6577523368522439"/>
        <n v="0.662632331064051"/>
        <n v="0.6623757085021268"/>
        <n v="0.6627900798196628"/>
        <n v="0.661843950269361"/>
        <n v="0.6639905184213764"/>
        <n v="0.6625208800156119"/>
        <n v="0.6600145318170418"/>
        <n v="0.6679070224521422"/>
        <n v="0.6673125490918738"/>
        <n v="0.6667741699419647"/>
        <n v="0.6687087878697314"/>
        <n v="0.6691048124158178"/>
        <n v="0.6688996769231679"/>
        <n v="0.6698763318513883"/>
        <n v="0.6702701872308762"/>
        <n v="0.6657254700731092"/>
        <n v="0.6724265155358978"/>
        <n v="0.6687704572366453"/>
        <n v="0.6726238469060583"/>
        <n v="0.6728702533923916"/>
        <n v="0.6748756291294246"/>
        <n v="0.6770923963188458"/>
        <n v="0.6757732831720394"/>
        <n v="0.6828025604935376"/>
        <n v="0.6828023519635403"/>
        <n v="0.6769106620273995"/>
        <n v="0.6884592705218119"/>
        <n v="0.682193624846167"/>
        <n v="0.689046182685672"/>
        <n v="0.6898934299153842"/>
        <n v="0.6909462737047886"/>
        <n v="0.6906846940988923"/>
        <n v="0.6918442290570984"/>
        <n v="0.6844995630954598"/>
        <n v="0.6931283022053817"/>
        <n v="0.695057801756588"/>
        <n v="0.6958428124329481"/>
        <n v="0.6908413490590363"/>
        <n v="0.6972720783504993"/>
        <n v="0.6887800552395332"/>
        <n v="0.7009434561670237"/>
        <n v="0.7008566518368805"/>
        <n v="0.7009249805647926"/>
        <n v="0.6922529009933827"/>
        <n v="0.7033109650814244"/>
        <n v="0.704571800375008"/>
        <n v="0.7065519264353793"/>
        <n v="0.7023650232041323"/>
        <n v="0.7076522576974832"/>
        <n v="0.7087943546786255"/>
        <n v="0.7082460739230613"/>
        <n v="0.7086554631722278"/>
        <n v="0.7113083183895067"/>
        <n v="0.7113166422418088"/>
        <n v="0.7111452782599875"/>
        <n v="0.7076514943038184"/>
        <n v="0.7057198612781818"/>
        <n v="0.7140627666777619"/>
        <n v="0.7147008157487924"/>
        <n v="0.7137786454337834"/>
        <n v="0.7136392154741398"/>
        <n v="0.7161642892596968"/>
        <n v="0.7155429189793543"/>
        <n v="0.7150776435712715"/>
        <n v="0.7125031649257506"/>
        <n v="0.7192683850066857"/>
        <n v="0.717892773689947"/>
        <n v="0.7155223485658853"/>
        <n v="0.7207542284344696"/>
        <n v="0.7170225480616763"/>
        <n v="0.7218182232747539"/>
        <n v="0.7221242696792923"/>
        <n v="0.719470343776726"/>
        <n v="0.7229792772836633"/>
        <n v="0.7288638228839929"/>
        <n v="0.723034140712412"/>
        <n v="0.7295745090466749"/>
        <n v="0.7298667325125365"/>
        <n v="0.7202589731803284"/>
        <n v="0.7329602591505054"/>
        <n v="0.7246366671420612"/>
        <n v="0.7358154905168554"/>
        <n v="0.736031287639006"/>
        <n v="0.7365371895080096"/>
        <n v="0.7355286584028518"/>
        <n v="0.7332161572012944"/>
        <n v="0.7373155042737936"/>
        <n v="0.7378882216424154"/>
        <n v="0.7384844739282632"/>
        <n v="0.7387889166577621"/>
        <n v="0.7378302210714783"/>
        <n v="0.7386631238181832"/>
        <n v="0.7401592914149903"/>
        <n v="0.740515404839002"/>
        <n v="0.742098671974081"/>
        <n v="0.742178022144441"/>
        <n v="0.7435068713171455"/>
        <n v="0.7450303454963708"/>
        <n v="0.7388856847856682"/>
        <n v="0.748122928026641"/>
        <n v="0.747904315729587"/>
        <n v="0.750070392702314"/>
        <n v="0.7500446752588512"/>
        <n v="0.7488316106822406"/>
        <n v="0.7509511945979781"/>
        <n v="0.7509781516364249"/>
        <n v="0.7496217705022087"/>
        <n v="0.7509812588490353"/>
        <n v="0.7513745981476865"/>
        <n v="0.7505419843280863"/>
        <n v="0.7533736175881148"/>
        <n v="0.7511960655633675"/>
        <n v="0.7536827320236377"/>
        <n v="0.7443300498821689"/>
        <n v="0.7551143153200144"/>
        <n v="0.7552413331387342"/>
        <n v="0.7563607531905311"/>
        <n v="0.7589978446925318"/>
        <n v="0.759301168163491"/>
        <n v="0.7596553766625876"/>
        <n v="0.7607173251851274"/>
        <n v="0.761134788481298"/>
        <n v="0.757392334477379"/>
        <n v="0.7535856525962177"/>
        <n v="0.7641409073123243"/>
        <n v="0.7651830273399396"/>
        <n v="0.7609078255329061"/>
        <n v="0.768556899488984"/>
        <n v="0.7692958541479874"/>
        <n v="0.7658809096850161"/>
        <n v="0.770349202652566"/>
        <n v="0.770207260143738"/>
        <n v="0.770563162186367"/>
        <n v="0.7708625355911122"/>
        <n v="0.7708816897632742"/>
        <n v="0.7728167321486861"/>
        <n v="0.7739021052218868"/>
        <n v="0.7740737239740061"/>
        <n v="0.7704244326905094"/>
        <n v="0.7771582270535976"/>
        <n v="0.7772370100375191"/>
        <n v="0.7769811479181754"/>
        <n v="0.7771088660212235"/>
        <n v="0.7674278156330951"/>
        <n v="0.7793328023913955"/>
        <n v="0.7791227826149533"/>
        <n v="0.7792522485774366"/>
        <n v="0.7823106210617634"/>
        <n v="0.7788632070146334"/>
        <n v="0.7850407970804526"/>
        <n v="0.7836898430500819"/>
        <n v="0.7841512378620703"/>
        <n v="0.7842210584428546"/>
        <n v="0.7813853910904686"/>
        <n v="0.7885494368946827"/>
        <n v="0.7883701094517594"/>
        <n v="0.7890986167738497"/>
        <n v="0.789359033333496"/>
        <n v="0.7905563775638038"/>
        <n v="0.7891398894424729"/>
        <n v="0.7913864201714492"/>
        <n v="0.7884787414569819"/>
        <n v="0.7929826399943728"/>
        <n v="0.7888816750896055"/>
        <n v="0.7940439965652937"/>
        <n v="0.7947094044808501"/>
        <n v="0.7946009956214681"/>
        <n v="0.79476966231224"/>
        <n v="0.79310622757639"/>
        <n v="0.7956861079424434"/>
        <n v="0.7946331112549687"/>
        <n v="0.7969374908332576"/>
        <n v="0.7967891249504764"/>
        <n v="0.7934808451164879"/>
        <n v="0.7982804985307791"/>
        <n v="0.7994897204367165"/>
        <n v="0.7984857058065605"/>
        <n v="0.8021884018058127"/>
        <n v="0.8006072073687793"/>
        <n v="0.8024312451768909"/>
        <n v="0.8045542827984272"/>
        <n v="0.8042158231794282"/>
        <n v="0.8061101852067514"/>
        <n v="0.8052714099019899"/>
        <n v="0.8003276314127542"/>
        <n v="0.804280365446847"/>
        <n v="0.8101306367553304"/>
        <n v="0.8093172893089149"/>
        <n v="0.8105606932055551"/>
        <n v="0.811234360548053"/>
        <n v="0.806697301493922"/>
        <n v="0.8113168748590347"/>
        <n v="0.8125617956728239"/>
        <n v="0.8102003839378625"/>
        <n v="0.8039846677172952"/>
        <n v="0.8161031561127758"/>
        <n v="0.8150377508735338"/>
        <n v="0.8186318784355145"/>
        <n v="0.8161319424845123"/>
        <n v="0.8195638708763002"/>
        <n v="0.8172028764007311"/>
        <n v="0.8173281600985094"/>
        <n v="0.8215726922036501"/>
        <n v="0.8210358740178173"/>
        <n v="0.8234107449304361"/>
        <n v="0.8279776231759889"/>
        <n v="0.8264282763222788"/>
        <n v="0.8289436518478406"/>
        <n v="0.8288722700437632"/>
        <n v="0.821840465018864"/>
        <n v="0.8316834983703807"/>
        <n v="0.8293312745173488"/>
        <n v="0.8301286800668016"/>
        <n v="0.8286715863016583"/>
        <n v="0.8362327928792331"/>
        <n v="0.8350398389650734"/>
        <n v="0.8368299405599489"/>
        <n v="0.8373969458058133"/>
        <n v="0.8384311463793742"/>
        <n v="0.8344179026547984"/>
        <n v="0.8391419522803077"/>
        <n v="0.8418332133473312"/>
        <n v="0.8413567686634289"/>
        <n v="0.8395542120970276"/>
        <n v="0.8383247876462309"/>
        <n v="0.8414791435292569"/>
        <n v="0.8447417624920885"/>
        <n v="0.8458177662714346"/>
        <n v="0.839784923381094"/>
        <n v="0.8456178851046204"/>
        <n v="0.8450701206492303"/>
        <n v="0.8475443226267098"/>
        <n v="0.8492102422154192"/>
        <n v="0.8463744898000223"/>
        <n v="0.8508234262068585"/>
        <n v="0.8507715690357215"/>
        <n v="0.8514008491392148"/>
        <n v="0.8515930459417307"/>
        <n v="0.8414694263065513"/>
        <n v="0.8469938279397886"/>
        <n v="0.8543074644065272"/>
        <n v="0.8566243972792923"/>
        <n v="0.8538990977080702"/>
        <n v="0.8566406437959497"/>
        <n v="0.8560771663121481"/>
        <n v="0.8587064006718408"/>
        <n v="0.8508187356378226"/>
        <n v="0.8600284342954165"/>
        <n v="0.853639164946791"/>
        <n v="0.85863072569812"/>
        <n v="0.8625167064247021"/>
        <n v="0.8574154365024417"/>
        <n v="0.8610648744428642"/>
        <n v="0.8605294011738212"/>
        <n v="0.8645558781984669"/>
        <n v="0.866521641331554"/>
        <n v="0.8669771059396432"/>
        <n v="0.8664726049583323"/>
        <n v="0.8671360962243955"/>
        <n v="0.8603710206867717"/>
        <n v="0.8637427820927108"/>
        <n v="0.871117203458483"/>
        <n v="0.8718285299266989"/>
        <n v="0.8718181380422549"/>
        <n v="0.871886534964142"/>
        <n v="0.8663732105647977"/>
        <n v="0.8721784561033811"/>
        <n v="0.8730024356883941"/>
        <n v="0.8730219239312748"/>
        <n v="0.8733748308626171"/>
        <n v="0.8709781080879917"/>
        <n v="0.8747565898063849"/>
        <n v="0.8711979700894874"/>
        <n v="0.8746955511938606"/>
        <n v="0.8694779950709345"/>
        <n v="0.8786711114063933"/>
        <n v="0.8781934198096155"/>
        <n v="0.8795020284522203"/>
        <n v="0.8757519559450262"/>
        <n v="0.8752407824424764"/>
        <n v="0.8812810481074198"/>
        <n v="0.8725705622874701"/>
        <n v="0.8844831742089249"/>
        <n v="0.885004223515082"/>
        <n v="0.8848171902128006"/>
        <n v="0.8854016409729576"/>
        <n v="0.878160057143601"/>
        <n v="0.8862771749239307"/>
        <n v="0.8865461145141293"/>
        <n v="0.888799969276023"/>
        <n v="0.8908336203885941"/>
        <n v="0.8889791533321408"/>
        <n v="0.8892542431215974"/>
        <n v="0.8938428937492784"/>
        <n v="0.8938862746087177"/>
        <n v="0.8897654786966164"/>
        <n v="0.896306523885991"/>
        <n v="0.8911421795018349"/>
        <n v="0.8910724166865318"/>
        <n v="0.8999961916655923"/>
        <n v="0.8978970136802537"/>
        <n v="0.892354326749843"/>
        <n v="0.9026954641089581"/>
        <n v="0.9058995175277273"/>
        <n v="0.9061790187694764"/>
        <n v="0.9065868981801083"/>
        <n v="0.9054828328990768"/>
        <n v="0.9071667746997822"/>
        <n v="0.9092421409641636"/>
        <n v="0.906781606096146"/>
        <n v="0.9143101359354083"/>
        <n v="0.9142333020828471"/>
        <n v="0.9134880335789856"/>
        <n v="0.9134667497408872"/>
        <n v="0.9149661640887365"/>
        <n v="0.9139841135814293"/>
        <n v="0.9139750686276907"/>
        <n v="0.9164135203125601"/>
        <n v="0.916068247896119"/>
        <n v="0.9121485426766595"/>
        <n v="0.918212466985032"/>
        <n v="0.9187821172199586"/>
        <n v="0.9196964382289846"/>
        <n v="0.9198402180071263"/>
        <n v="0.9194576733561067"/>
        <n v="0.9196219602988026"/>
        <n v="0.919658034193758"/>
        <n v="0.9201127488675195"/>
        <n v="0.9192192579673808"/>
        <n v="0.9213779983850219"/>
        <n v="0.9166913487880051"/>
        <n v="0.9246841156325323"/>
        <n v="0.9237713472527632"/>
        <n v="0.9242497819844109"/>
        <n v="0.9263586103145043"/>
        <n v="0.9262904621012285"/>
        <n v="0.9258350715892829"/>
        <n v="0.9291514254104561"/>
        <n v="0.9289258898696362"/>
        <n v="0.9299525654573908"/>
        <n v="0.9304410661182457"/>
        <n v="0.9279275703536235"/>
        <n v="0.931154440997881"/>
        <n v="0.9283952576350487"/>
        <n v="0.9322191704986379"/>
        <n v="0.9320038672244929"/>
        <n v="0.9331911560537861"/>
        <n v="0.9335689471061924"/>
        <n v="0.9341342272040069"/>
        <n v="0.9329613763751897"/>
        <n v="0.9346095517320804"/>
        <n v="0.9361249100506274"/>
        <n v="0.9363542490206753"/>
        <n v="0.9369931309554903"/>
        <n v="0.9369949548452258"/>
        <n v="0.9368993839203766"/>
        <n v="0.9365389384242522"/>
        <n v="0.9387481844563007"/>
        <n v="0.9396136949696926"/>
        <n v="0.9388092108856325"/>
        <n v="0.9401496882676446"/>
        <n v="0.94242557303335"/>
        <n v="0.9420124264756174"/>
        <n v="0.9429919732869932"/>
        <n v="0.9443165804554755"/>
        <n v="0.9451370755277624"/>
        <n v="0.9457386655474569"/>
        <n v="0.9401023986970509"/>
        <n v="0.9478553171820877"/>
        <n v="0.9472606252222439"/>
        <n v="0.9475725506054412"/>
        <n v="0.949812703044259"/>
        <n v="0.9501494703161112"/>
        <n v="0.945966576770957"/>
        <n v="0.9506306612807354"/>
        <n v="0.9514898468029439"/>
        <n v="0.9471974766442649"/>
        <n v="0.9537665261680366"/>
        <n v="0.9559000718231118"/>
        <n v="0.9479711698325783"/>
        <n v="0.9570540019344626"/>
        <n v="0.9597659932121819"/>
        <n v="0.9582025914605812"/>
        <n v="0.9600359707465841"/>
        <n v="0.9622567868635433"/>
        <n v="0.9622508045171748"/>
        <n v="0.9620587597553196"/>
        <n v="0.9622977092304843"/>
        <n v="0.9614819521639193"/>
        <n v="0.9641610080647149"/>
        <n v="0.9596066927445419"/>
        <n v="0.9648519348636162"/>
        <n v="0.9639841266718806"/>
        <n v="0.9647563345076832"/>
        <n v="0.9657627453185913"/>
        <n v="0.9625339372675515"/>
        <n v="0.9650533067666762"/>
        <n v="0.9619791829696012"/>
        <n v="0.9698074318294475"/>
        <n v="0.969381396590496"/>
        <n v="0.9688826197556173"/>
        <n v="0.971019897954078"/>
        <n v="0.9727183844329689"/>
        <n v="0.9744319546414841"/>
        <n v="0.9744393011863892"/>
        <n v="0.9745651158799439"/>
        <n v="0.9733445944716224"/>
        <n v="0.9682917790006634"/>
        <n v="0.9768902058488085"/>
        <n v="0.9771468825870573"/>
        <n v="0.9747065286492005"/>
        <n v="0.97476879684695"/>
        <n v="0.9780324330764552"/>
        <n v="0.9796835518208981"/>
        <n v="0.9775434140018117"/>
        <n v="0.9834878979786557"/>
        <n v="0.9823869420039093"/>
        <n v="0.9824089966133833"/>
        <n v="0.9850381137871136"/>
        <n v="0.984065350661132"/>
        <n v="0.9854864937989087"/>
        <n v="0.98493561784386"/>
        <n v="0.9863704961255556"/>
        <n v="0.987547702216425"/>
        <n v="0.9879682295556284"/>
        <n v="0.9819240612013378"/>
        <n v="0.9915472230999132"/>
        <n v="0.99216204374775"/>
        <n v="0.9918954954730023"/>
        <n v="0.9865297184293412"/>
        <n v="0.9940853705877108"/>
        <n v="0.9955572170625431"/>
        <n v="0.9942657873795356"/>
        <n v="0.9955722820487942"/>
        <n v="0.9966160540854243"/>
        <n v="0.9971095240731428"/>
        <n v="0.9968684813819209"/>
        <n v="0.9971772551666047"/>
        <n v="0.996382531395069"/>
        <n v="0.9926898267702661"/>
        <n v="1.00000000000000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331" sheet="events"/>
  </cacheSource>
  <cacheFields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product 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month number" numFmtId="0">
      <sharedItems containsSemiMixedTypes="0" containsString="0" containsNumber="1" containsInteger="1">
        <n v="10.0"/>
        <n v="8.0"/>
        <n v="7.0"/>
        <n v="5.0"/>
        <n v="3.0"/>
        <n v="4.0"/>
        <n v="11.0"/>
        <n v="9.0"/>
        <n v="1.0"/>
        <n v="2.0"/>
        <n v="6.0"/>
        <n v="12.0"/>
      </sharedItems>
    </cacheField>
    <cacheField name="month of order" numFmtId="0">
      <sharedItems>
        <s v="Oct"/>
        <s v="Aug"/>
        <s v="Jul"/>
        <s v="May"/>
        <s v="Mar"/>
        <s v="Apr"/>
        <s v="Nov"/>
        <s v="Sep"/>
        <s v="Jan"/>
        <s v="Feb"/>
        <s v="Jun"/>
        <s v="Dec"/>
      </sharedItems>
    </cacheField>
    <cacheField name="day of order" numFmtId="3">
      <sharedItems containsSemiMixedTypes="0" containsString="0" containsNumber="1" containsInteger="1">
        <n v="8.0"/>
        <n v="11.0"/>
        <n v="18.0"/>
        <n v="13.0"/>
        <n v="15.0"/>
        <n v="20.0"/>
        <n v="12.0"/>
        <n v="19.0"/>
        <n v="23.0"/>
        <n v="22.0"/>
        <n v="27.0"/>
        <n v="1.0"/>
        <n v="2.0"/>
        <n v="28.0"/>
        <n v="26.0"/>
        <n v="9.0"/>
        <n v="29.0"/>
        <n v="3.0"/>
        <n v="4.0"/>
        <n v="24.0"/>
        <n v="14.0"/>
        <n v="21.0"/>
        <n v="10.0"/>
        <n v="7.0"/>
        <n v="25.0"/>
        <n v="16.0"/>
        <n v="6.0"/>
        <n v="30.0"/>
        <n v="17.0"/>
        <n v="5.0"/>
        <n v="31.0"/>
      </sharedItems>
    </cacheField>
    <cacheField name="year of order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time of shipment" numFmtId="3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e v="#N/A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country" numFmtId="0">
      <sharedItems containsBlank="1">
        <s v="Norway"/>
        <s v="Serbia"/>
        <m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 containsBlank="1">
        <s v="Europe"/>
        <m/>
        <s v="Asia"/>
      </sharedItems>
    </cacheField>
    <cacheField name="subregion" numFmtId="0">
      <sharedItems containsBlank="1">
        <s v="Northern Europe"/>
        <s v="Southern Europe"/>
        <m/>
        <s v="Eastern Europe"/>
        <s v="Western Europe"/>
        <s v="Western Asia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5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165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5">
      <sharedItems containsSemiMixedTypes="0" containsString="0" containsNumber="1"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5">
      <sharedItems containsSemiMixedTypes="0" containsString="0" containsNumber="1">
        <n v="-99695.23000000001"/>
        <n v="-1948460.12"/>
        <n v="3094222.4699999997"/>
        <n v="-115163.03999999998"/>
        <n v="-802513.6000000001"/>
        <n v="1399336.0400000003"/>
        <n v="-339327.33"/>
        <n v="-155685.59999999998"/>
        <n v="482794.5099999999"/>
        <n v="-402946.3400000001"/>
        <n v="2112983.14"/>
        <n v="439789.38"/>
        <n v="-1060040.22"/>
        <n v="1463515.8399999999"/>
        <n v="-1596982.8400000003"/>
        <n v="2074998.1599999997"/>
        <n v="2127999.28"/>
        <n v="-240985.67999999993"/>
        <n v="-2075027.7899999998"/>
        <n v="3819600.87"/>
        <n v="-49348.17"/>
        <n v="112516.96"/>
        <n v="-861245.63"/>
        <n v="1409754.92"/>
        <n v="-3812868.7900000005"/>
        <n v="4756179.0"/>
        <n v="-257304.62999999998"/>
        <n v="155800.34000000008"/>
        <n v="412725.28"/>
        <n v="277731.81000000006"/>
        <n v="-171284.7"/>
        <n v="246851.11000000002"/>
        <n v="26563.979999999996"/>
        <n v="-90930.23"/>
        <n v="120269.51000000002"/>
        <n v="140786.08000000002"/>
        <n v="-166145.65999999997"/>
        <n v="-84376.18999999994"/>
        <n v="-258229.05999999994"/>
        <n v="1544384.38"/>
        <n v="-696790.22"/>
        <n v="1186286.5700000003"/>
        <n v="-415230.13999999996"/>
        <n v="881606.03"/>
        <n v="936016.78"/>
        <n v="-1178093.64"/>
        <n v="432208.4800000002"/>
        <n v="612867.28"/>
        <n v="2295850.6799999997"/>
        <n v="248377.39"/>
        <n v="28454.300000000017"/>
        <n v="152238.67"/>
        <n v="-395481.98000000004"/>
        <n v="-357653.68000000005"/>
        <n v="826920.8400000001"/>
        <n v="581793.0700000001"/>
        <n v="-2320991.39"/>
        <n v="3545612.54"/>
        <n v="-69978.64000000001"/>
        <n v="1042436.36"/>
        <n v="408465.74000000005"/>
        <n v="83848.54000000004"/>
        <n v="533205.2200000001"/>
        <n v="-315331.10000000003"/>
        <n v="553423.15"/>
        <n v="439478.6"/>
        <n v="-755642.49"/>
        <n v="1681600.5499999998"/>
        <n v="476099.63"/>
        <n v="-142440.80000000002"/>
        <n v="-1070162.54"/>
        <n v="2042102.59"/>
        <n v="-1053079.44"/>
        <n v="-2846635.1799999997"/>
        <n v="5031497.25"/>
        <n v="864784.7"/>
        <n v="-264798.16000000003"/>
        <n v="174988.58999999997"/>
        <n v="-247863.93999999994"/>
        <n v="1117082.9299999997"/>
        <n v="1756205.2"/>
        <n v="-1125616.15"/>
        <n v="-511031.90000000014"/>
        <n v="1112402.9200000004"/>
        <n v="1536261.2199999997"/>
        <n v="1195181.53"/>
        <n v="-13221.530000000028"/>
        <n v="928157.9199999999"/>
        <n v="-22668.46"/>
        <n v="-628902.51"/>
        <n v="1046006.08"/>
        <n v="-274936.42000000004"/>
        <n v="8347.960000000196"/>
        <n v="1285738.4"/>
        <n v="537467.96"/>
        <n v="-3180554.02"/>
        <n v="-251455.33000000054"/>
        <n v="4505799.149999999"/>
        <n v="583054.6799999999"/>
        <n v="-544986.2100000001"/>
        <n v="785778.77"/>
        <n v="208750.06"/>
        <n v="-660922.02"/>
        <n v="-1149580.0000000002"/>
        <n v="424216.53000000026"/>
        <n v="2857048.5999999996"/>
        <n v="-4165340.8000000007"/>
        <n v="1229869.9500000002"/>
        <n v="3903356.6400000006"/>
        <n v="729465.29"/>
        <n v="851871.63"/>
        <n v="740129.8400000001"/>
        <n v="-290151.13"/>
        <n v="615129.07"/>
        <n v="622471.2"/>
        <n v="-1323540.94"/>
        <n v="-2051498.1999999997"/>
        <n v="5542634.499999999"/>
        <n v="1083224.56"/>
        <n v="323864.13"/>
        <n v="-628525.8300000001"/>
        <n v="806904.4900000001"/>
        <n v="595392.0"/>
        <n v="-574908.2000000001"/>
        <n v="-3094120.72"/>
        <n v="5125951.44"/>
        <n v="-2296196.18"/>
        <n v="2560816.23"/>
        <n v="-61108.53999999998"/>
        <n v="696643.3599999999"/>
        <n v="385361.26"/>
        <n v="-606344.1900000002"/>
        <n v="-2591475.7800000003"/>
        <n v="4845822.34"/>
        <n v="331544.72000000003"/>
        <n v="-274148.34"/>
        <n v="-3241228.46"/>
        <n v="4443210.4"/>
        <n v="491590.7199999999"/>
        <n v="-248999.08000000007"/>
        <n v="825484.96"/>
        <n v="-383317.82999999996"/>
        <n v="801117.1200000001"/>
        <n v="-96791.96000000002"/>
        <n v="352200.68000000005"/>
        <n v="272847.32"/>
        <n v="-278825.15"/>
        <n v="-53181.31999999995"/>
        <n v="750339.9199999999"/>
        <n v="15324.64"/>
        <n v="-41123.14"/>
        <n v="16272.440000000017"/>
        <n v="-43001.26000000001"/>
        <n v="-424490.45"/>
        <n v="1187149.46"/>
        <n v="39418.84"/>
        <n v="89803.32000000004"/>
        <n v="-1068636.5999999999"/>
        <n v="1534146.7799999998"/>
        <n v="-1000268.2700000001"/>
        <n v="1594186.2300000004"/>
        <n v="-1422367.3299999996"/>
        <n v="3654276.5"/>
        <n v="25948.99000000005"/>
        <n v="-811419.8600000001"/>
        <n v="1933889.37"/>
        <n v="-1928538.65"/>
        <n v="3092653.28"/>
        <n v="-4092389.6000000006"/>
        <n v="5470711.82"/>
        <n v="-1721655.1099999999"/>
        <n v="3508672.7199999997"/>
        <n v="-1982534.7200000002"/>
        <n v="2933607.6"/>
        <n v="-3068047.5600000005"/>
        <n v="3601027.0400000005"/>
        <n v="-230702.96999999997"/>
        <n v="168851.33999999997"/>
        <n v="654674.64"/>
        <n v="311159.19"/>
        <n v="-297957.3300000001"/>
        <n v="592243.4099999999"/>
        <n v="208835.55"/>
        <n v="-4007019.68"/>
        <n v="4709308.550000001"/>
        <n v="-647530.8799999999"/>
        <n v="-1758080.6099999999"/>
        <n v="3779929.09"/>
        <n v="174793.59999999998"/>
        <n v="-678970.4599999998"/>
        <n v="1468168.51"/>
        <n v="365135.23000000004"/>
        <n v="-3568219.95"/>
        <n v="4078476.18"/>
        <n v="-1581989.2000000002"/>
        <n v="2632010.6399999997"/>
        <n v="-6760.02"/>
        <n v="-191729.31"/>
        <n v="150044.81000000003"/>
        <n v="678448.1599999999"/>
        <n v="-419249.61999999994"/>
        <n v="298059.7"/>
        <n v="-4155027.97"/>
        <n v="5597515.63"/>
        <n v="-1379104.88"/>
        <n v="3519402.88"/>
        <n v="-3758426.4000000004"/>
        <n v="5605213.48"/>
        <n v="-65859.37"/>
        <n v="-3806034.89"/>
        <n v="1265957.4900000002"/>
        <n v="4216583.97"/>
        <n v="1482948.9300000002"/>
        <n v="80449.37"/>
        <n v="-4644367.0600000005"/>
        <n v="5686324.07"/>
        <n v="-13419.120000000024"/>
        <n v="-42555.70999999999"/>
        <n v="196429.38000000003"/>
        <n v="-265637.0899999999"/>
        <n v="889936.7599999999"/>
        <n v="92857.05"/>
        <n v="-56287.28"/>
        <n v="-141999.0"/>
        <n v="-801963.7399999999"/>
        <n v="-2675411.6"/>
        <n v="5248897.08"/>
        <n v="767817.78"/>
        <n v="23656.32"/>
        <n v="-1145.4400000000005"/>
        <n v="-2538987.0"/>
        <n v="2668187.4799999995"/>
        <n v="591221.92"/>
        <n v="359819.10000000003"/>
        <n v="278808.60000000003"/>
        <n v="-4896461.48"/>
        <n v="5984317.92"/>
        <n v="-1139397.44"/>
        <n v="-422512.11000000034"/>
        <n v="2783273.8500000006"/>
        <n v="-1029022.1199999999"/>
        <n v="1951033.7599999998"/>
        <n v="-970061.28"/>
        <n v="2721107.3200000003"/>
        <n v="-283244.04000000004"/>
        <n v="429199.93"/>
        <n v="-260631.90000000002"/>
        <n v="-496314.29999999993"/>
        <n v="1970501.32"/>
        <n v="-2586881.3200000003"/>
        <n v="3618118.77"/>
        <n v="-422115.84"/>
        <n v="626922.7600000001"/>
        <n v="-203107.43"/>
        <n v="168029.12"/>
        <n v="485445.42000000004"/>
        <n v="-1589401.79"/>
        <n v="799248.2999999998"/>
        <n v="2464774.4699999997"/>
        <n v="-1346025.83"/>
        <n v="4216823.0"/>
        <n v="-451195.88"/>
        <n v="966771.6400000001"/>
        <n v="-546919.83"/>
        <n v="232525.09000000003"/>
        <n v="409240.66999999987"/>
        <n v="157198.33000000002"/>
        <n v="464533.36"/>
        <n v="-221031.09999999998"/>
        <n v="1252168.5599999998"/>
        <n v="-85366.83000000002"/>
        <n v="-1227317.04"/>
        <n v="2121591.2800000003"/>
        <n v="-48124.899999999965"/>
        <n v="-165596.28000000003"/>
        <n v="1462604.5599999998"/>
        <n v="139641.96000000002"/>
        <n v="-382307.74999999994"/>
        <n v="544677.7000000001"/>
        <n v="1158140.07"/>
        <n v="-529888.69"/>
        <n v="-1088785.0099999998"/>
        <n v="2343015.7199999997"/>
        <n v="1114097.95"/>
        <n v="272469.02"/>
        <n v="-977977.99"/>
        <n v="-2956121.840000001"/>
        <n v="5536271.950000001"/>
        <n v="-2477067.03"/>
        <n v="1578181.2799999998"/>
        <n v="3568554.76"/>
        <n v="-276926.3"/>
        <n v="146414.81"/>
        <n v="429992.12"/>
        <n v="-933108.6799999999"/>
        <n v="1262435.08"/>
        <n v="526015.2000000001"/>
        <n v="-1390178.0699999998"/>
        <n v="1752186.8800000001"/>
        <n v="789840.69"/>
        <n v="60233.779999999984"/>
        <n v="-1960549.57"/>
        <n v="3789454.6799999997"/>
        <n v="-243048.33000000002"/>
        <n v="-820625.1399999999"/>
        <n v="1697815.1700000002"/>
        <n v="626185.6100000001"/>
        <n v="-308753.04000000004"/>
        <n v="-348811.92000000004"/>
        <n v="1175666.0899999999"/>
        <n v="-935618.7899999999"/>
        <n v="2362409.8000000003"/>
        <n v="14399.91000000001"/>
        <n v="-83728.83999999997"/>
        <n v="-1164605.8599999999"/>
        <n v="1852692.3699999999"/>
        <n v="-146754.78000000003"/>
        <n v="259661.89"/>
        <n v="18144.06"/>
        <n v="-2374709.94"/>
        <n v="3899696.4"/>
        <n v="-197585.72999999998"/>
        <n v="266347.51"/>
        <n v="-836299.8499999999"/>
        <n v="1476854.85"/>
        <n v="236409.45000000004"/>
        <n v="-2901609.22"/>
        <n v="2037897.6000000006"/>
        <n v="2139608.96"/>
        <n v="-706429.7399999999"/>
        <n v="1846697.02"/>
        <n v="-446265.78"/>
        <n v="1400658.0499999998"/>
        <n v="-2873584.31"/>
        <n v="3812750.73"/>
        <n v="-822041.49"/>
        <n v="1537696.2599999998"/>
        <n v="-1115481.1999999997"/>
        <n v="2896230.84"/>
        <n v="-1607381.2799999998"/>
        <n v="2252449.44"/>
        <n v="156803.80000000005"/>
        <n v="-2415704.4800000004"/>
        <n v="4635235.36"/>
        <n v="-1579399.4499999997"/>
        <n v="3769748.26"/>
        <n v="202351.65999999997"/>
        <n v="623503.58"/>
        <n v="-2348000.94"/>
        <n v="1612981.1800000002"/>
        <n v="-681167.3600000003"/>
        <n v="5844744.57"/>
        <n v="-2630210.3400000003"/>
        <n v="3096924.18"/>
        <n v="-1747897.0600000003"/>
        <n v="39632.5700000003"/>
        <n v="3985975.9"/>
        <n v="-1174751.8099999998"/>
        <n v="1042143.69"/>
        <n v="-253964.30999999994"/>
        <n v="1483159.76"/>
        <n v="-14098.079999999958"/>
        <n v="-2245552.94"/>
        <n v="2467319.54"/>
        <n v="1742063.8299999998"/>
        <n v="337424.3"/>
        <n v="-410701.86"/>
        <n v="518000.56"/>
        <n v="-416301.20999999996"/>
        <n v="335832.5599999998"/>
        <n v="1696981.11"/>
        <n v="177157.02000000002"/>
        <n v="-16320.359999999997"/>
        <n v="-434387.61000000004"/>
        <n v="520726.73"/>
        <n v="-1082783.83"/>
        <n v="1836425.31"/>
        <n v="-255700.57000000004"/>
        <n v="491651.43999999994"/>
        <n v="310259.3700000001"/>
        <n v="591012.5499999999"/>
        <n v="-28953.49000000005"/>
        <n v="556307.76"/>
        <n v="132051.2"/>
        <n v="618928.36"/>
        <n v="-131679.03999999998"/>
        <n v="18051.400000000023"/>
        <n v="-25303.899999999907"/>
        <n v="2102176.97"/>
        <n v="235434.64999999994"/>
        <n v="165018.22"/>
        <n v="-1564322.4899999998"/>
        <n v="1558151.94"/>
        <n v="-2841033.62"/>
        <n v="3960987.9299999997"/>
        <n v="2179470.33"/>
        <n v="1038753.16"/>
        <n v="-247007.94000000003"/>
        <n v="566976.66"/>
        <n v="-152716.13"/>
        <n v="479162.08"/>
        <n v="-2200591.29"/>
        <n v="3750505.86"/>
        <n v="-76295.10000000003"/>
        <n v="202383.14"/>
        <n v="920540.5499999999"/>
        <n v="-2870224.1799999997"/>
        <n v="3725020.5699999994"/>
        <n v="-216934.33999999997"/>
        <n v="1244522.0"/>
        <n v="1052358.7999999998"/>
        <n v="-134502.66"/>
        <n v="-28863.920000000042"/>
        <n v="394660.74000000005"/>
        <n v="58638.75"/>
        <n v="950038.44"/>
        <n v="-975935.9500000001"/>
        <n v="468144.05000000016"/>
        <n v="-1267663.97"/>
        <n v="3748171.19"/>
        <n v="-235994.33999999997"/>
        <n v="1176973.86"/>
        <n v="146401.46000000002"/>
        <n v="-114015.05000000005"/>
        <n v="602557.95"/>
        <n v="-294278.27999999997"/>
        <n v="-962365.1200000002"/>
        <n v="1792799.75"/>
        <n v="772323.7599999999"/>
        <n v="102678.56000000006"/>
        <n v="737269.7499999999"/>
        <n v="504390.93000000005"/>
        <n v="-55928.25"/>
        <n v="204766.69"/>
        <n v="-146333.19000000003"/>
        <n v="625312.88"/>
        <n v="-450629.22000000003"/>
        <n v="-3129248.96"/>
        <n v="5132267.8"/>
        <n v="-78172.67"/>
        <n v="159308.24"/>
        <n v="-181591.43000000005"/>
        <n v="434033.9"/>
        <n v="521385.25000000006"/>
        <n v="-235195.17999999996"/>
        <n v="-651026.7699999998"/>
        <n v="1164699.8900000001"/>
        <n v="-136334.46000000008"/>
        <n v="1184559.78"/>
        <n v="893160.12"/>
        <n v="-598144.02"/>
        <n v="409027.52000000014"/>
        <n v="212651.81999999995"/>
        <n v="1097182.63"/>
        <n v="627685.74"/>
        <n v="-471194.93999999994"/>
        <n v="-153692.28000000003"/>
        <n v="2033322.2400000002"/>
        <n v="476439.9600000001"/>
        <n v="-478600.77"/>
        <n v="454114.23999999993"/>
        <n v="387013.27999999997"/>
        <n v="484300.67000000004"/>
        <n v="-2260114.1300000004"/>
        <n v="2969892.99"/>
        <n v="-4618812.7700000005"/>
        <n v="3780744.0500000007"/>
        <n v="2319503.2"/>
        <n v="208965.61999999994"/>
        <n v="-223678.8600000001"/>
        <n v="1194797.96"/>
        <n v="-134628.25"/>
        <n v="-819192.8899999999"/>
        <n v="1584190.72"/>
        <n v="-389942.2799999999"/>
        <n v="764737.12"/>
        <n v="522811.9"/>
        <n v="-169159.06"/>
        <n v="-768256.7699999998"/>
        <n v="-379470.7799999998"/>
        <n v="-687404.1400000001"/>
        <n v="2695271.65"/>
        <n v="2256983.61"/>
        <n v="485691.36"/>
        <n v="301615.2"/>
        <n v="-155207.94999999998"/>
        <n v="-180086.92999999993"/>
        <n v="-3228449.72"/>
        <n v="4494883.890000001"/>
        <n v="426505.6800000001"/>
        <n v="424560.42000000004"/>
        <n v="196524.27999999997"/>
        <n v="871925.55"/>
        <n v="-11332.52999999997"/>
        <n v="-3155721.24"/>
        <n v="4024568.1700000004"/>
        <n v="-497792.25999999995"/>
        <n v="1047840.1599999999"/>
        <n v="274459.20000000007"/>
        <n v="167274.25000000003"/>
        <n v="91976.24"/>
        <n v="-2790019.64"/>
        <n v="2708504.3099999996"/>
        <n v="74217.78000000003"/>
        <n v="569459.31"/>
        <n v="278381.03"/>
        <n v="-88498.07999999999"/>
        <n v="-507744.14"/>
        <n v="1646720.7199999997"/>
        <n v="-79831.01999999999"/>
        <n v="-942133.5"/>
        <n v="1372705.44"/>
        <n v="940015.34"/>
        <n v="-719643.4199999999"/>
        <n v="206586.34000000008"/>
        <n v="-439582.00000000023"/>
        <n v="2361862.55"/>
        <n v="-1310369.86"/>
        <n v="3161679.96"/>
        <n v="-390548.24"/>
        <n v="729772.88"/>
        <n v="868126.84"/>
        <n v="-54924.020000000004"/>
        <n v="-1623451.0799999998"/>
        <n v="1215067.56"/>
        <n v="249557.81000000006"/>
        <n v="269880.09999999986"/>
        <n v="1568158.4400000002"/>
        <n v="1652725.52"/>
        <n v="-72341.22"/>
        <n v="150813.15"/>
        <n v="-402771.22000000003"/>
        <n v="480214.61"/>
        <n v="-2314412.2700000005"/>
        <n v="1317062.1400000001"/>
        <n v="1081000.45"/>
        <n v="-1571589.6899999997"/>
        <n v="2738491.8600000003"/>
        <n v="1865473.6400000001"/>
        <n v="24080.370000000003"/>
        <n v="-23011.11999999998"/>
        <n v="-201237.79"/>
        <n v="-2486445.55"/>
        <n v="3233039.99"/>
        <n v="471197.07"/>
        <n v="846449.62"/>
        <n v="-50464.28999999999"/>
        <n v="-360415.91000000003"/>
        <n v="463414.84"/>
        <n v="-505372.07999999996"/>
        <n v="-2517920.16"/>
        <n v="4835497.38"/>
        <n v="774254.18"/>
        <n v="-1621230.22"/>
        <n v="883933.54"/>
        <n v="1748261.13"/>
        <n v="-238727.35"/>
        <n v="12572.600000000093"/>
        <n v="1193550.72"/>
        <n v="118706.48000000001"/>
        <n v="-224105.87999999998"/>
        <n v="359596.32"/>
        <n v="-665.1599999999962"/>
        <n v="-161112.05000000002"/>
        <n v="405037.27999999997"/>
        <n v="-162572.88"/>
        <n v="728824.07"/>
        <n v="13828.149999999994"/>
        <n v="-686144.55"/>
        <n v="1214600.87"/>
        <n v="377556.57999999996"/>
        <n v="-252202.07000000004"/>
        <n v="-303761.73"/>
        <n v="1558487.1199999999"/>
        <n v="-712269.12"/>
        <n v="332219.2799999999"/>
        <n v="1231111.48"/>
        <n v="-1120973.5599999998"/>
        <n v="2170955.7199999997"/>
        <n v="-3207443.08"/>
        <n v="3387862.4499999997"/>
        <n v="-4422738.36"/>
        <n v="6316307.760000001"/>
        <n v="-312328.47"/>
        <n v="-1959622.98"/>
        <n v="3770897.73"/>
        <n v="524677.98"/>
        <n v="-10272.09"/>
        <n v="-185473.2"/>
        <n v="-158478.35999999993"/>
        <n v="91783.08000000007"/>
        <n v="-2332922.52"/>
        <n v="4445814.99"/>
        <n v="575574.78"/>
        <n v="-373622.43"/>
        <n v="1098847.66"/>
        <n v="-95546.09000000001"/>
        <n v="-204132.86"/>
        <n v="323678.7199999999"/>
        <n v="-997125.56"/>
        <n v="-64983.03000000003"/>
        <n v="290531.6200000001"/>
        <n v="3123702.54"/>
        <n v="507318.89"/>
        <n v="-486527.45"/>
        <n v="570520.23"/>
        <n v="332529.12"/>
        <n v="-322447.19999999995"/>
        <n v="1279429.9000000001"/>
        <n v="-129897.28000000003"/>
        <n v="603345.6900000001"/>
        <n v="333600.85"/>
        <n v="6998.360000000015"/>
        <n v="319105.54000000004"/>
        <n v="-3011812.74"/>
        <n v="280112.3300000001"/>
        <n v="3771450.05"/>
        <n v="-1412268.18"/>
        <n v="2781893.73"/>
        <n v="-1477191.3599999999"/>
        <n v="2232722.31"/>
        <n v="-1660116.7499999998"/>
        <n v="3099958.4699999997"/>
        <n v="-359568.64"/>
        <n v="-2366879.27"/>
        <n v="2397289.1199999996"/>
        <n v="54753.85000000009"/>
        <n v="1767207.98"/>
        <n v="-855034.38"/>
        <n v="440257.26000000024"/>
        <n v="1040486.5799999998"/>
        <n v="-221100.0"/>
        <n v="285854.10000000003"/>
        <n v="534472.6399999999"/>
        <n v="-3937062.08"/>
        <n v="2909529.98"/>
        <n v="3094797.9000000004"/>
        <n v="1089385.84"/>
        <n v="365886.7199999999"/>
        <n v="352742.5099999999"/>
        <n v="738616.78"/>
        <n v="31592.74000000005"/>
        <n v="340761.49000000005"/>
        <n v="414456.77"/>
        <n v="-1569798.3900000001"/>
        <n v="847178.4600000002"/>
        <n v="1038688.0"/>
        <n v="-962281.6699999997"/>
        <n v="3830014.32"/>
        <n v="812453.16"/>
        <n v="-284781.27"/>
        <n v="126388.91000000003"/>
        <n v="191300.31"/>
        <n v="257525.31000000003"/>
        <n v="-296512.62"/>
        <n v="-1777625.0899999999"/>
        <n v="1145078.83"/>
        <n v="-1293611.5200000005"/>
        <n v="4521365.73"/>
        <n v="1351758.61"/>
        <n v="-54216.73"/>
        <n v="-178566.60000000003"/>
        <n v="372662.04000000004"/>
        <n v="144323.44"/>
        <n v="198834.71999999997"/>
        <n v="-1822595.7199999997"/>
        <n v="3320844.7399999998"/>
        <n v="-708289.0299999999"/>
        <n v="-1606152.33"/>
        <n v="2669155.32"/>
        <n v="673066.39"/>
        <n v="-1965814.7899999998"/>
        <n v="2554456.38"/>
        <n v="-1431233.0300000003"/>
        <n v="2029447.9"/>
        <n v="177568.36000000002"/>
        <n v="235098.17999999996"/>
        <n v="214920.68000000005"/>
        <n v="-499180.52999999997"/>
        <n v="-844927.3599999999"/>
        <n v="-92098.01000000024"/>
        <n v="-716944.02"/>
        <n v="3436739.5500000003"/>
        <n v="1406745.0599999998"/>
        <n v="729627.74"/>
        <n v="-1703184.31"/>
        <n v="2774435.9299999997"/>
        <n v="1227489.81"/>
        <n v="3814.320000000065"/>
        <n v="715383.46"/>
        <n v="-153198.20999999996"/>
        <n v="155471.42000000004"/>
        <n v="267495.25"/>
        <n v="8772.069999999949"/>
        <n v="476973.20999999996"/>
        <n v="413282.82"/>
        <n v="-438138.32"/>
        <n v="102286.44000000006"/>
        <n v="735956.4900000001"/>
        <n v="55036.06"/>
        <n v="-153438.95"/>
        <n v="298061.25"/>
        <n v="-2348985.58"/>
        <n v="3152736.8"/>
        <n v="851582.15"/>
        <n v="-204020.8999999999"/>
        <n v="-950698.7600000002"/>
        <n v="3544347.13"/>
        <n v="-3908981.85"/>
        <n v="4938779.1899999995"/>
        <n v="447793.1500000001"/>
        <n v="135644.97999999986"/>
        <n v="447578.21"/>
        <n v="273568.24"/>
        <n v="-3021880.04"/>
        <n v="1398260.7600000002"/>
        <n v="3842386.1700000004"/>
        <n v="-1819550.1"/>
        <n v="4030033.15"/>
        <n v="-2412564.86"/>
        <n v="3020435.17"/>
        <n v="-448513.26"/>
        <n v="869868.78"/>
        <n v="-1056609.42"/>
        <n v="1175089.98"/>
        <n v="937364.71"/>
        <n v="105899.96999999999"/>
        <n v="-2633045.1700000004"/>
        <n v="2714697.93"/>
        <n v="384516.0"/>
        <n v="-284856.3800000001"/>
        <n v="3766.8599999998696"/>
        <n v="-126292.63999999966"/>
        <n v="2962331.2"/>
        <n v="308062.80000000005"/>
        <n v="385880.0800000001"/>
        <n v="152731.75"/>
        <n v="-4557025.640000001"/>
        <n v="6076076.44"/>
        <n v="202321.88"/>
        <n v="158034.44"/>
        <n v="23404.149999999965"/>
        <n v="255522.84000000003"/>
        <n v="501785.45000000007"/>
        <n v="-894948.97"/>
        <n v="1041699.58"/>
        <n v="660619.2000000001"/>
        <n v="627025.3500000001"/>
        <n v="-121572.33000000002"/>
        <n v="-356141.36"/>
        <n v="1131594.27"/>
        <n v="249022.84000000008"/>
        <n v="-86490.54999999993"/>
        <n v="-1230555.0"/>
        <n v="1106007.42"/>
        <n v="1401896.1600000001"/>
        <n v="701609.2800000001"/>
        <n v="160298.78000000003"/>
        <n v="61546.95000000001"/>
        <n v="-166.24999999999272"/>
        <n v="37530.01"/>
        <n v="-55171.41999999999"/>
        <n v="61917.96000000002"/>
        <n v="255968.40000000002"/>
        <n v="-1459574.1"/>
        <n v="629562.5899999999"/>
        <n v="1356460.9800000002"/>
        <n v="-201565.22999999998"/>
        <n v="-177828.73999999987"/>
        <n v="1001155.08"/>
        <n v="170591.61000000002"/>
        <n v="-250822.68000000002"/>
        <n v="-667174.8699999999"/>
        <n v="1594244.5599999998"/>
        <n v="-3385666.84"/>
        <n v="4923654.9799999995"/>
        <n v="-458075.86"/>
        <n v="814317.92"/>
        <n v="-2662368.42"/>
        <n v="2468655.54"/>
        <n v="900170.6400000001"/>
        <n v="-1975472.6"/>
        <n v="3534439.0"/>
        <n v="64323.29000000001"/>
        <n v="-382849.30000000005"/>
        <n v="302996.92000000004"/>
        <n v="-1493861.38"/>
        <n v="-460048.6200000001"/>
        <n v="402012.81000000006"/>
        <n v="4870163.43"/>
        <n v="342544.52"/>
        <n v="-3842671.5300000003"/>
        <n v="3626378.1100000003"/>
        <n v="751384.6000000001"/>
        <n v="988892.3199999998"/>
        <n v="-133582.72000000003"/>
        <n v="61215.79000000004"/>
        <n v="1669823.8699999999"/>
        <n v="55709.38000000002"/>
        <n v="-1051659.71"/>
        <n v="786269.6399999999"/>
        <n v="-1465323.5099999998"/>
        <n v="2782044.7199999997"/>
        <n v="45422.740000000005"/>
        <n v="-461528.69999999995"/>
        <n v="38275.20000000007"/>
        <n v="328602.33999999997"/>
        <n v="-1019653.5499999998"/>
        <n v="2036279.59"/>
        <n v="814278.9199999999"/>
        <n v="260598.53"/>
        <n v="-152218.29"/>
        <n v="668881.12"/>
        <n v="-178753.5"/>
        <n v="223159.58"/>
        <n v="-171992.02000000002"/>
        <n v="65628.00999999995"/>
        <n v="288700.7"/>
        <n v="-1345454.2099999997"/>
        <n v="1590424.5999999999"/>
        <n v="2290589.6599999997"/>
        <n v="-655888.39"/>
        <n v="1256313.77"/>
        <n v="35195.57"/>
        <n v="22502.980000000003"/>
        <n v="-51214.25"/>
        <n v="-913617.74"/>
        <n v="-1377319.6000000003"/>
        <n v="3812710.72"/>
        <n v="-2123468.16"/>
        <n v="2396290.7"/>
        <n v="257336.49000000005"/>
        <n v="-1666353.8299999998"/>
        <n v="803273.5799999998"/>
        <n v="1433663.75"/>
        <n v="-190414.98000000004"/>
        <n v="-3865193.940000001"/>
        <n v="4732271.840000001"/>
        <n v="526252.29"/>
        <n v="-607091.38"/>
        <n v="1044771.7"/>
        <n v="145696.49"/>
        <n v="-376097.5099999999"/>
        <n v="953749.9199999999"/>
        <n v="276653.9199999999"/>
        <n v="677215.3700000001"/>
        <n v="-209678.12"/>
        <n v="-321197.1199999999"/>
        <n v="1921893.43"/>
        <n v="-282246.05999999994"/>
        <n v="1598748.5599999998"/>
        <n v="250571.52000000002"/>
        <n v="-210762.18"/>
        <n v="231519.54"/>
        <n v="-2562578.9800000004"/>
        <n v="2648867.3400000003"/>
        <n v="-144273.56000000006"/>
        <n v="1312021.7"/>
        <n v="1024877.7799999999"/>
        <n v="-3846377.93"/>
        <n v="510196.3499999996"/>
        <n v="942903.5800000001"/>
        <n v="6365891.569999999"/>
        <n v="166536.87999999998"/>
        <n v="-3882.24"/>
        <n v="-1389860.37"/>
        <n v="-1647307.5599999998"/>
        <n v="3725569.3"/>
        <n v="29922.300000000003"/>
        <n v="-3030323.8"/>
        <n v="3470979.88"/>
        <n v="890445.8200000001"/>
        <n v="-377558.7799999999"/>
        <n v="1070882.27"/>
        <n v="-2601844.0100000002"/>
        <n v="3308911.2399999998"/>
        <n v="-960599.94"/>
        <n v="943951.74"/>
        <n v="783915.96"/>
        <n v="-2508007.04"/>
        <n v="3029670.72"/>
        <n v="423582.92000000004"/>
        <n v="1610892.58"/>
        <n v="-321400.13"/>
        <n v="-336713.66000000003"/>
        <n v="1249158.8399999999"/>
        <n v="246948.86"/>
        <n v="-537261.5800000001"/>
        <n v="-997774.81"/>
        <n v="2447368.7299999995"/>
        <n v="-128698.92999999996"/>
        <n v="207811.6"/>
        <n v="-474493.9799999999"/>
        <n v="1076526.6400000001"/>
        <n v="-737039.21"/>
        <n v="-1256960.1400000001"/>
        <n v="3958167.56"/>
        <n v="-298134.68"/>
        <n v="-270002.83999999997"/>
        <n v="970231.3599999999"/>
        <n v="198610.5"/>
        <n v="-102877.62000000005"/>
        <n v="489802.7799999999"/>
        <n v="197522.63999999996"/>
        <n v="-2279223.74"/>
        <n v="3360645.1999999997"/>
        <n v="-1833551.9200000002"/>
        <n v="1932515.69"/>
        <n v="123575.45999999973"/>
        <n v="1005717.1499999999"/>
        <n v="1111732.2000000002"/>
        <n v="-661549.1999999997"/>
        <n v="3525256.95"/>
        <n v="-104.5800000000745"/>
        <n v="-2954744.840000001"/>
        <n v="5791749.350000001"/>
        <n v="-3142287.6"/>
        <n v="3436630.26"/>
        <n v="424903.44999999995"/>
        <n v="528012.2999999999"/>
        <n v="-131184.94"/>
        <n v="581519.0499999999"/>
        <n v="-3683427.6900000004"/>
        <n v="4327403.96"/>
        <n v="967664.4400000001"/>
        <n v="393691.16000000003"/>
        <n v="-2508286.8"/>
        <n v="3225078.78"/>
        <n v="-4258839.4399999995"/>
        <n v="6100074.26"/>
        <n v="-43533.28999999999"/>
        <n v="34267.579999999994"/>
        <n v="-4349139.66"/>
        <n v="5545736.14"/>
        <n v="632322.24"/>
        <n v="993054.17"/>
        <n v="-2099776.27"/>
        <n v="2651604.04"/>
        <n v="572773.72"/>
        <n v="-274968.5999999999"/>
        <n v="205313.03999999992"/>
        <n v="1330434.96"/>
        <n v="4174.5"/>
        <n v="-85940.85"/>
        <n v="-1752169.62"/>
        <n v="-968734.4000000004"/>
        <n v="4184055.3300000005"/>
        <n v="319988.36"/>
        <n v="-462478.17"/>
        <n v="-69925.59999999998"/>
        <n v="1266351.22"/>
        <n v="-311623.77"/>
        <n v="-233340.53999999992"/>
        <n v="-1291128.2800000003"/>
        <n v="3392829.4499999997"/>
        <n v="-689883.6299999999"/>
        <n v="-1188793.2799999998"/>
        <n v="2623843.11"/>
        <n v="-1871477.19"/>
        <n v="2405081.86"/>
        <n v="153485.51"/>
        <n v="-1330971.9200000004"/>
        <n v="1759767.2800000007"/>
        <n v="2951161.8800000004"/>
        <n v="-2923647.29"/>
        <n v="3280063.92"/>
        <n v="146553.15999999997"/>
        <n v="-4818392.960000001"/>
        <n v="6369829.300000001"/>
        <n v="-4174369.46"/>
        <n v="5606298.2"/>
        <n v="108224.54000000001"/>
        <n v="253715.13999999996"/>
        <n v="-505789.01999999996"/>
        <n v="-1159743.8199999998"/>
        <n v="2055865.9299999997"/>
        <n v="287223.81999999995"/>
        <n v="299026.83"/>
        <n v="152681.25"/>
        <n v="-480795.97999999986"/>
        <n v="417709.5399999999"/>
        <n v="750343.8799999999"/>
        <n v="178594.65000000002"/>
        <n v="794025.22"/>
        <n v="39794.95000000007"/>
        <n v="666431.9199999999"/>
        <n v="764038.4200000002"/>
        <n v="-3081612.3600000003"/>
        <n v="4632575.220000001"/>
        <n v="-109636.38"/>
        <n v="1086310.52"/>
        <n v="-12897.57"/>
        <n v="-608364.72"/>
        <n v="1062993.76"/>
        <n v="13519.239999999998"/>
        <n v="-680239.4900000001"/>
        <n v="681797.79"/>
        <n v="197263.82"/>
        <n v="-417564.63999999996"/>
        <n v="1420094.0400000003"/>
        <n v="-1092065.38"/>
        <n v="1247089.54"/>
        <n v="-4690469.05"/>
        <n v="5408423.22"/>
        <n v="63700.779999999795"/>
        <n v="561401.0000000002"/>
        <n v="1322529.2899999998"/>
        <n v="152119.93000000005"/>
        <n v="177639.31"/>
        <n v="532578.42"/>
        <n v="209362.26"/>
        <n v="-1876880.2800000003"/>
        <n v="-1909091.2400000007"/>
        <n v="5293571.92"/>
        <n v="522634.2199999999"/>
        <n v="-2144058.94"/>
        <n v="3836091.52"/>
        <n v="370593.58"/>
        <n v="-1712630.7800000003"/>
        <n v="2240896.2"/>
        <n v="-71185.67000000004"/>
        <n v="178488.64000000007"/>
        <n v="150138.93000000005"/>
        <n v="9606.020000000019"/>
        <n v="970444.23"/>
        <n v="544326.0800000001"/>
        <n v="86068.62"/>
        <n v="-1830158.19"/>
        <n v="3377069.12"/>
        <n v="39510.50000000001"/>
        <n v="-128317.55999999997"/>
        <n v="64051.98000000001"/>
        <n v="-4855149.2"/>
        <n v="5970476.82"/>
        <n v="-105327.14000000001"/>
        <n v="64928.55000000005"/>
        <n v="1533806.16"/>
        <n v="-1728914.62"/>
        <n v="3098126.7800000003"/>
        <n v="-677517.74"/>
        <n v="231394.38"/>
        <n v="35015.76000000001"/>
        <n v="-1422117.18"/>
        <n v="3592844.77"/>
        <n v="-89934.60999999993"/>
        <n v="365354.1300000001"/>
        <n v="130601.66000000009"/>
        <n v="600480.8"/>
        <n v="-710383.7799999999"/>
        <n v="1126658.93"/>
        <n v="-1458231.6400000001"/>
        <n v="2258752.77"/>
        <n v="-2056677.29"/>
        <n v="2588958.84"/>
        <n v="333709.11"/>
        <n v="-54368.18999999997"/>
        <n v="84588.13"/>
        <n v="-834230.1200000001"/>
        <n v="1293837.3"/>
        <n v="-528088.9800000001"/>
        <n v="1155670.7399999998"/>
        <n v="-74407.06000000001"/>
        <n v="-1659137.3399999999"/>
        <n v="2407076.9699999997"/>
        <n v="606437.58"/>
        <n v="-503523.95999999996"/>
        <n v="1856941.22"/>
        <n v="-792985.74"/>
        <n v="914774.2599999999"/>
        <n v="1064725.83"/>
        <n v="-169741.07999999996"/>
        <n v="950042.6"/>
        <n v="-420654.68999999994"/>
        <n v="-2479357.2199999997"/>
        <n v="1982337.94"/>
        <n v="2933972.9599999995"/>
        <n v="-407902.35000000003"/>
        <n v="623580.21"/>
        <n v="337851.30000000005"/>
        <n v="-2275383.12"/>
        <n v="2316764.9200000004"/>
        <n v="624340.96"/>
        <n v="-1184272.97"/>
        <n v="-3117247.45"/>
        <n v="6077550.15"/>
        <n v="-534312.0"/>
        <n v="1802493.0"/>
        <n v="-1253744.33"/>
        <n v="1721148.4"/>
        <n v="-1184063.71"/>
        <n v="62831.10000000009"/>
        <n v="2128677.7600000002"/>
        <n v="-269220.0"/>
        <n v="1191022.89"/>
        <n v="2290337.7600000002"/>
        <n v="-777013.84"/>
        <n v="1261487.44"/>
        <n v="-35798.729999999996"/>
        <n v="-3526524.62"/>
        <n v="4936385.369999999"/>
        <n v="-1179665.15"/>
        <n v="399907.32000000007"/>
        <n v="-730747.9400000004"/>
        <n v="3792025.1"/>
        <n v="-598279.01"/>
        <n v="897754.8899999999"/>
        <n v="284359.13"/>
        <n v="518662.52999999997"/>
        <n v="-2012684.19"/>
        <n v="2369160.87"/>
        <n v="1349695.9000000001"/>
        <n v="-238942.05"/>
        <n v="-904001.1899999998"/>
        <n v="-616569.3700000001"/>
        <n v="1581942.85"/>
        <n v="1636237.93"/>
        <n v="539627.28"/>
        <n v="-3025534.54"/>
        <n v="2925292.0199999996"/>
        <n v="-274709.67000000016"/>
        <n v="1240838.47"/>
        <n v="835476.3"/>
        <n v="-1422159.8399999999"/>
        <n v="2231188.6799999997"/>
        <n v="-26006.919999999984"/>
        <n v="315590.63"/>
        <n v="96388.73000000001"/>
        <n v="-5077102.36"/>
        <n v="2770545.87"/>
        <n v="3667866.0700000003"/>
        <n v="1161966.35"/>
        <n v="-1366766.57"/>
        <n v="1374914.37"/>
        <n v="-282589.9199999999"/>
        <n v="1318588.85"/>
        <n v="-3955747.47"/>
        <n v="4618761.32"/>
        <n v="-3204286.1799999997"/>
        <n v="2503320.5299999993"/>
        <n v="1948860.4499999997"/>
        <n v="-2558340.8400000003"/>
        <n v="1830231.7400000002"/>
        <n v="-268545.5100000005"/>
        <n v="2019320.8300000003"/>
        <n v="985851.0099999999"/>
        <n v="228420.32"/>
        <n v="-253012.58000000002"/>
        <n v="332747.89"/>
        <n v="-3392756.96"/>
        <n v="1690974.0199999996"/>
        <n v="3698350.34"/>
        <n v="356737.75000000006"/>
        <n v="-5211.639999999999"/>
        <n v="34301.77999999999"/>
        <n v="-2764990.52"/>
        <n v="2911392.06"/>
        <n v="413234.48000000004"/>
        <n v="9773.559999999998"/>
        <n v="176986.56"/>
        <n v="-1201981.8299999998"/>
        <n v="1894948.56"/>
        <n v="-1784685.4400000002"/>
        <n v="1754073.9300000002"/>
        <n v="-2616659.6000000006"/>
        <n v="4610445.11"/>
        <n v="-239567.39"/>
        <n v="656281.0800000001"/>
        <n v="-1880701.04"/>
        <n v="-256358.91999999993"/>
        <n v="3029257.1399999997"/>
        <n v="-4368400.8"/>
        <n v="5974300.92"/>
        <n v="261311.74000000002"/>
        <n v="-93799.18000000001"/>
        <n v="293108.24"/>
        <n v="-3631730.91"/>
        <n v="4070820.4499999993"/>
        <n v="134876.05000000005"/>
        <n v="1130332.0099999998"/>
        <n v="1019897.55"/>
        <n v="-930034.85"/>
        <n v="137960.43999999994"/>
        <n v="2301256.84"/>
        <n v="21755.960000000006"/>
        <n v="-2066622.7499999998"/>
        <n v="3280403.3699999996"/>
        <n v="-2589973.35"/>
        <n v="-34986.7900000005"/>
        <n v="4475367.569999999"/>
        <n v="-1052759.97"/>
        <n v="-2779716.1400000006"/>
        <n v="5186189.8"/>
        <n v="1606866.69"/>
        <n v="140172.83000000002"/>
        <n v="204555.83999999997"/>
        <n v="-553700.4199999999"/>
        <n v="844514.6299999999"/>
        <n v="1040818.1399999999"/>
        <n v="-1233984.2699999998"/>
        <n v="3775637.3699999996"/>
        <n v="-38532.99"/>
        <n v="-373760.04000000004"/>
        <n v="-10674.070000000065"/>
        <n v="751972.16"/>
        <n v="-492508.7199999999"/>
        <n v="-4536.14000000013"/>
        <n v="1222909.32"/>
        <n v="-173157.77000000002"/>
        <n v="-1965773.64"/>
        <n v="3041122.1999999997"/>
        <n v="285685.62"/>
        <n v="458541.66000000003"/>
        <n v="72107.08"/>
        <n v="-191850.19"/>
        <n v="82391.64000000001"/>
        <n v="18091.440000000002"/>
        <n v="228044.22000000006"/>
        <n v="-448095.1400000001"/>
        <n v="1082631.16"/>
        <n v="-2350404.3600000003"/>
        <n v="4008457.1399999997"/>
        <n v="-457763.00000000006"/>
        <n v="239940.07999999996"/>
        <n v="1057599.72"/>
        <n v="-34177.05000000005"/>
        <n v="-228383.15999999992"/>
        <n v="1663186.53"/>
        <n v="-113108.45999999996"/>
        <n v="514888.67"/>
        <n v="244988.24999999997"/>
        <n v="-1260544.7199999997"/>
        <n v="1618309.77"/>
        <n v="-1383759.65"/>
        <n v="1917732.76"/>
        <n v="-107976.87"/>
        <n v="595437.9100000001"/>
        <n v="189466.21000000002"/>
        <n v="283493.95000000007"/>
        <n v="-588197.1"/>
        <n v="826577.3800000001"/>
        <n v="759968.23"/>
        <n v="115015.92000000004"/>
        <n v="320406.05000000005"/>
        <n v="914.6999999999825"/>
        <n v="-47929.830000000016"/>
        <n v="-180767.2300000001"/>
        <n v="1107960.26"/>
        <n v="434062.68000000005"/>
        <n v="-403457.27999999997"/>
        <n v="672263.5899999999"/>
        <n v="1141380.29"/>
        <n v="-207197.37"/>
        <n v="491253.0900000001"/>
        <n v="664304.51"/>
        <n v="411486.95999999996"/>
        <n v="301703.76000000007"/>
        <n v="-2826647.46"/>
        <n v="3888170.65"/>
        <n v="-298244.31"/>
        <n v="156433.88"/>
        <n v="1123460.1500000001"/>
        <n v="168892.35"/>
        <n v="-2097765.37"/>
        <n v="2339087.7299999995"/>
        <n v="430890.63000000006"/>
        <n v="-2152669.05"/>
        <n v="3294447.84"/>
        <n v="1069995.7200000002"/>
        <n v="-3976428.24"/>
        <n v="4555136.399999999"/>
        <n v="1360092.32"/>
        <n v="-784062.5199999999"/>
        <n v="919459.11"/>
        <n v="1113762.78"/>
        <n v="-3000.209999999992"/>
        <n v="-96312.48000000001"/>
        <n v="119835.69000000003"/>
        <n v="-409110.80000000005"/>
        <n v="1343574.88"/>
        <n v="-2284037.3200000003"/>
        <n v="2630544.42"/>
        <n v="-435214.99000000005"/>
        <n v="387270.4"/>
        <n v="504725.67000000004"/>
        <n v="-1619281.4"/>
        <n v="1263490.4599999997"/>
        <n v="-1541705.61"/>
        <n v="3925949.63"/>
        <n v="-213661.18"/>
        <n v="-250141.86"/>
        <n v="1071867.63"/>
        <n v="851808.9400000002"/>
        <n v="859373.59"/>
        <n v="3684.369999999999"/>
        <n v="63097.399999999994"/>
        <n v="-612104.4"/>
        <n v="-2534040.4200000004"/>
        <n v="4312202.04"/>
        <n v="128726.10000000002"/>
        <n v="-1223863.3199999998"/>
        <n v="31228.16000000015"/>
        <n v="1636748.1"/>
        <n v="828053.5200000001"/>
        <n v="-1073301.7599999998"/>
        <n v="2981221.61"/>
        <n v="-552141.0700000001"/>
        <n v="11060.620000000112"/>
        <n v="1318530.08"/>
        <n v="-487850.99999999994"/>
        <n v="712718.3200000001"/>
        <n v="-276270.1200000001"/>
        <n v="719606.6399999999"/>
        <n v="590381.3099999999"/>
        <n v="210898.91000000003"/>
        <n v="-3031214.3800000004"/>
        <n v="4826117.51"/>
        <n v="308339.06"/>
        <n v="-133676.78000000003"/>
        <n v="-2690993.96"/>
        <n v="3789239.4999999995"/>
        <n v="738146.58"/>
        <n v="-647665.6500000001"/>
        <n v="655220.8999999999"/>
        <n v="523462.7200000001"/>
        <n v="247480.42"/>
        <n v="-120885.45999999999"/>
        <n v="154853.32000000004"/>
        <n v="-398562.38"/>
        <n v="-1851930.44"/>
        <n v="3666129.219999999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BC analysis" cacheId="0" dataCaption="" rowGrandTotals="0" compact="0" compactData="0">
  <location ref="A3:D15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share of units sol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cumulative share of units sol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share of revenu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mulative share of revenu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share of total profi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umulative share of total profi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"/>
  </rowFields>
  <colFields>
    <field x="-2"/>
  </colFields>
  <pageFields>
    <pageField fld="7"/>
  </pageFields>
  <dataFields>
    <dataField name="SUM of Units Sold" fld="16" baseField="0"/>
    <dataField name="SUM of total revenue" fld="19" baseField="0"/>
    <dataField name="SUM of total profit" fld="21" baseField="0"/>
  </dataFields>
</pivotTableDefinition>
</file>

<file path=xl/pivotTables/pivotTable2.xml><?xml version="1.0" encoding="utf-8"?>
<pivotTableDefinition xmlns="http://schemas.openxmlformats.org/spreadsheetml/2006/main" name="performance by channel" cacheId="1" dataCaption="" rowGrandTotals="0" compact="0" compactData="0">
  <location ref="A1:D3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5"/>
  </rowFields>
  <colFields>
    <field x="-2"/>
  </colFields>
  <dataFields>
    <dataField name="total revenue" fld="19" baseField="0"/>
    <dataField name="total cost" fld="20" baseField="0"/>
    <dataField name="total profit" fld="21" baseField="0"/>
  </dataFields>
</pivotTableDefinition>
</file>

<file path=xl/pivotTables/pivotTable3.xml><?xml version="1.0" encoding="utf-8"?>
<pivotTableDefinition xmlns="http://schemas.openxmlformats.org/spreadsheetml/2006/main" name="performance by category" cacheId="1" dataCaption="" rowGrandTotals="0" compact="0" compactData="0">
  <location ref="A1:E13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"/>
  </rowFields>
  <colFields>
    <field x="-2"/>
  </colFields>
  <dataFields>
    <dataField name="Units Sold by category" fld="16" baseField="0"/>
    <dataField name="total revenue by category" fld="19" baseField="0"/>
    <dataField name="total cost by category" fld="20" baseField="0"/>
    <dataField name="total profit by category" fld="21" baseField="0"/>
  </dataFields>
</pivotTableDefinition>
</file>

<file path=xl/pivotTables/pivotTable4.xml><?xml version="1.0" encoding="utf-8"?>
<pivotTableDefinition xmlns="http://schemas.openxmlformats.org/spreadsheetml/2006/main" name="performance by country" cacheId="1" dataCaption="" rowGrandTotals="0" compact="0" compactData="0">
  <location ref="A1:E46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descending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2"/>
  </rowFields>
  <colFields>
    <field x="-2"/>
  </colFields>
  <dataFields>
    <dataField name="Units Sold" fld="16" baseField="0"/>
    <dataField name="total revenue" fld="19" baseField="0"/>
    <dataField name="total cost" fld="20" baseField="0"/>
    <dataField name="total profit" fld="21" baseField="0"/>
  </dataFields>
</pivotTableDefinition>
</file>

<file path=xl/pivotTables/pivotTable5.xml><?xml version="1.0" encoding="utf-8"?>
<pivotTableDefinition xmlns="http://schemas.openxmlformats.org/spreadsheetml/2006/main" name="performance by region" cacheId="1" dataCaption="" rowGrandTotals="0" compact="0" compactData="0">
  <location ref="A1:E3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descending">
      <items>
        <item x="0"/>
        <item h="1" x="1"/>
        <item x="2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3"/>
  </rowFields>
  <colFields>
    <field x="-2"/>
  </colFields>
  <dataFields>
    <dataField name="Units Sold" fld="16" baseField="0"/>
    <dataField name="total revenue" fld="19" baseField="0"/>
    <dataField name="total cost" fld="20" baseField="0"/>
    <dataField name="total profit" fld="21" baseField="0"/>
  </dataFields>
</pivotTableDefinition>
</file>

<file path=xl/pivotTables/pivotTable6.xml><?xml version="1.0" encoding="utf-8"?>
<pivotTableDefinition xmlns="http://schemas.openxmlformats.org/spreadsheetml/2006/main" name="performance by subregion" cacheId="1" dataCaption="" rowGrandTotals="0" compact="0" compactData="0">
  <location ref="A1:D6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axis="axisRow" compact="0" outline="0" multipleItemSelectionAllowed="1" showAll="0" sortType="descending">
      <items>
        <item x="4"/>
        <item x="5"/>
        <item x="1"/>
        <item x="0"/>
        <item x="3"/>
        <item h="1" x="2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4"/>
  </rowFields>
  <colFields>
    <field x="-2"/>
  </colFields>
  <dataFields>
    <dataField name="total revenue" fld="19" baseField="0"/>
    <dataField name="total cost" fld="20" baseField="0"/>
    <dataField name=" total profit" fld="21" baseField="0"/>
  </dataFields>
</pivotTableDefinition>
</file>

<file path=xl/pivotTables/pivotTable7.xml><?xml version="1.0" encoding="utf-8"?>
<pivotTableDefinition xmlns="http://schemas.openxmlformats.org/spreadsheetml/2006/main" name="time of shipment performance" cacheId="1" dataCaption="" rowGrandTotals="0" compact="0" compactData="0">
  <location ref="A1:C13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"/>
  </rowFields>
  <colFields>
    <field x="-2"/>
  </colFields>
  <dataFields>
    <dataField name="time of shipment" fld="9" subtotal="average" baseField="0"/>
    <dataField name="total profit" fld="21" baseField="0"/>
  </dataFields>
</pivotTableDefinition>
</file>

<file path=xl/pivotTables/pivotTable8.xml><?xml version="1.0" encoding="utf-8"?>
<pivotTableDefinition xmlns="http://schemas.openxmlformats.org/spreadsheetml/2006/main" name="time of shipment performance 2" cacheId="1" dataCaption="" rowGrandTotals="0" compact="0" compactData="0">
  <location ref="E1:G46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descending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2"/>
  </rowFields>
  <colFields>
    <field x="-2"/>
  </colFields>
  <dataFields>
    <dataField name="time of shipment" fld="9" subtotal="average" baseField="0"/>
    <dataField name="total profit" fld="21" baseField="0"/>
  </dataFields>
</pivotTableDefinition>
</file>

<file path=xl/pivotTables/pivotTable9.xml><?xml version="1.0" encoding="utf-8"?>
<pivotTableDefinition xmlns="http://schemas.openxmlformats.org/spreadsheetml/2006/main" name="performance by year and month" cacheId="1" dataCaption="" rowGrandTotals="0" colGrandTotals="0" compact="0" compactData="0">
  <location ref="A1:I14" firstHeaderRow="0" firstDataRow="1" firstDataCol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axis="axisRow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"/>
  </rowFields>
  <colFields>
    <field x="7"/>
  </colFields>
  <dataFields>
    <dataField name="AVERAGE of total profit" fld="21" subtotal="average" baseField="0"/>
  </dataFields>
</pivotTableDefinition>
</file>

<file path=xl/pivotTables/pivotTable10.xml><?xml version="1.0" encoding="utf-8"?>
<pivotTableDefinition xmlns="http://schemas.openxmlformats.org/spreadsheetml/2006/main" name="performance by year and month 2" cacheId="1" dataCaption="" rowGrandTotals="0" colGrandTotals="0" compact="0" compactData="0">
  <location ref="A19:M33" firstHeaderRow="0" firstDataRow="1" firstDataCol="2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axis="axisRow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axis="axisCol" compact="0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month of order" axis="axisCol" compact="0" outline="0" multipleItemSelectionAllowed="1" showAll="0" sortType="ascending">
      <items>
        <item x="5"/>
        <item x="1"/>
        <item x="11"/>
        <item x="9"/>
        <item x="8"/>
        <item x="2"/>
        <item x="10"/>
        <item x="4"/>
        <item x="3"/>
        <item x="6"/>
        <item x="0"/>
        <item x="7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"/>
  </rowFields>
  <colFields>
    <field x="4"/>
    <field x="5"/>
  </colFields>
  <dataFields>
    <dataField name="AVERAGE of total profit" fld="21" subtotal="average" baseField="0"/>
  </dataFields>
</pivotTableDefinition>
</file>

<file path=xl/pivotTables/pivotTable11.xml><?xml version="1.0" encoding="utf-8"?>
<pivotTableDefinition xmlns="http://schemas.openxmlformats.org/spreadsheetml/2006/main" name="profit by country" cacheId="1" dataCaption="" rowGrandTotals="0" colGrandTotals="0" compact="0" compactData="0">
  <location ref="A1:I47" firstHeaderRow="0" firstDataRow="1" firstDataCol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ascending">
      <items>
        <item h="1" x="2"/>
        <item x="39"/>
        <item x="36"/>
        <item x="9"/>
        <item x="26"/>
        <item x="24"/>
        <item x="17"/>
        <item x="41"/>
        <item x="33"/>
        <item x="7"/>
        <item x="16"/>
        <item x="22"/>
        <item x="42"/>
        <item x="25"/>
        <item x="38"/>
        <item x="5"/>
        <item x="10"/>
        <item x="8"/>
        <item x="45"/>
        <item x="31"/>
        <item x="44"/>
        <item x="35"/>
        <item x="34"/>
        <item x="32"/>
        <item x="37"/>
        <item x="18"/>
        <item x="15"/>
        <item x="27"/>
        <item x="20"/>
        <item x="43"/>
        <item x="3"/>
        <item x="29"/>
        <item x="0"/>
        <item x="14"/>
        <item x="23"/>
        <item x="13"/>
        <item x="19"/>
        <item x="28"/>
        <item x="1"/>
        <item x="4"/>
        <item x="12"/>
        <item x="6"/>
        <item x="40"/>
        <item x="30"/>
        <item x="21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2"/>
  </rowFields>
  <colFields>
    <field x="7"/>
  </colFields>
  <dataFields>
    <dataField name="total profit" fld="21" subtotal="average" baseField="0"/>
  </dataFields>
</pivotTableDefinition>
</file>

<file path=xl/pivotTables/pivotTable12.xml><?xml version="1.0" encoding="utf-8"?>
<pivotTableDefinition xmlns="http://schemas.openxmlformats.org/spreadsheetml/2006/main" name="profit by country 2" cacheId="1" dataCaption="" rowGrandTotals="0" colGrandTotals="0" compact="0" compactData="0">
  <location ref="K2:S6" firstHeaderRow="0" firstDataRow="1" firstDataCol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1"/>
        <item x="2"/>
        <item x="0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3"/>
  </rowFields>
  <colFields>
    <field x="7"/>
  </colFields>
  <dataFields>
    <dataField name="AVERAGE of total profit" fld="21" subtotal="average" baseField="0"/>
  </dataFields>
</pivotTableDefinition>
</file>

<file path=xl/pivotTables/pivotTable13.xml><?xml version="1.0" encoding="utf-8"?>
<pivotTableDefinition xmlns="http://schemas.openxmlformats.org/spreadsheetml/2006/main" name="profit by country 3" cacheId="1" dataCaption="" rowGrandTotals="0" colGrandTotals="0" compact="0" compactData="0">
  <location ref="K9:W14" firstHeaderRow="0" firstDataRow="1" firstDataCol="2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axis="axisCol" compact="0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month of order" axis="axisCol" compact="0" outline="0" multipleItemSelectionAllowed="1" showAll="0" sortType="ascending">
      <items>
        <item x="5"/>
        <item x="1"/>
        <item x="11"/>
        <item x="9"/>
        <item x="8"/>
        <item x="2"/>
        <item x="10"/>
        <item x="4"/>
        <item x="3"/>
        <item x="6"/>
        <item x="0"/>
        <item x="7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1"/>
        <item x="2"/>
        <item x="0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3"/>
  </rowFields>
  <colFields>
    <field x="4"/>
    <field x="5"/>
  </colFields>
  <dataFields>
    <dataField name="AVERAGE of total profit" fld="21" subtotal="average" baseField="0"/>
  </dataFields>
</pivotTableDefinition>
</file>

<file path=xl/pivotTables/pivotTable14.xml><?xml version="1.0" encoding="utf-8"?>
<pivotTableDefinition xmlns="http://schemas.openxmlformats.org/spreadsheetml/2006/main" name="profit by country 4" cacheId="1" dataCaption="" rowGrandTotals="0" colGrandTotals="0" compact="0" compactData="0">
  <location ref="A50:M97" firstHeaderRow="0" firstDataRow="1" firstDataCol="2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month number" axis="axisCol" compact="0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month of order" axis="axisCol" compact="0" outline="0" multipleItemSelectionAllowed="1" showAll="0" sortType="ascending">
      <items>
        <item x="5"/>
        <item x="1"/>
        <item x="11"/>
        <item x="9"/>
        <item x="8"/>
        <item x="2"/>
        <item x="10"/>
        <item x="4"/>
        <item x="3"/>
        <item x="6"/>
        <item x="0"/>
        <item x="7"/>
        <item t="default"/>
      </items>
    </pivotField>
    <pivotField name="day of ord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time of shipme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ascending">
      <items>
        <item h="1" x="2"/>
        <item x="39"/>
        <item x="36"/>
        <item x="9"/>
        <item x="26"/>
        <item x="24"/>
        <item x="17"/>
        <item x="41"/>
        <item x="33"/>
        <item x="7"/>
        <item x="16"/>
        <item x="22"/>
        <item x="42"/>
        <item x="25"/>
        <item x="38"/>
        <item x="5"/>
        <item x="10"/>
        <item x="8"/>
        <item x="45"/>
        <item x="31"/>
        <item x="44"/>
        <item x="35"/>
        <item x="34"/>
        <item x="32"/>
        <item x="37"/>
        <item x="18"/>
        <item x="15"/>
        <item x="27"/>
        <item x="20"/>
        <item x="43"/>
        <item x="3"/>
        <item x="29"/>
        <item x="0"/>
        <item x="14"/>
        <item x="23"/>
        <item x="13"/>
        <item x="19"/>
        <item x="28"/>
        <item x="1"/>
        <item x="4"/>
        <item x="12"/>
        <item x="6"/>
        <item x="40"/>
        <item x="30"/>
        <item x="21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</pivotFields>
  <rowFields>
    <field x="12"/>
  </rowFields>
  <colFields>
    <field x="4"/>
    <field x="5"/>
  </colFields>
  <dataFields>
    <dataField name="AVERAGE of total profit" fld="2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0"/>
    <col customWidth="1" min="4" max="4" width="8.38"/>
    <col customWidth="1" min="5" max="5" width="25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11</v>
      </c>
      <c r="B2" s="7" t="s">
        <v>13</v>
      </c>
      <c r="C2" s="7" t="s">
        <v>14</v>
      </c>
      <c r="D2" s="7" t="s">
        <v>15</v>
      </c>
      <c r="E2" s="7" t="s">
        <v>16</v>
      </c>
    </row>
    <row r="3">
      <c r="A3" s="7" t="s">
        <v>20</v>
      </c>
      <c r="B3" s="7" t="s">
        <v>21</v>
      </c>
      <c r="C3" s="7" t="s">
        <v>23</v>
      </c>
      <c r="D3" s="7" t="s">
        <v>24</v>
      </c>
      <c r="E3" s="7" t="s">
        <v>26</v>
      </c>
    </row>
    <row r="4">
      <c r="A4" s="7" t="s">
        <v>28</v>
      </c>
      <c r="B4" s="7" t="s">
        <v>29</v>
      </c>
      <c r="C4" s="7" t="s">
        <v>30</v>
      </c>
      <c r="D4" s="7" t="s">
        <v>24</v>
      </c>
      <c r="E4" s="7" t="s">
        <v>33</v>
      </c>
    </row>
    <row r="5">
      <c r="A5" s="7" t="s">
        <v>36</v>
      </c>
      <c r="B5" s="7" t="s">
        <v>38</v>
      </c>
      <c r="C5" s="7" t="s">
        <v>39</v>
      </c>
      <c r="D5" s="7" t="s">
        <v>41</v>
      </c>
      <c r="E5" s="7" t="s">
        <v>42</v>
      </c>
    </row>
    <row r="6">
      <c r="A6" s="7" t="s">
        <v>46</v>
      </c>
      <c r="B6" s="7" t="s">
        <v>48</v>
      </c>
      <c r="C6" s="7" t="s">
        <v>50</v>
      </c>
      <c r="D6" s="7" t="s">
        <v>51</v>
      </c>
      <c r="E6" s="7" t="s">
        <v>53</v>
      </c>
    </row>
    <row r="7">
      <c r="A7" s="7" t="s">
        <v>56</v>
      </c>
      <c r="B7" s="7" t="s">
        <v>57</v>
      </c>
      <c r="C7" s="7" t="s">
        <v>58</v>
      </c>
      <c r="D7" s="7" t="s">
        <v>24</v>
      </c>
      <c r="E7" s="7" t="s">
        <v>33</v>
      </c>
    </row>
    <row r="8">
      <c r="A8" s="7" t="s">
        <v>59</v>
      </c>
      <c r="B8" s="7" t="s">
        <v>60</v>
      </c>
      <c r="C8" s="7" t="s">
        <v>61</v>
      </c>
      <c r="D8" s="7" t="s">
        <v>41</v>
      </c>
      <c r="E8" s="7" t="s">
        <v>62</v>
      </c>
    </row>
    <row r="9">
      <c r="A9" s="7" t="s">
        <v>63</v>
      </c>
      <c r="B9" s="7" t="s">
        <v>64</v>
      </c>
      <c r="C9" s="7" t="s">
        <v>65</v>
      </c>
      <c r="D9" s="7" t="s">
        <v>66</v>
      </c>
      <c r="E9" s="7" t="s">
        <v>67</v>
      </c>
    </row>
    <row r="10">
      <c r="A10" s="7" t="s">
        <v>68</v>
      </c>
      <c r="B10" s="7" t="s">
        <v>69</v>
      </c>
      <c r="C10" s="7" t="s">
        <v>70</v>
      </c>
      <c r="D10" s="7" t="s">
        <v>69</v>
      </c>
      <c r="E10" s="7" t="s">
        <v>69</v>
      </c>
    </row>
    <row r="11">
      <c r="A11" s="7" t="s">
        <v>71</v>
      </c>
      <c r="B11" s="7" t="s">
        <v>72</v>
      </c>
      <c r="C11" s="7" t="s">
        <v>73</v>
      </c>
      <c r="D11" s="7" t="s">
        <v>66</v>
      </c>
      <c r="E11" s="7" t="s">
        <v>67</v>
      </c>
    </row>
    <row r="12">
      <c r="A12" s="7" t="s">
        <v>74</v>
      </c>
      <c r="B12" s="7" t="s">
        <v>75</v>
      </c>
      <c r="C12" s="7" t="s">
        <v>76</v>
      </c>
      <c r="D12" s="7" t="s">
        <v>66</v>
      </c>
      <c r="E12" s="7" t="s">
        <v>67</v>
      </c>
    </row>
    <row r="13">
      <c r="A13" s="7" t="s">
        <v>77</v>
      </c>
      <c r="B13" s="7" t="s">
        <v>78</v>
      </c>
      <c r="C13" s="7" t="s">
        <v>79</v>
      </c>
      <c r="D13" s="7" t="s">
        <v>15</v>
      </c>
      <c r="E13" s="7" t="s">
        <v>80</v>
      </c>
    </row>
    <row r="14">
      <c r="A14" s="7" t="s">
        <v>81</v>
      </c>
      <c r="B14" s="7" t="s">
        <v>82</v>
      </c>
      <c r="C14" s="7" t="s">
        <v>83</v>
      </c>
      <c r="D14" s="7" t="s">
        <v>66</v>
      </c>
      <c r="E14" s="7" t="s">
        <v>67</v>
      </c>
    </row>
    <row r="15">
      <c r="A15" s="7" t="s">
        <v>84</v>
      </c>
      <c r="B15" s="7" t="s">
        <v>85</v>
      </c>
      <c r="C15" s="7" t="s">
        <v>86</v>
      </c>
      <c r="D15" s="7" t="s">
        <v>51</v>
      </c>
      <c r="E15" s="7" t="s">
        <v>87</v>
      </c>
    </row>
    <row r="16">
      <c r="A16" s="7" t="s">
        <v>88</v>
      </c>
      <c r="B16" s="7" t="s">
        <v>89</v>
      </c>
      <c r="C16" s="7" t="s">
        <v>90</v>
      </c>
      <c r="D16" s="7" t="s">
        <v>24</v>
      </c>
      <c r="E16" s="7" t="s">
        <v>91</v>
      </c>
    </row>
    <row r="17">
      <c r="A17" s="7" t="s">
        <v>92</v>
      </c>
      <c r="B17" s="7" t="s">
        <v>93</v>
      </c>
      <c r="C17" s="7" t="s">
        <v>94</v>
      </c>
      <c r="D17" s="7" t="s">
        <v>15</v>
      </c>
      <c r="E17" s="7" t="s">
        <v>80</v>
      </c>
    </row>
    <row r="18">
      <c r="A18" s="7" t="s">
        <v>95</v>
      </c>
      <c r="B18" s="7" t="s">
        <v>96</v>
      </c>
      <c r="C18" s="7" t="s">
        <v>97</v>
      </c>
      <c r="D18" s="7" t="s">
        <v>66</v>
      </c>
      <c r="E18" s="7" t="s">
        <v>67</v>
      </c>
    </row>
    <row r="19">
      <c r="A19" s="7" t="s">
        <v>98</v>
      </c>
      <c r="B19" s="7" t="s">
        <v>99</v>
      </c>
      <c r="C19" s="7" t="s">
        <v>100</v>
      </c>
      <c r="D19" s="7" t="s">
        <v>15</v>
      </c>
      <c r="E19" s="7" t="s">
        <v>80</v>
      </c>
    </row>
    <row r="20">
      <c r="A20" s="7" t="s">
        <v>101</v>
      </c>
      <c r="B20" s="7" t="s">
        <v>102</v>
      </c>
      <c r="C20" s="7" t="s">
        <v>103</v>
      </c>
      <c r="D20" s="7" t="s">
        <v>15</v>
      </c>
      <c r="E20" s="7" t="s">
        <v>16</v>
      </c>
    </row>
    <row r="21">
      <c r="A21" s="7" t="s">
        <v>104</v>
      </c>
      <c r="B21" s="7" t="s">
        <v>105</v>
      </c>
      <c r="C21" s="7" t="s">
        <v>106</v>
      </c>
      <c r="D21" s="7" t="s">
        <v>66</v>
      </c>
      <c r="E21" s="7" t="s">
        <v>67</v>
      </c>
    </row>
    <row r="22">
      <c r="A22" s="7" t="s">
        <v>107</v>
      </c>
      <c r="B22" s="7" t="s">
        <v>108</v>
      </c>
      <c r="C22" s="7" t="s">
        <v>109</v>
      </c>
      <c r="D22" s="7" t="s">
        <v>24</v>
      </c>
      <c r="E22" s="7" t="s">
        <v>112</v>
      </c>
    </row>
    <row r="23">
      <c r="A23" s="7" t="s">
        <v>113</v>
      </c>
      <c r="B23" s="7" t="s">
        <v>114</v>
      </c>
      <c r="C23" s="7" t="s">
        <v>115</v>
      </c>
      <c r="D23" s="7" t="s">
        <v>24</v>
      </c>
      <c r="E23" s="7" t="s">
        <v>91</v>
      </c>
    </row>
    <row r="24">
      <c r="A24" s="7" t="s">
        <v>116</v>
      </c>
      <c r="B24" s="7" t="s">
        <v>117</v>
      </c>
      <c r="C24" s="7" t="s">
        <v>118</v>
      </c>
      <c r="D24" s="7" t="s">
        <v>66</v>
      </c>
      <c r="E24" s="7" t="s">
        <v>67</v>
      </c>
    </row>
    <row r="25">
      <c r="A25" s="7" t="s">
        <v>119</v>
      </c>
      <c r="B25" s="7" t="s">
        <v>120</v>
      </c>
      <c r="C25" s="7" t="s">
        <v>121</v>
      </c>
      <c r="D25" s="7" t="s">
        <v>41</v>
      </c>
      <c r="E25" s="7" t="s">
        <v>62</v>
      </c>
    </row>
    <row r="26">
      <c r="A26" s="7" t="s">
        <v>122</v>
      </c>
      <c r="B26" s="7" t="s">
        <v>123</v>
      </c>
      <c r="C26" s="7" t="s">
        <v>124</v>
      </c>
      <c r="D26" s="7" t="s">
        <v>66</v>
      </c>
      <c r="E26" s="7" t="s">
        <v>125</v>
      </c>
    </row>
    <row r="27">
      <c r="A27" s="7" t="s">
        <v>126</v>
      </c>
      <c r="B27" s="7" t="s">
        <v>127</v>
      </c>
      <c r="C27" s="7" t="s">
        <v>128</v>
      </c>
      <c r="D27" s="7" t="s">
        <v>15</v>
      </c>
      <c r="E27" s="7" t="s">
        <v>16</v>
      </c>
    </row>
    <row r="28">
      <c r="A28" s="7" t="s">
        <v>130</v>
      </c>
      <c r="B28" s="7" t="s">
        <v>131</v>
      </c>
      <c r="C28" s="7" t="s">
        <v>132</v>
      </c>
      <c r="D28" s="7" t="s">
        <v>66</v>
      </c>
      <c r="E28" s="7" t="s">
        <v>67</v>
      </c>
    </row>
    <row r="29">
      <c r="A29" s="7" t="s">
        <v>133</v>
      </c>
      <c r="B29" s="7" t="s">
        <v>134</v>
      </c>
      <c r="C29" s="7" t="s">
        <v>135</v>
      </c>
      <c r="D29" s="7" t="s">
        <v>66</v>
      </c>
      <c r="E29" s="7" t="s">
        <v>67</v>
      </c>
    </row>
    <row r="30">
      <c r="A30" s="7" t="s">
        <v>136</v>
      </c>
      <c r="B30" s="7" t="s">
        <v>137</v>
      </c>
      <c r="C30" s="7" t="s">
        <v>138</v>
      </c>
      <c r="D30" s="7" t="s">
        <v>24</v>
      </c>
      <c r="E30" s="7" t="s">
        <v>33</v>
      </c>
    </row>
    <row r="31">
      <c r="A31" s="7" t="s">
        <v>139</v>
      </c>
      <c r="B31" s="7" t="s">
        <v>140</v>
      </c>
      <c r="C31" s="7" t="s">
        <v>141</v>
      </c>
      <c r="D31" s="7" t="s">
        <v>41</v>
      </c>
      <c r="E31" s="7" t="s">
        <v>62</v>
      </c>
    </row>
    <row r="32">
      <c r="A32" s="7" t="s">
        <v>142</v>
      </c>
      <c r="B32" s="7" t="s">
        <v>143</v>
      </c>
      <c r="C32" s="7" t="s">
        <v>144</v>
      </c>
      <c r="D32" s="7" t="s">
        <v>66</v>
      </c>
      <c r="E32" s="7" t="s">
        <v>67</v>
      </c>
    </row>
    <row r="33">
      <c r="A33" s="7" t="s">
        <v>145</v>
      </c>
      <c r="B33" s="7" t="s">
        <v>146</v>
      </c>
      <c r="C33" s="7" t="s">
        <v>147</v>
      </c>
      <c r="D33" s="7" t="s">
        <v>66</v>
      </c>
      <c r="E33" s="7" t="s">
        <v>67</v>
      </c>
    </row>
    <row r="34">
      <c r="A34" s="7" t="s">
        <v>148</v>
      </c>
      <c r="B34" s="7" t="s">
        <v>149</v>
      </c>
      <c r="C34" s="7" t="s">
        <v>150</v>
      </c>
      <c r="D34" s="7" t="s">
        <v>41</v>
      </c>
      <c r="E34" s="7" t="s">
        <v>62</v>
      </c>
    </row>
    <row r="35">
      <c r="A35" s="7" t="s">
        <v>151</v>
      </c>
      <c r="B35" s="7" t="s">
        <v>152</v>
      </c>
      <c r="C35" s="7" t="s">
        <v>153</v>
      </c>
      <c r="D35" s="7" t="s">
        <v>15</v>
      </c>
      <c r="E35" s="7" t="s">
        <v>154</v>
      </c>
    </row>
    <row r="36">
      <c r="A36" s="7" t="s">
        <v>155</v>
      </c>
      <c r="B36" s="7" t="s">
        <v>156</v>
      </c>
      <c r="C36" s="7" t="s">
        <v>157</v>
      </c>
      <c r="D36" s="7" t="s">
        <v>24</v>
      </c>
      <c r="E36" s="7" t="s">
        <v>112</v>
      </c>
    </row>
    <row r="37">
      <c r="A37" s="7" t="s">
        <v>158</v>
      </c>
      <c r="B37" s="7" t="s">
        <v>159</v>
      </c>
      <c r="C37" s="7" t="s">
        <v>160</v>
      </c>
      <c r="D37" s="7" t="s">
        <v>41</v>
      </c>
      <c r="E37" s="7" t="s">
        <v>62</v>
      </c>
    </row>
    <row r="38">
      <c r="A38" s="7" t="s">
        <v>161</v>
      </c>
      <c r="B38" s="7" t="s">
        <v>162</v>
      </c>
      <c r="C38" s="7" t="s">
        <v>163</v>
      </c>
      <c r="D38" s="7" t="s">
        <v>41</v>
      </c>
      <c r="E38" s="7" t="s">
        <v>62</v>
      </c>
    </row>
    <row r="39">
      <c r="A39" s="7" t="s">
        <v>164</v>
      </c>
      <c r="B39" s="7" t="s">
        <v>165</v>
      </c>
      <c r="C39" s="7" t="s">
        <v>166</v>
      </c>
      <c r="D39" s="7" t="s">
        <v>41</v>
      </c>
      <c r="E39" s="7" t="s">
        <v>62</v>
      </c>
    </row>
    <row r="40">
      <c r="A40" s="7" t="s">
        <v>167</v>
      </c>
      <c r="B40" s="7" t="s">
        <v>168</v>
      </c>
      <c r="C40" s="7" t="s">
        <v>169</v>
      </c>
      <c r="D40" s="7" t="s">
        <v>15</v>
      </c>
      <c r="E40" s="7" t="s">
        <v>154</v>
      </c>
    </row>
    <row r="41">
      <c r="A41" s="7" t="s">
        <v>170</v>
      </c>
      <c r="B41" s="7" t="s">
        <v>171</v>
      </c>
      <c r="C41" s="7" t="s">
        <v>172</v>
      </c>
      <c r="D41" s="7" t="s">
        <v>41</v>
      </c>
      <c r="E41" s="7" t="s">
        <v>62</v>
      </c>
    </row>
    <row r="42">
      <c r="A42" s="7" t="s">
        <v>173</v>
      </c>
      <c r="B42" s="7" t="s">
        <v>174</v>
      </c>
      <c r="C42" s="7" t="s">
        <v>175</v>
      </c>
      <c r="D42" s="7" t="s">
        <v>66</v>
      </c>
      <c r="E42" s="7" t="s">
        <v>125</v>
      </c>
    </row>
    <row r="43">
      <c r="A43" s="7" t="s">
        <v>176</v>
      </c>
      <c r="B43" s="7" t="s">
        <v>177</v>
      </c>
      <c r="C43" s="7" t="s">
        <v>178</v>
      </c>
      <c r="D43" s="7" t="s">
        <v>66</v>
      </c>
      <c r="E43" s="7" t="s">
        <v>67</v>
      </c>
    </row>
    <row r="44">
      <c r="A44" s="7" t="s">
        <v>179</v>
      </c>
      <c r="B44" s="7" t="s">
        <v>180</v>
      </c>
      <c r="C44" s="7" t="s">
        <v>181</v>
      </c>
      <c r="D44" s="7" t="s">
        <v>41</v>
      </c>
      <c r="E44" s="7" t="s">
        <v>62</v>
      </c>
    </row>
    <row r="45">
      <c r="A45" s="7" t="s">
        <v>182</v>
      </c>
      <c r="B45" s="7" t="s">
        <v>183</v>
      </c>
      <c r="C45" s="7" t="s">
        <v>184</v>
      </c>
      <c r="D45" s="7" t="s">
        <v>41</v>
      </c>
      <c r="E45" s="7" t="s">
        <v>62</v>
      </c>
    </row>
    <row r="46">
      <c r="A46" s="7" t="s">
        <v>185</v>
      </c>
      <c r="B46" s="7" t="s">
        <v>186</v>
      </c>
      <c r="C46" s="7" t="s">
        <v>187</v>
      </c>
      <c r="D46" s="7" t="s">
        <v>66</v>
      </c>
      <c r="E46" s="7" t="s">
        <v>67</v>
      </c>
    </row>
    <row r="47">
      <c r="A47" s="7" t="s">
        <v>188</v>
      </c>
      <c r="B47" s="7" t="s">
        <v>189</v>
      </c>
      <c r="C47" s="7" t="s">
        <v>190</v>
      </c>
      <c r="D47" s="7" t="s">
        <v>15</v>
      </c>
      <c r="E47" s="7" t="s">
        <v>191</v>
      </c>
    </row>
    <row r="48">
      <c r="A48" s="7" t="s">
        <v>192</v>
      </c>
      <c r="B48" s="7" t="s">
        <v>193</v>
      </c>
      <c r="C48" s="7" t="s">
        <v>194</v>
      </c>
      <c r="D48" s="7" t="s">
        <v>51</v>
      </c>
      <c r="E48" s="7" t="s">
        <v>87</v>
      </c>
    </row>
    <row r="49">
      <c r="A49" s="7" t="s">
        <v>195</v>
      </c>
      <c r="B49" s="7" t="s">
        <v>196</v>
      </c>
      <c r="C49" s="7" t="s">
        <v>197</v>
      </c>
      <c r="D49" s="7" t="s">
        <v>51</v>
      </c>
      <c r="E49" s="7" t="s">
        <v>87</v>
      </c>
    </row>
    <row r="50">
      <c r="A50" s="7" t="s">
        <v>199</v>
      </c>
      <c r="B50" s="7" t="s">
        <v>201</v>
      </c>
      <c r="C50" s="7" t="s">
        <v>202</v>
      </c>
      <c r="D50" s="7" t="s">
        <v>66</v>
      </c>
      <c r="E50" s="7" t="s">
        <v>67</v>
      </c>
    </row>
    <row r="51">
      <c r="A51" s="7" t="s">
        <v>203</v>
      </c>
      <c r="B51" s="7" t="s">
        <v>204</v>
      </c>
      <c r="C51" s="7" t="s">
        <v>205</v>
      </c>
      <c r="D51" s="7" t="s">
        <v>41</v>
      </c>
      <c r="E51" s="7" t="s">
        <v>62</v>
      </c>
    </row>
    <row r="52">
      <c r="A52" s="7" t="s">
        <v>206</v>
      </c>
      <c r="B52" s="7" t="s">
        <v>207</v>
      </c>
      <c r="C52" s="7" t="s">
        <v>208</v>
      </c>
      <c r="D52" s="7" t="s">
        <v>41</v>
      </c>
      <c r="E52" s="7" t="s">
        <v>62</v>
      </c>
    </row>
    <row r="53">
      <c r="A53" s="7" t="s">
        <v>209</v>
      </c>
      <c r="B53" s="7" t="s">
        <v>210</v>
      </c>
      <c r="C53" s="7" t="s">
        <v>211</v>
      </c>
      <c r="D53" s="7" t="s">
        <v>41</v>
      </c>
      <c r="E53" s="7" t="s">
        <v>62</v>
      </c>
    </row>
    <row r="54">
      <c r="A54" s="7" t="s">
        <v>213</v>
      </c>
      <c r="B54" s="7" t="s">
        <v>214</v>
      </c>
      <c r="C54" s="7" t="s">
        <v>215</v>
      </c>
      <c r="D54" s="7" t="s">
        <v>51</v>
      </c>
      <c r="E54" s="7" t="s">
        <v>53</v>
      </c>
    </row>
    <row r="55">
      <c r="A55" s="7" t="s">
        <v>216</v>
      </c>
      <c r="B55" s="7" t="s">
        <v>217</v>
      </c>
      <c r="C55" s="7" t="s">
        <v>218</v>
      </c>
      <c r="D55" s="7" t="s">
        <v>66</v>
      </c>
      <c r="E55" s="7" t="s">
        <v>67</v>
      </c>
    </row>
    <row r="56">
      <c r="A56" s="7" t="s">
        <v>219</v>
      </c>
      <c r="B56" s="7" t="s">
        <v>220</v>
      </c>
      <c r="C56" s="7" t="s">
        <v>221</v>
      </c>
      <c r="D56" s="7" t="s">
        <v>41</v>
      </c>
      <c r="E56" s="7" t="s">
        <v>62</v>
      </c>
    </row>
    <row r="57">
      <c r="A57" s="7" t="s">
        <v>222</v>
      </c>
      <c r="B57" s="7" t="s">
        <v>223</v>
      </c>
      <c r="C57" s="7" t="s">
        <v>224</v>
      </c>
      <c r="D57" s="7" t="s">
        <v>24</v>
      </c>
      <c r="E57" s="7" t="s">
        <v>33</v>
      </c>
    </row>
    <row r="58">
      <c r="A58" s="7" t="s">
        <v>225</v>
      </c>
      <c r="B58" s="7" t="s">
        <v>226</v>
      </c>
      <c r="C58" s="7" t="s">
        <v>227</v>
      </c>
      <c r="D58" s="7" t="s">
        <v>66</v>
      </c>
      <c r="E58" s="7" t="s">
        <v>67</v>
      </c>
    </row>
    <row r="59">
      <c r="A59" s="7" t="s">
        <v>228</v>
      </c>
      <c r="B59" s="7" t="s">
        <v>229</v>
      </c>
      <c r="C59" s="7" t="s">
        <v>230</v>
      </c>
      <c r="D59" s="7" t="s">
        <v>66</v>
      </c>
      <c r="E59" s="7" t="s">
        <v>67</v>
      </c>
    </row>
    <row r="60">
      <c r="A60" s="7" t="s">
        <v>231</v>
      </c>
      <c r="B60" s="7" t="s">
        <v>232</v>
      </c>
      <c r="C60" s="7" t="s">
        <v>233</v>
      </c>
      <c r="D60" s="7" t="s">
        <v>15</v>
      </c>
      <c r="E60" s="7" t="s">
        <v>80</v>
      </c>
    </row>
    <row r="61">
      <c r="A61" s="7" t="s">
        <v>234</v>
      </c>
      <c r="B61" s="7" t="s">
        <v>235</v>
      </c>
      <c r="C61" s="7" t="s">
        <v>236</v>
      </c>
      <c r="D61" s="7" t="s">
        <v>24</v>
      </c>
      <c r="E61" s="7" t="s">
        <v>112</v>
      </c>
    </row>
    <row r="62">
      <c r="A62" s="7" t="s">
        <v>237</v>
      </c>
      <c r="B62" s="7" t="s">
        <v>238</v>
      </c>
      <c r="C62" s="7" t="s">
        <v>239</v>
      </c>
      <c r="D62" s="7" t="s">
        <v>24</v>
      </c>
      <c r="E62" s="7" t="s">
        <v>26</v>
      </c>
    </row>
    <row r="63">
      <c r="A63" s="7" t="s">
        <v>240</v>
      </c>
      <c r="B63" s="7" t="s">
        <v>241</v>
      </c>
      <c r="C63" s="7" t="s">
        <v>242</v>
      </c>
      <c r="D63" s="7" t="s">
        <v>41</v>
      </c>
      <c r="E63" s="7" t="s">
        <v>62</v>
      </c>
    </row>
    <row r="64">
      <c r="A64" s="7" t="s">
        <v>243</v>
      </c>
      <c r="B64" s="7" t="s">
        <v>244</v>
      </c>
      <c r="C64" s="7" t="s">
        <v>245</v>
      </c>
      <c r="D64" s="7" t="s">
        <v>66</v>
      </c>
      <c r="E64" s="7" t="s">
        <v>67</v>
      </c>
    </row>
    <row r="65">
      <c r="A65" s="7" t="s">
        <v>246</v>
      </c>
      <c r="B65" s="7" t="s">
        <v>247</v>
      </c>
      <c r="C65" s="7" t="s">
        <v>248</v>
      </c>
      <c r="D65" s="7" t="s">
        <v>66</v>
      </c>
      <c r="E65" s="7" t="s">
        <v>67</v>
      </c>
    </row>
    <row r="66">
      <c r="A66" s="7" t="s">
        <v>249</v>
      </c>
      <c r="B66" s="7" t="s">
        <v>250</v>
      </c>
      <c r="C66" s="7" t="s">
        <v>251</v>
      </c>
      <c r="D66" s="7" t="s">
        <v>66</v>
      </c>
      <c r="E66" s="7" t="s">
        <v>67</v>
      </c>
    </row>
    <row r="67">
      <c r="A67" s="7" t="s">
        <v>252</v>
      </c>
      <c r="B67" s="7" t="s">
        <v>253</v>
      </c>
      <c r="C67" s="7" t="s">
        <v>254</v>
      </c>
      <c r="D67" s="7" t="s">
        <v>41</v>
      </c>
      <c r="E67" s="7" t="s">
        <v>42</v>
      </c>
    </row>
    <row r="68">
      <c r="A68" s="7" t="s">
        <v>255</v>
      </c>
      <c r="B68" s="7" t="s">
        <v>256</v>
      </c>
      <c r="C68" s="7" t="s">
        <v>257</v>
      </c>
      <c r="D68" s="7" t="s">
        <v>66</v>
      </c>
      <c r="E68" s="7" t="s">
        <v>67</v>
      </c>
    </row>
    <row r="69">
      <c r="A69" s="7" t="s">
        <v>258</v>
      </c>
      <c r="B69" s="7" t="s">
        <v>259</v>
      </c>
      <c r="C69" s="7" t="s">
        <v>260</v>
      </c>
      <c r="D69" s="7" t="s">
        <v>41</v>
      </c>
      <c r="E69" s="7" t="s">
        <v>62</v>
      </c>
    </row>
    <row r="70">
      <c r="A70" s="7" t="s">
        <v>261</v>
      </c>
      <c r="B70" s="7" t="s">
        <v>262</v>
      </c>
      <c r="C70" s="7" t="s">
        <v>263</v>
      </c>
      <c r="D70" s="7" t="s">
        <v>41</v>
      </c>
      <c r="E70" s="7" t="s">
        <v>62</v>
      </c>
    </row>
    <row r="71">
      <c r="A71" s="7" t="s">
        <v>264</v>
      </c>
      <c r="B71" s="7" t="s">
        <v>265</v>
      </c>
      <c r="C71" s="7" t="s">
        <v>266</v>
      </c>
      <c r="D71" s="7" t="s">
        <v>24</v>
      </c>
      <c r="E71" s="7" t="s">
        <v>26</v>
      </c>
    </row>
    <row r="72">
      <c r="A72" s="7" t="s">
        <v>267</v>
      </c>
      <c r="B72" s="7" t="s">
        <v>268</v>
      </c>
      <c r="C72" s="7" t="s">
        <v>269</v>
      </c>
      <c r="D72" s="7" t="s">
        <v>41</v>
      </c>
      <c r="E72" s="7" t="s">
        <v>62</v>
      </c>
    </row>
    <row r="73">
      <c r="A73" s="7" t="s">
        <v>270</v>
      </c>
      <c r="B73" s="7" t="s">
        <v>271</v>
      </c>
      <c r="C73" s="7" t="s">
        <v>272</v>
      </c>
      <c r="D73" s="7" t="s">
        <v>41</v>
      </c>
      <c r="E73" s="7" t="s">
        <v>62</v>
      </c>
    </row>
    <row r="74">
      <c r="A74" s="7" t="s">
        <v>273</v>
      </c>
      <c r="B74" s="7" t="s">
        <v>274</v>
      </c>
      <c r="C74" s="7" t="s">
        <v>275</v>
      </c>
      <c r="D74" s="7" t="s">
        <v>66</v>
      </c>
      <c r="E74" s="7" t="s">
        <v>67</v>
      </c>
    </row>
    <row r="75">
      <c r="A75" s="7" t="s">
        <v>276</v>
      </c>
      <c r="B75" s="7" t="s">
        <v>277</v>
      </c>
      <c r="C75" s="7" t="s">
        <v>278</v>
      </c>
      <c r="D75" s="7" t="s">
        <v>24</v>
      </c>
      <c r="E75" s="7" t="s">
        <v>26</v>
      </c>
    </row>
    <row r="76">
      <c r="A76" s="7" t="s">
        <v>279</v>
      </c>
      <c r="B76" s="7" t="s">
        <v>280</v>
      </c>
      <c r="C76" s="7" t="s">
        <v>281</v>
      </c>
      <c r="D76" s="7" t="s">
        <v>51</v>
      </c>
      <c r="E76" s="7" t="s">
        <v>282</v>
      </c>
    </row>
    <row r="77">
      <c r="A77" s="7" t="s">
        <v>283</v>
      </c>
      <c r="B77" s="7" t="s">
        <v>284</v>
      </c>
      <c r="C77" s="7" t="s">
        <v>285</v>
      </c>
      <c r="D77" s="7" t="s">
        <v>24</v>
      </c>
      <c r="E77" s="7" t="s">
        <v>26</v>
      </c>
    </row>
    <row r="78">
      <c r="A78" s="7" t="s">
        <v>286</v>
      </c>
      <c r="B78" s="7" t="s">
        <v>287</v>
      </c>
      <c r="C78" s="7" t="s">
        <v>288</v>
      </c>
      <c r="D78" s="7" t="s">
        <v>24</v>
      </c>
      <c r="E78" s="7" t="s">
        <v>91</v>
      </c>
    </row>
    <row r="79">
      <c r="A79" s="7" t="s">
        <v>289</v>
      </c>
      <c r="B79" s="7" t="s">
        <v>290</v>
      </c>
      <c r="C79" s="7" t="s">
        <v>291</v>
      </c>
      <c r="D79" s="7" t="s">
        <v>66</v>
      </c>
      <c r="E79" s="7" t="s">
        <v>67</v>
      </c>
    </row>
    <row r="80">
      <c r="A80" s="7" t="s">
        <v>292</v>
      </c>
      <c r="B80" s="7" t="s">
        <v>293</v>
      </c>
      <c r="C80" s="7" t="s">
        <v>294</v>
      </c>
      <c r="D80" s="7" t="s">
        <v>51</v>
      </c>
      <c r="E80" s="7" t="s">
        <v>53</v>
      </c>
    </row>
    <row r="81">
      <c r="A81" s="7" t="s">
        <v>295</v>
      </c>
      <c r="B81" s="7" t="s">
        <v>296</v>
      </c>
      <c r="C81" s="7" t="s">
        <v>297</v>
      </c>
      <c r="D81" s="7" t="s">
        <v>41</v>
      </c>
      <c r="E81" s="7" t="s">
        <v>62</v>
      </c>
    </row>
    <row r="82">
      <c r="A82" s="7" t="s">
        <v>298</v>
      </c>
      <c r="B82" s="7" t="s">
        <v>299</v>
      </c>
      <c r="C82" s="7" t="s">
        <v>300</v>
      </c>
      <c r="D82" s="7" t="s">
        <v>41</v>
      </c>
      <c r="E82" s="7" t="s">
        <v>62</v>
      </c>
    </row>
    <row r="83">
      <c r="A83" s="7" t="s">
        <v>301</v>
      </c>
      <c r="B83" s="7" t="s">
        <v>302</v>
      </c>
      <c r="C83" s="7" t="s">
        <v>303</v>
      </c>
      <c r="D83" s="7" t="s">
        <v>41</v>
      </c>
      <c r="E83" s="7" t="s">
        <v>62</v>
      </c>
    </row>
    <row r="84">
      <c r="A84" s="7" t="s">
        <v>304</v>
      </c>
      <c r="B84" s="7" t="s">
        <v>305</v>
      </c>
      <c r="C84" s="7" t="s">
        <v>306</v>
      </c>
      <c r="D84" s="7" t="s">
        <v>15</v>
      </c>
      <c r="E84" s="7" t="s">
        <v>80</v>
      </c>
    </row>
    <row r="85">
      <c r="A85" s="7" t="s">
        <v>307</v>
      </c>
      <c r="B85" s="7" t="s">
        <v>308</v>
      </c>
      <c r="C85" s="7" t="s">
        <v>309</v>
      </c>
      <c r="D85" s="7" t="s">
        <v>24</v>
      </c>
      <c r="E85" s="7" t="s">
        <v>91</v>
      </c>
    </row>
    <row r="86">
      <c r="A86" s="7" t="s">
        <v>310</v>
      </c>
      <c r="B86" s="7" t="s">
        <v>311</v>
      </c>
      <c r="C86" s="7" t="s">
        <v>312</v>
      </c>
      <c r="D86" s="7" t="s">
        <v>41</v>
      </c>
      <c r="E86" s="7" t="s">
        <v>62</v>
      </c>
    </row>
    <row r="87">
      <c r="A87" s="7" t="s">
        <v>313</v>
      </c>
      <c r="B87" s="7" t="s">
        <v>314</v>
      </c>
      <c r="C87" s="7" t="s">
        <v>315</v>
      </c>
      <c r="D87" s="7" t="s">
        <v>24</v>
      </c>
      <c r="E87" s="7" t="s">
        <v>33</v>
      </c>
    </row>
    <row r="88">
      <c r="A88" s="7" t="s">
        <v>316</v>
      </c>
      <c r="B88" s="7" t="s">
        <v>317</v>
      </c>
      <c r="C88" s="7" t="s">
        <v>318</v>
      </c>
      <c r="D88" s="7" t="s">
        <v>24</v>
      </c>
      <c r="E88" s="7" t="s">
        <v>33</v>
      </c>
    </row>
    <row r="89">
      <c r="A89" s="7" t="s">
        <v>319</v>
      </c>
      <c r="B89" s="7" t="s">
        <v>320</v>
      </c>
      <c r="C89" s="7" t="s">
        <v>321</v>
      </c>
      <c r="D89" s="7" t="s">
        <v>66</v>
      </c>
      <c r="E89" s="7" t="s">
        <v>125</v>
      </c>
    </row>
    <row r="90">
      <c r="A90" s="7" t="s">
        <v>324</v>
      </c>
      <c r="B90" s="7" t="s">
        <v>325</v>
      </c>
      <c r="C90" s="7" t="s">
        <v>326</v>
      </c>
      <c r="D90" s="7" t="s">
        <v>66</v>
      </c>
      <c r="E90" s="7" t="s">
        <v>67</v>
      </c>
    </row>
    <row r="91">
      <c r="A91" s="7" t="s">
        <v>327</v>
      </c>
      <c r="B91" s="7" t="s">
        <v>328</v>
      </c>
      <c r="C91" s="7" t="s">
        <v>329</v>
      </c>
      <c r="D91" s="7" t="s">
        <v>66</v>
      </c>
      <c r="E91" s="7" t="s">
        <v>67</v>
      </c>
    </row>
    <row r="92">
      <c r="A92" s="7" t="s">
        <v>330</v>
      </c>
      <c r="B92" s="7" t="s">
        <v>331</v>
      </c>
      <c r="C92" s="7" t="s">
        <v>332</v>
      </c>
      <c r="D92" s="7" t="s">
        <v>51</v>
      </c>
      <c r="E92" s="7" t="s">
        <v>333</v>
      </c>
    </row>
    <row r="93">
      <c r="A93" s="7" t="s">
        <v>334</v>
      </c>
      <c r="B93" s="7" t="s">
        <v>335</v>
      </c>
      <c r="C93" s="7" t="s">
        <v>336</v>
      </c>
      <c r="D93" s="7" t="s">
        <v>66</v>
      </c>
      <c r="E93" s="7" t="s">
        <v>67</v>
      </c>
    </row>
    <row r="94">
      <c r="A94" s="7" t="s">
        <v>337</v>
      </c>
      <c r="B94" s="7" t="s">
        <v>338</v>
      </c>
      <c r="C94" s="7" t="s">
        <v>339</v>
      </c>
      <c r="D94" s="7" t="s">
        <v>24</v>
      </c>
      <c r="E94" s="7" t="s">
        <v>26</v>
      </c>
    </row>
    <row r="95">
      <c r="A95" s="7" t="s">
        <v>340</v>
      </c>
      <c r="B95" s="7" t="s">
        <v>341</v>
      </c>
      <c r="C95" s="7" t="s">
        <v>342</v>
      </c>
      <c r="D95" s="7" t="s">
        <v>41</v>
      </c>
      <c r="E95" s="7" t="s">
        <v>62</v>
      </c>
    </row>
    <row r="96">
      <c r="A96" s="7" t="s">
        <v>343</v>
      </c>
      <c r="B96" s="7" t="s">
        <v>344</v>
      </c>
      <c r="C96" s="7" t="s">
        <v>345</v>
      </c>
      <c r="D96" s="7" t="s">
        <v>41</v>
      </c>
      <c r="E96" s="7" t="s">
        <v>62</v>
      </c>
    </row>
    <row r="97">
      <c r="A97" s="7" t="s">
        <v>346</v>
      </c>
      <c r="B97" s="7" t="s">
        <v>347</v>
      </c>
      <c r="C97" s="7" t="s">
        <v>348</v>
      </c>
      <c r="D97" s="7" t="s">
        <v>66</v>
      </c>
      <c r="E97" s="7" t="s">
        <v>67</v>
      </c>
    </row>
    <row r="98">
      <c r="A98" s="7" t="s">
        <v>349</v>
      </c>
      <c r="B98" s="7" t="s">
        <v>350</v>
      </c>
      <c r="C98" s="7" t="s">
        <v>351</v>
      </c>
      <c r="D98" s="7" t="s">
        <v>66</v>
      </c>
      <c r="E98" s="7" t="s">
        <v>67</v>
      </c>
    </row>
    <row r="99">
      <c r="A99" s="7" t="s">
        <v>352</v>
      </c>
      <c r="B99" s="7" t="s">
        <v>353</v>
      </c>
      <c r="C99" s="7" t="s">
        <v>354</v>
      </c>
      <c r="D99" s="7" t="s">
        <v>51</v>
      </c>
      <c r="E99" s="7" t="s">
        <v>87</v>
      </c>
    </row>
    <row r="100">
      <c r="A100" s="7" t="s">
        <v>355</v>
      </c>
      <c r="B100" s="7" t="s">
        <v>356</v>
      </c>
      <c r="C100" s="7" t="s">
        <v>357</v>
      </c>
      <c r="D100" s="7" t="s">
        <v>24</v>
      </c>
      <c r="E100" s="7" t="s">
        <v>33</v>
      </c>
    </row>
    <row r="101">
      <c r="A101" s="7" t="s">
        <v>358</v>
      </c>
      <c r="B101" s="7" t="s">
        <v>359</v>
      </c>
      <c r="C101" s="7" t="s">
        <v>360</v>
      </c>
      <c r="D101" s="7" t="s">
        <v>66</v>
      </c>
      <c r="E101" s="7" t="s">
        <v>67</v>
      </c>
    </row>
    <row r="102">
      <c r="A102" s="7" t="s">
        <v>361</v>
      </c>
      <c r="B102" s="7" t="s">
        <v>362</v>
      </c>
      <c r="C102" s="7" t="s">
        <v>363</v>
      </c>
      <c r="D102" s="7" t="s">
        <v>15</v>
      </c>
      <c r="E102" s="7" t="s">
        <v>191</v>
      </c>
    </row>
    <row r="103">
      <c r="A103" s="7" t="s">
        <v>364</v>
      </c>
      <c r="B103" s="7" t="s">
        <v>365</v>
      </c>
      <c r="C103" s="7" t="s">
        <v>366</v>
      </c>
      <c r="D103" s="7" t="s">
        <v>24</v>
      </c>
      <c r="E103" s="7" t="s">
        <v>112</v>
      </c>
    </row>
    <row r="104">
      <c r="A104" s="7" t="s">
        <v>367</v>
      </c>
      <c r="B104" s="7" t="s">
        <v>368</v>
      </c>
      <c r="C104" s="7" t="s">
        <v>369</v>
      </c>
      <c r="D104" s="7" t="s">
        <v>24</v>
      </c>
      <c r="E104" s="7" t="s">
        <v>26</v>
      </c>
    </row>
    <row r="105">
      <c r="A105" s="7" t="s">
        <v>370</v>
      </c>
      <c r="B105" s="7" t="s">
        <v>371</v>
      </c>
      <c r="C105" s="7" t="s">
        <v>372</v>
      </c>
      <c r="D105" s="7" t="s">
        <v>15</v>
      </c>
      <c r="E105" s="7" t="s">
        <v>16</v>
      </c>
    </row>
    <row r="106">
      <c r="A106" s="7" t="s">
        <v>373</v>
      </c>
      <c r="B106" s="7" t="s">
        <v>374</v>
      </c>
      <c r="C106" s="7" t="s">
        <v>375</v>
      </c>
      <c r="D106" s="7" t="s">
        <v>15</v>
      </c>
      <c r="E106" s="7" t="s">
        <v>154</v>
      </c>
    </row>
    <row r="107">
      <c r="A107" s="7" t="s">
        <v>376</v>
      </c>
      <c r="B107" s="7" t="s">
        <v>377</v>
      </c>
      <c r="C107" s="7" t="s">
        <v>378</v>
      </c>
      <c r="D107" s="7" t="s">
        <v>15</v>
      </c>
      <c r="E107" s="7" t="s">
        <v>16</v>
      </c>
    </row>
    <row r="108">
      <c r="A108" s="7" t="s">
        <v>379</v>
      </c>
      <c r="B108" s="7" t="s">
        <v>380</v>
      </c>
      <c r="C108" s="7" t="s">
        <v>381</v>
      </c>
      <c r="D108" s="7" t="s">
        <v>15</v>
      </c>
      <c r="E108" s="7" t="s">
        <v>80</v>
      </c>
    </row>
    <row r="109">
      <c r="A109" s="7" t="s">
        <v>383</v>
      </c>
      <c r="B109" s="7" t="s">
        <v>384</v>
      </c>
      <c r="C109" s="7" t="s">
        <v>385</v>
      </c>
      <c r="D109" s="7" t="s">
        <v>24</v>
      </c>
      <c r="E109" s="7" t="s">
        <v>26</v>
      </c>
    </row>
    <row r="110">
      <c r="A110" s="7" t="s">
        <v>386</v>
      </c>
      <c r="B110" s="7" t="s">
        <v>387</v>
      </c>
      <c r="C110" s="7" t="s">
        <v>388</v>
      </c>
      <c r="D110" s="7" t="s">
        <v>24</v>
      </c>
      <c r="E110" s="7" t="s">
        <v>26</v>
      </c>
    </row>
    <row r="111">
      <c r="A111" s="7" t="s">
        <v>389</v>
      </c>
      <c r="B111" s="7" t="s">
        <v>390</v>
      </c>
      <c r="C111" s="7" t="s">
        <v>391</v>
      </c>
      <c r="D111" s="7" t="s">
        <v>15</v>
      </c>
      <c r="E111" s="7" t="s">
        <v>80</v>
      </c>
    </row>
    <row r="112">
      <c r="A112" s="7" t="s">
        <v>392</v>
      </c>
      <c r="B112" s="7" t="s">
        <v>393</v>
      </c>
      <c r="C112" s="7" t="s">
        <v>394</v>
      </c>
      <c r="D112" s="7" t="s">
        <v>24</v>
      </c>
      <c r="E112" s="7" t="s">
        <v>33</v>
      </c>
    </row>
    <row r="113">
      <c r="A113" s="7" t="s">
        <v>395</v>
      </c>
      <c r="B113" s="7" t="s">
        <v>396</v>
      </c>
      <c r="C113" s="7" t="s">
        <v>397</v>
      </c>
      <c r="D113" s="7" t="s">
        <v>66</v>
      </c>
      <c r="E113" s="7" t="s">
        <v>67</v>
      </c>
    </row>
    <row r="114">
      <c r="A114" s="7" t="s">
        <v>398</v>
      </c>
      <c r="B114" s="7" t="s">
        <v>399</v>
      </c>
      <c r="C114" s="7" t="s">
        <v>400</v>
      </c>
      <c r="D114" s="7" t="s">
        <v>15</v>
      </c>
      <c r="E114" s="7" t="s">
        <v>191</v>
      </c>
    </row>
    <row r="115">
      <c r="A115" s="7" t="s">
        <v>401</v>
      </c>
      <c r="B115" s="7" t="s">
        <v>402</v>
      </c>
      <c r="C115" s="7" t="s">
        <v>403</v>
      </c>
      <c r="D115" s="7" t="s">
        <v>24</v>
      </c>
      <c r="E115" s="7" t="s">
        <v>26</v>
      </c>
    </row>
    <row r="116">
      <c r="A116" s="7" t="s">
        <v>404</v>
      </c>
      <c r="B116" s="7" t="s">
        <v>405</v>
      </c>
      <c r="C116" s="7" t="s">
        <v>406</v>
      </c>
      <c r="D116" s="7" t="s">
        <v>15</v>
      </c>
      <c r="E116" s="7" t="s">
        <v>80</v>
      </c>
    </row>
    <row r="117">
      <c r="A117" s="7" t="s">
        <v>407</v>
      </c>
      <c r="B117" s="7" t="s">
        <v>408</v>
      </c>
      <c r="C117" s="7" t="s">
        <v>409</v>
      </c>
      <c r="D117" s="7" t="s">
        <v>15</v>
      </c>
      <c r="E117" s="7" t="s">
        <v>410</v>
      </c>
    </row>
    <row r="118">
      <c r="A118" s="7" t="s">
        <v>411</v>
      </c>
      <c r="B118" s="7" t="s">
        <v>412</v>
      </c>
      <c r="C118" s="7" t="s">
        <v>413</v>
      </c>
      <c r="D118" s="7" t="s">
        <v>41</v>
      </c>
      <c r="E118" s="7" t="s">
        <v>62</v>
      </c>
    </row>
    <row r="119">
      <c r="A119" s="7" t="s">
        <v>414</v>
      </c>
      <c r="B119" s="7" t="s">
        <v>415</v>
      </c>
      <c r="C119" s="7" t="s">
        <v>416</v>
      </c>
      <c r="D119" s="7" t="s">
        <v>51</v>
      </c>
      <c r="E119" s="7" t="s">
        <v>333</v>
      </c>
    </row>
    <row r="120">
      <c r="A120" s="7" t="s">
        <v>417</v>
      </c>
      <c r="B120" s="7" t="s">
        <v>418</v>
      </c>
      <c r="C120" s="7" t="s">
        <v>419</v>
      </c>
      <c r="D120" s="7" t="s">
        <v>15</v>
      </c>
      <c r="E120" s="7" t="s">
        <v>191</v>
      </c>
    </row>
    <row r="121">
      <c r="A121" s="7" t="s">
        <v>420</v>
      </c>
      <c r="B121" s="7" t="s">
        <v>421</v>
      </c>
      <c r="C121" s="7" t="s">
        <v>422</v>
      </c>
      <c r="D121" s="7" t="s">
        <v>15</v>
      </c>
      <c r="E121" s="7" t="s">
        <v>191</v>
      </c>
    </row>
    <row r="122">
      <c r="A122" s="7" t="s">
        <v>423</v>
      </c>
      <c r="B122" s="7" t="s">
        <v>424</v>
      </c>
      <c r="C122" s="7" t="s">
        <v>425</v>
      </c>
      <c r="D122" s="7" t="s">
        <v>15</v>
      </c>
      <c r="E122" s="7" t="s">
        <v>80</v>
      </c>
    </row>
    <row r="123">
      <c r="A123" s="7" t="s">
        <v>426</v>
      </c>
      <c r="B123" s="7" t="s">
        <v>427</v>
      </c>
      <c r="C123" s="7" t="s">
        <v>428</v>
      </c>
      <c r="D123" s="7" t="s">
        <v>15</v>
      </c>
      <c r="E123" s="7" t="s">
        <v>410</v>
      </c>
    </row>
    <row r="124">
      <c r="A124" s="7" t="s">
        <v>429</v>
      </c>
      <c r="B124" s="7" t="s">
        <v>430</v>
      </c>
      <c r="C124" s="7" t="s">
        <v>431</v>
      </c>
      <c r="D124" s="7" t="s">
        <v>15</v>
      </c>
      <c r="E124" s="7" t="s">
        <v>154</v>
      </c>
    </row>
    <row r="125">
      <c r="A125" s="7" t="s">
        <v>432</v>
      </c>
      <c r="B125" s="7" t="s">
        <v>433</v>
      </c>
      <c r="C125" s="7" t="s">
        <v>434</v>
      </c>
      <c r="D125" s="7" t="s">
        <v>24</v>
      </c>
      <c r="E125" s="7" t="s">
        <v>26</v>
      </c>
    </row>
    <row r="126">
      <c r="A126" s="7" t="s">
        <v>435</v>
      </c>
      <c r="B126" s="7" t="s">
        <v>436</v>
      </c>
      <c r="C126" s="7" t="s">
        <v>437</v>
      </c>
      <c r="D126" s="7" t="s">
        <v>15</v>
      </c>
      <c r="E126" s="7" t="s">
        <v>80</v>
      </c>
    </row>
    <row r="127">
      <c r="A127" s="7" t="s">
        <v>438</v>
      </c>
      <c r="B127" s="7" t="s">
        <v>440</v>
      </c>
      <c r="C127" s="7" t="s">
        <v>441</v>
      </c>
      <c r="D127" s="7" t="s">
        <v>41</v>
      </c>
      <c r="E127" s="7" t="s">
        <v>62</v>
      </c>
    </row>
    <row r="128">
      <c r="A128" s="7" t="s">
        <v>442</v>
      </c>
      <c r="B128" s="7" t="s">
        <v>443</v>
      </c>
      <c r="C128" s="7" t="s">
        <v>444</v>
      </c>
      <c r="D128" s="7" t="s">
        <v>41</v>
      </c>
      <c r="E128" s="7" t="s">
        <v>62</v>
      </c>
    </row>
    <row r="129">
      <c r="A129" s="7" t="s">
        <v>445</v>
      </c>
      <c r="B129" s="7" t="s">
        <v>446</v>
      </c>
      <c r="C129" s="7" t="s">
        <v>447</v>
      </c>
      <c r="D129" s="7" t="s">
        <v>41</v>
      </c>
      <c r="E129" s="7" t="s">
        <v>42</v>
      </c>
    </row>
    <row r="130">
      <c r="A130" s="7" t="s">
        <v>448</v>
      </c>
      <c r="B130" s="7" t="s">
        <v>449</v>
      </c>
      <c r="C130" s="7" t="s">
        <v>450</v>
      </c>
      <c r="D130" s="7" t="s">
        <v>24</v>
      </c>
      <c r="E130" s="7" t="s">
        <v>91</v>
      </c>
    </row>
    <row r="131">
      <c r="A131" s="7" t="s">
        <v>451</v>
      </c>
      <c r="B131" s="7" t="s">
        <v>452</v>
      </c>
      <c r="C131" s="7" t="s">
        <v>453</v>
      </c>
      <c r="D131" s="7" t="s">
        <v>24</v>
      </c>
      <c r="E131" s="7" t="s">
        <v>26</v>
      </c>
    </row>
    <row r="132">
      <c r="A132" s="7" t="s">
        <v>454</v>
      </c>
      <c r="B132" s="7" t="s">
        <v>455</v>
      </c>
      <c r="C132" s="7" t="s">
        <v>456</v>
      </c>
      <c r="D132" s="7" t="s">
        <v>24</v>
      </c>
      <c r="E132" s="7" t="s">
        <v>91</v>
      </c>
    </row>
    <row r="133">
      <c r="A133" s="7" t="s">
        <v>457</v>
      </c>
      <c r="B133" s="7" t="s">
        <v>458</v>
      </c>
      <c r="C133" s="7" t="s">
        <v>459</v>
      </c>
      <c r="D133" s="7" t="s">
        <v>15</v>
      </c>
      <c r="E133" s="7" t="s">
        <v>191</v>
      </c>
    </row>
    <row r="134">
      <c r="A134" s="7" t="s">
        <v>460</v>
      </c>
      <c r="B134" s="7" t="s">
        <v>461</v>
      </c>
      <c r="C134" s="7" t="s">
        <v>462</v>
      </c>
      <c r="D134" s="7" t="s">
        <v>24</v>
      </c>
      <c r="E134" s="7" t="s">
        <v>33</v>
      </c>
    </row>
    <row r="135">
      <c r="A135" s="7" t="s">
        <v>463</v>
      </c>
      <c r="B135" s="7" t="s">
        <v>464</v>
      </c>
      <c r="C135" s="7" t="s">
        <v>465</v>
      </c>
      <c r="D135" s="7" t="s">
        <v>41</v>
      </c>
      <c r="E135" s="7" t="s">
        <v>62</v>
      </c>
    </row>
    <row r="136">
      <c r="A136" s="7" t="s">
        <v>466</v>
      </c>
      <c r="B136" s="7" t="s">
        <v>467</v>
      </c>
      <c r="C136" s="7" t="s">
        <v>468</v>
      </c>
      <c r="D136" s="7" t="s">
        <v>41</v>
      </c>
      <c r="E136" s="7" t="s">
        <v>62</v>
      </c>
    </row>
    <row r="137">
      <c r="A137" s="7" t="s">
        <v>469</v>
      </c>
      <c r="B137" s="7" t="s">
        <v>470</v>
      </c>
      <c r="C137" s="7" t="s">
        <v>471</v>
      </c>
      <c r="D137" s="7" t="s">
        <v>15</v>
      </c>
      <c r="E137" s="7" t="s">
        <v>154</v>
      </c>
    </row>
    <row r="138">
      <c r="A138" s="7" t="s">
        <v>472</v>
      </c>
      <c r="B138" s="7" t="s">
        <v>473</v>
      </c>
      <c r="C138" s="7" t="s">
        <v>474</v>
      </c>
      <c r="D138" s="7" t="s">
        <v>15</v>
      </c>
      <c r="E138" s="7" t="s">
        <v>16</v>
      </c>
    </row>
    <row r="139">
      <c r="A139" s="7" t="s">
        <v>475</v>
      </c>
      <c r="B139" s="7" t="s">
        <v>476</v>
      </c>
      <c r="C139" s="7" t="s">
        <v>477</v>
      </c>
      <c r="D139" s="7" t="s">
        <v>41</v>
      </c>
      <c r="E139" s="7" t="s">
        <v>62</v>
      </c>
    </row>
    <row r="140">
      <c r="A140" s="7" t="s">
        <v>478</v>
      </c>
      <c r="B140" s="7" t="s">
        <v>479</v>
      </c>
      <c r="C140" s="7" t="s">
        <v>480</v>
      </c>
      <c r="D140" s="7" t="s">
        <v>24</v>
      </c>
      <c r="E140" s="7" t="s">
        <v>33</v>
      </c>
    </row>
    <row r="141">
      <c r="A141" s="7" t="s">
        <v>481</v>
      </c>
      <c r="B141" s="7" t="s">
        <v>482</v>
      </c>
      <c r="C141" s="7" t="s">
        <v>483</v>
      </c>
      <c r="D141" s="7" t="s">
        <v>51</v>
      </c>
      <c r="E141" s="7" t="s">
        <v>333</v>
      </c>
    </row>
    <row r="142">
      <c r="A142" s="7" t="s">
        <v>484</v>
      </c>
      <c r="B142" s="7" t="s">
        <v>485</v>
      </c>
      <c r="C142" s="7" t="s">
        <v>486</v>
      </c>
      <c r="D142" s="7" t="s">
        <v>66</v>
      </c>
      <c r="E142" s="7" t="s">
        <v>67</v>
      </c>
    </row>
    <row r="143">
      <c r="A143" s="7" t="s">
        <v>487</v>
      </c>
      <c r="B143" s="7" t="s">
        <v>488</v>
      </c>
      <c r="C143" s="7" t="s">
        <v>489</v>
      </c>
      <c r="D143" s="7" t="s">
        <v>41</v>
      </c>
      <c r="E143" s="7" t="s">
        <v>62</v>
      </c>
    </row>
    <row r="144">
      <c r="A144" s="7" t="s">
        <v>490</v>
      </c>
      <c r="B144" s="7" t="s">
        <v>491</v>
      </c>
      <c r="C144" s="7" t="s">
        <v>492</v>
      </c>
      <c r="D144" s="7" t="s">
        <v>41</v>
      </c>
      <c r="E144" s="7" t="s">
        <v>62</v>
      </c>
    </row>
    <row r="145">
      <c r="A145" s="7" t="s">
        <v>493</v>
      </c>
      <c r="B145" s="7" t="s">
        <v>494</v>
      </c>
      <c r="C145" s="7" t="s">
        <v>495</v>
      </c>
      <c r="D145" s="7" t="s">
        <v>41</v>
      </c>
      <c r="E145" s="7" t="s">
        <v>62</v>
      </c>
    </row>
    <row r="146">
      <c r="A146" s="7" t="s">
        <v>496</v>
      </c>
      <c r="B146" s="7" t="s">
        <v>497</v>
      </c>
      <c r="C146" s="7" t="s">
        <v>498</v>
      </c>
      <c r="D146" s="7" t="s">
        <v>66</v>
      </c>
      <c r="E146" s="7" t="s">
        <v>67</v>
      </c>
    </row>
    <row r="147">
      <c r="A147" s="7" t="s">
        <v>499</v>
      </c>
      <c r="B147" s="7" t="s">
        <v>500</v>
      </c>
      <c r="C147" s="7" t="s">
        <v>501</v>
      </c>
      <c r="D147" s="7" t="s">
        <v>51</v>
      </c>
      <c r="E147" s="7" t="s">
        <v>333</v>
      </c>
    </row>
    <row r="148">
      <c r="A148" s="7" t="s">
        <v>502</v>
      </c>
      <c r="B148" s="7" t="s">
        <v>503</v>
      </c>
      <c r="C148" s="7" t="s">
        <v>504</v>
      </c>
      <c r="D148" s="7" t="s">
        <v>24</v>
      </c>
      <c r="E148" s="7" t="s">
        <v>112</v>
      </c>
    </row>
    <row r="149">
      <c r="A149" s="7" t="s">
        <v>505</v>
      </c>
      <c r="B149" s="7" t="s">
        <v>506</v>
      </c>
      <c r="C149" s="7" t="s">
        <v>507</v>
      </c>
      <c r="D149" s="7" t="s">
        <v>24</v>
      </c>
      <c r="E149" s="7" t="s">
        <v>91</v>
      </c>
    </row>
    <row r="150">
      <c r="A150" s="7" t="s">
        <v>508</v>
      </c>
      <c r="B150" s="7" t="s">
        <v>509</v>
      </c>
      <c r="C150" s="7" t="s">
        <v>510</v>
      </c>
      <c r="D150" s="7" t="s">
        <v>15</v>
      </c>
      <c r="E150" s="7" t="s">
        <v>191</v>
      </c>
    </row>
    <row r="151">
      <c r="A151" s="7" t="s">
        <v>323</v>
      </c>
      <c r="B151" s="7" t="s">
        <v>511</v>
      </c>
      <c r="C151" s="7" t="s">
        <v>512</v>
      </c>
      <c r="D151" s="7" t="s">
        <v>24</v>
      </c>
      <c r="E151" s="7" t="s">
        <v>33</v>
      </c>
    </row>
    <row r="152">
      <c r="A152" s="7" t="s">
        <v>513</v>
      </c>
      <c r="B152" s="7" t="s">
        <v>514</v>
      </c>
      <c r="C152" s="7" t="s">
        <v>515</v>
      </c>
      <c r="D152" s="7" t="s">
        <v>66</v>
      </c>
      <c r="E152" s="7" t="s">
        <v>67</v>
      </c>
    </row>
    <row r="153">
      <c r="A153" s="7" t="s">
        <v>516</v>
      </c>
      <c r="B153" s="7" t="s">
        <v>517</v>
      </c>
      <c r="C153" s="7" t="s">
        <v>518</v>
      </c>
      <c r="D153" s="7" t="s">
        <v>41</v>
      </c>
      <c r="E153" s="7" t="s">
        <v>42</v>
      </c>
    </row>
    <row r="154">
      <c r="A154" s="7" t="s">
        <v>519</v>
      </c>
      <c r="B154" s="7" t="s">
        <v>520</v>
      </c>
      <c r="C154" s="7" t="s">
        <v>521</v>
      </c>
      <c r="D154" s="7" t="s">
        <v>41</v>
      </c>
      <c r="E154" s="7" t="s">
        <v>62</v>
      </c>
    </row>
    <row r="155">
      <c r="A155" s="7" t="s">
        <v>522</v>
      </c>
      <c r="B155" s="7" t="s">
        <v>523</v>
      </c>
      <c r="C155" s="7" t="s">
        <v>524</v>
      </c>
      <c r="D155" s="7" t="s">
        <v>15</v>
      </c>
      <c r="E155" s="7" t="s">
        <v>154</v>
      </c>
    </row>
    <row r="156">
      <c r="A156" s="7" t="s">
        <v>525</v>
      </c>
      <c r="B156" s="7" t="s">
        <v>526</v>
      </c>
      <c r="C156" s="7" t="s">
        <v>527</v>
      </c>
      <c r="D156" s="7" t="s">
        <v>41</v>
      </c>
      <c r="E156" s="7" t="s">
        <v>62</v>
      </c>
    </row>
    <row r="157">
      <c r="A157" s="7" t="s">
        <v>528</v>
      </c>
      <c r="B157" s="7" t="s">
        <v>529</v>
      </c>
      <c r="C157" s="7" t="s">
        <v>530</v>
      </c>
      <c r="D157" s="7" t="s">
        <v>51</v>
      </c>
      <c r="E157" s="7" t="s">
        <v>333</v>
      </c>
    </row>
    <row r="158">
      <c r="A158" s="7" t="s">
        <v>531</v>
      </c>
      <c r="B158" s="7" t="s">
        <v>532</v>
      </c>
      <c r="C158" s="7" t="s">
        <v>533</v>
      </c>
      <c r="D158" s="7" t="s">
        <v>15</v>
      </c>
      <c r="E158" s="7" t="s">
        <v>16</v>
      </c>
    </row>
    <row r="159">
      <c r="A159" s="7" t="s">
        <v>534</v>
      </c>
      <c r="B159" s="7" t="s">
        <v>535</v>
      </c>
      <c r="C159" s="7" t="s">
        <v>536</v>
      </c>
      <c r="D159" s="7" t="s">
        <v>24</v>
      </c>
      <c r="E159" s="7" t="s">
        <v>91</v>
      </c>
    </row>
    <row r="160">
      <c r="A160" s="7" t="s">
        <v>537</v>
      </c>
      <c r="B160" s="7" t="s">
        <v>538</v>
      </c>
      <c r="C160" s="7" t="s">
        <v>539</v>
      </c>
      <c r="D160" s="7" t="s">
        <v>51</v>
      </c>
      <c r="E160" s="7" t="s">
        <v>282</v>
      </c>
    </row>
    <row r="161">
      <c r="A161" s="7" t="s">
        <v>541</v>
      </c>
      <c r="B161" s="7" t="s">
        <v>542</v>
      </c>
      <c r="C161" s="7" t="s">
        <v>543</v>
      </c>
      <c r="D161" s="7" t="s">
        <v>51</v>
      </c>
      <c r="E161" s="7" t="s">
        <v>87</v>
      </c>
    </row>
    <row r="162">
      <c r="A162" s="7" t="s">
        <v>544</v>
      </c>
      <c r="B162" s="7" t="s">
        <v>545</v>
      </c>
      <c r="C162" s="7" t="s">
        <v>546</v>
      </c>
      <c r="D162" s="7" t="s">
        <v>66</v>
      </c>
      <c r="E162" s="7" t="s">
        <v>67</v>
      </c>
    </row>
    <row r="163">
      <c r="A163" s="7" t="s">
        <v>547</v>
      </c>
      <c r="B163" s="7" t="s">
        <v>548</v>
      </c>
      <c r="C163" s="7" t="s">
        <v>549</v>
      </c>
      <c r="D163" s="7" t="s">
        <v>41</v>
      </c>
      <c r="E163" s="7" t="s">
        <v>62</v>
      </c>
    </row>
    <row r="164">
      <c r="A164" s="7" t="s">
        <v>550</v>
      </c>
      <c r="B164" s="7" t="s">
        <v>551</v>
      </c>
      <c r="C164" s="7" t="s">
        <v>552</v>
      </c>
      <c r="D164" s="7" t="s">
        <v>41</v>
      </c>
      <c r="E164" s="7" t="s">
        <v>62</v>
      </c>
    </row>
    <row r="165">
      <c r="A165" s="7" t="s">
        <v>553</v>
      </c>
      <c r="B165" s="7" t="s">
        <v>554</v>
      </c>
      <c r="C165" s="7" t="s">
        <v>555</v>
      </c>
      <c r="D165" s="7" t="s">
        <v>51</v>
      </c>
      <c r="E165" s="7" t="s">
        <v>53</v>
      </c>
    </row>
    <row r="166">
      <c r="A166" s="7" t="s">
        <v>556</v>
      </c>
      <c r="B166" s="7" t="s">
        <v>557</v>
      </c>
      <c r="C166" s="7" t="s">
        <v>558</v>
      </c>
      <c r="D166" s="7" t="s">
        <v>51</v>
      </c>
      <c r="E166" s="7" t="s">
        <v>87</v>
      </c>
    </row>
    <row r="167">
      <c r="A167" s="7" t="s">
        <v>559</v>
      </c>
      <c r="B167" s="7" t="s">
        <v>560</v>
      </c>
      <c r="C167" s="7" t="s">
        <v>561</v>
      </c>
      <c r="D167" s="7" t="s">
        <v>51</v>
      </c>
      <c r="E167" s="7" t="s">
        <v>333</v>
      </c>
    </row>
    <row r="168">
      <c r="A168" s="7" t="s">
        <v>111</v>
      </c>
      <c r="B168" s="7" t="s">
        <v>562</v>
      </c>
      <c r="C168" s="7" t="s">
        <v>563</v>
      </c>
      <c r="D168" s="7" t="s">
        <v>24</v>
      </c>
      <c r="E168" s="7" t="s">
        <v>26</v>
      </c>
    </row>
    <row r="169">
      <c r="A169" s="7" t="s">
        <v>564</v>
      </c>
      <c r="B169" s="7" t="s">
        <v>565</v>
      </c>
      <c r="C169" s="7" t="s">
        <v>566</v>
      </c>
      <c r="D169" s="7" t="s">
        <v>15</v>
      </c>
      <c r="E169" s="7" t="s">
        <v>80</v>
      </c>
    </row>
    <row r="170">
      <c r="A170" s="7" t="s">
        <v>567</v>
      </c>
      <c r="B170" s="7" t="s">
        <v>568</v>
      </c>
      <c r="C170" s="7" t="s">
        <v>569</v>
      </c>
      <c r="D170" s="7" t="s">
        <v>15</v>
      </c>
      <c r="E170" s="7" t="s">
        <v>16</v>
      </c>
    </row>
    <row r="171">
      <c r="A171" s="7" t="s">
        <v>570</v>
      </c>
      <c r="B171" s="7" t="s">
        <v>571</v>
      </c>
      <c r="C171" s="7" t="s">
        <v>572</v>
      </c>
      <c r="D171" s="7" t="s">
        <v>51</v>
      </c>
      <c r="E171" s="7" t="s">
        <v>333</v>
      </c>
    </row>
    <row r="172">
      <c r="A172" s="7" t="s">
        <v>573</v>
      </c>
      <c r="B172" s="7" t="s">
        <v>574</v>
      </c>
      <c r="C172" s="7" t="s">
        <v>575</v>
      </c>
      <c r="D172" s="7" t="s">
        <v>15</v>
      </c>
      <c r="E172" s="7" t="s">
        <v>80</v>
      </c>
    </row>
    <row r="173">
      <c r="A173" s="7" t="s">
        <v>576</v>
      </c>
      <c r="B173" s="7" t="s">
        <v>577</v>
      </c>
      <c r="C173" s="7" t="s">
        <v>578</v>
      </c>
      <c r="D173" s="7" t="s">
        <v>66</v>
      </c>
      <c r="E173" s="7" t="s">
        <v>67</v>
      </c>
    </row>
    <row r="174">
      <c r="A174" s="7" t="s">
        <v>579</v>
      </c>
      <c r="B174" s="7" t="s">
        <v>580</v>
      </c>
      <c r="C174" s="7" t="s">
        <v>581</v>
      </c>
      <c r="D174" s="7" t="s">
        <v>51</v>
      </c>
      <c r="E174" s="7" t="s">
        <v>282</v>
      </c>
    </row>
    <row r="175">
      <c r="A175" s="7" t="s">
        <v>582</v>
      </c>
      <c r="B175" s="7" t="s">
        <v>583</v>
      </c>
      <c r="C175" s="7" t="s">
        <v>584</v>
      </c>
      <c r="D175" s="7" t="s">
        <v>66</v>
      </c>
      <c r="E175" s="7" t="s">
        <v>67</v>
      </c>
    </row>
    <row r="176">
      <c r="A176" s="7" t="s">
        <v>585</v>
      </c>
      <c r="B176" s="7" t="s">
        <v>586</v>
      </c>
      <c r="C176" s="7" t="s">
        <v>587</v>
      </c>
      <c r="D176" s="7" t="s">
        <v>66</v>
      </c>
      <c r="E176" s="7" t="s">
        <v>67</v>
      </c>
    </row>
    <row r="177">
      <c r="A177" s="7" t="s">
        <v>588</v>
      </c>
      <c r="B177" s="7" t="s">
        <v>589</v>
      </c>
      <c r="C177" s="7" t="s">
        <v>590</v>
      </c>
      <c r="D177" s="7" t="s">
        <v>15</v>
      </c>
      <c r="E177" s="7" t="s">
        <v>154</v>
      </c>
    </row>
    <row r="178">
      <c r="A178" s="7" t="s">
        <v>591</v>
      </c>
      <c r="B178" s="7" t="s">
        <v>592</v>
      </c>
      <c r="C178" s="7" t="s">
        <v>593</v>
      </c>
      <c r="D178" s="7" t="s">
        <v>51</v>
      </c>
      <c r="E178" s="7" t="s">
        <v>53</v>
      </c>
    </row>
    <row r="179">
      <c r="A179" s="7" t="s">
        <v>594</v>
      </c>
      <c r="B179" s="7" t="s">
        <v>595</v>
      </c>
      <c r="C179" s="7" t="s">
        <v>596</v>
      </c>
      <c r="D179" s="7" t="s">
        <v>24</v>
      </c>
      <c r="E179" s="7" t="s">
        <v>112</v>
      </c>
    </row>
    <row r="180">
      <c r="A180" s="7" t="s">
        <v>597</v>
      </c>
      <c r="B180" s="7" t="s">
        <v>598</v>
      </c>
      <c r="C180" s="7" t="s">
        <v>599</v>
      </c>
      <c r="D180" s="7" t="s">
        <v>24</v>
      </c>
      <c r="E180" s="7" t="s">
        <v>33</v>
      </c>
    </row>
    <row r="181">
      <c r="A181" s="7" t="s">
        <v>600</v>
      </c>
      <c r="B181" s="7" t="s">
        <v>601</v>
      </c>
      <c r="C181" s="7" t="s">
        <v>602</v>
      </c>
      <c r="D181" s="7" t="s">
        <v>66</v>
      </c>
      <c r="E181" s="7" t="s">
        <v>67</v>
      </c>
    </row>
    <row r="182">
      <c r="A182" s="7" t="s">
        <v>603</v>
      </c>
      <c r="B182" s="7" t="s">
        <v>604</v>
      </c>
      <c r="C182" s="7" t="s">
        <v>605</v>
      </c>
      <c r="D182" s="7" t="s">
        <v>15</v>
      </c>
      <c r="E182" s="7" t="s">
        <v>80</v>
      </c>
    </row>
    <row r="183">
      <c r="A183" s="7" t="s">
        <v>606</v>
      </c>
      <c r="B183" s="7" t="s">
        <v>607</v>
      </c>
      <c r="C183" s="7" t="s">
        <v>608</v>
      </c>
      <c r="D183" s="7" t="s">
        <v>41</v>
      </c>
      <c r="E183" s="7" t="s">
        <v>62</v>
      </c>
    </row>
    <row r="184">
      <c r="A184" s="7" t="s">
        <v>609</v>
      </c>
      <c r="B184" s="7" t="s">
        <v>610</v>
      </c>
      <c r="C184" s="7" t="s">
        <v>611</v>
      </c>
      <c r="D184" s="7" t="s">
        <v>24</v>
      </c>
      <c r="E184" s="7" t="s">
        <v>112</v>
      </c>
    </row>
    <row r="185">
      <c r="A185" s="7" t="s">
        <v>612</v>
      </c>
      <c r="B185" s="7" t="s">
        <v>613</v>
      </c>
      <c r="C185" s="7" t="s">
        <v>614</v>
      </c>
      <c r="D185" s="7" t="s">
        <v>24</v>
      </c>
      <c r="E185" s="7" t="s">
        <v>112</v>
      </c>
    </row>
    <row r="186">
      <c r="A186" s="7" t="s">
        <v>615</v>
      </c>
      <c r="B186" s="7" t="s">
        <v>616</v>
      </c>
      <c r="C186" s="7" t="s">
        <v>617</v>
      </c>
      <c r="D186" s="7" t="s">
        <v>41</v>
      </c>
      <c r="E186" s="7" t="s">
        <v>62</v>
      </c>
    </row>
    <row r="187">
      <c r="A187" s="7" t="s">
        <v>618</v>
      </c>
      <c r="B187" s="7" t="s">
        <v>619</v>
      </c>
      <c r="C187" s="7" t="s">
        <v>620</v>
      </c>
      <c r="D187" s="7" t="s">
        <v>66</v>
      </c>
      <c r="E187" s="7" t="s">
        <v>67</v>
      </c>
    </row>
    <row r="188">
      <c r="A188" s="7" t="s">
        <v>621</v>
      </c>
      <c r="B188" s="7" t="s">
        <v>622</v>
      </c>
      <c r="C188" s="7" t="s">
        <v>623</v>
      </c>
      <c r="D188" s="7" t="s">
        <v>41</v>
      </c>
      <c r="E188" s="7" t="s">
        <v>62</v>
      </c>
    </row>
    <row r="189">
      <c r="A189" s="7" t="s">
        <v>624</v>
      </c>
      <c r="B189" s="7" t="s">
        <v>625</v>
      </c>
      <c r="C189" s="7" t="s">
        <v>626</v>
      </c>
      <c r="D189" s="7" t="s">
        <v>66</v>
      </c>
      <c r="E189" s="7" t="s">
        <v>67</v>
      </c>
    </row>
    <row r="190">
      <c r="A190" s="7" t="s">
        <v>627</v>
      </c>
      <c r="B190" s="7" t="s">
        <v>628</v>
      </c>
      <c r="C190" s="7" t="s">
        <v>629</v>
      </c>
      <c r="D190" s="7" t="s">
        <v>66</v>
      </c>
      <c r="E190" s="7" t="s">
        <v>67</v>
      </c>
    </row>
    <row r="191">
      <c r="A191" s="7" t="s">
        <v>630</v>
      </c>
      <c r="B191" s="7" t="s">
        <v>631</v>
      </c>
      <c r="C191" s="7" t="s">
        <v>632</v>
      </c>
      <c r="D191" s="7" t="s">
        <v>66</v>
      </c>
      <c r="E191" s="7" t="s">
        <v>67</v>
      </c>
    </row>
    <row r="192">
      <c r="A192" s="7" t="s">
        <v>633</v>
      </c>
      <c r="B192" s="7" t="s">
        <v>634</v>
      </c>
      <c r="C192" s="7" t="s">
        <v>635</v>
      </c>
      <c r="D192" s="7" t="s">
        <v>66</v>
      </c>
      <c r="E192" s="7" t="s">
        <v>125</v>
      </c>
    </row>
    <row r="193">
      <c r="A193" s="7" t="s">
        <v>636</v>
      </c>
      <c r="B193" s="7" t="s">
        <v>637</v>
      </c>
      <c r="C193" s="7" t="s">
        <v>638</v>
      </c>
      <c r="D193" s="7" t="s">
        <v>66</v>
      </c>
      <c r="E193" s="7" t="s">
        <v>67</v>
      </c>
    </row>
    <row r="194">
      <c r="A194" s="7" t="s">
        <v>639</v>
      </c>
      <c r="B194" s="7" t="s">
        <v>640</v>
      </c>
      <c r="C194" s="7" t="s">
        <v>641</v>
      </c>
      <c r="D194" s="7" t="s">
        <v>51</v>
      </c>
      <c r="E194" s="7" t="s">
        <v>53</v>
      </c>
    </row>
    <row r="195">
      <c r="A195" s="7" t="s">
        <v>642</v>
      </c>
      <c r="B195" s="7" t="s">
        <v>643</v>
      </c>
      <c r="C195" s="7" t="s">
        <v>644</v>
      </c>
      <c r="D195" s="7" t="s">
        <v>24</v>
      </c>
      <c r="E195" s="7" t="s">
        <v>33</v>
      </c>
    </row>
    <row r="196">
      <c r="A196" s="7" t="s">
        <v>645</v>
      </c>
      <c r="B196" s="7" t="s">
        <v>646</v>
      </c>
      <c r="C196" s="7" t="s">
        <v>647</v>
      </c>
      <c r="D196" s="7" t="s">
        <v>41</v>
      </c>
      <c r="E196" s="7" t="s">
        <v>62</v>
      </c>
    </row>
    <row r="197">
      <c r="A197" s="7" t="s">
        <v>648</v>
      </c>
      <c r="B197" s="7" t="s">
        <v>649</v>
      </c>
      <c r="C197" s="7" t="s">
        <v>650</v>
      </c>
      <c r="D197" s="7" t="s">
        <v>15</v>
      </c>
      <c r="E197" s="7" t="s">
        <v>80</v>
      </c>
    </row>
    <row r="198">
      <c r="A198" s="7" t="s">
        <v>651</v>
      </c>
      <c r="B198" s="7" t="s">
        <v>652</v>
      </c>
      <c r="C198" s="7" t="s">
        <v>653</v>
      </c>
      <c r="D198" s="7" t="s">
        <v>41</v>
      </c>
      <c r="E198" s="7" t="s">
        <v>62</v>
      </c>
    </row>
    <row r="199">
      <c r="A199" s="7" t="s">
        <v>200</v>
      </c>
      <c r="B199" s="7" t="s">
        <v>654</v>
      </c>
      <c r="C199" s="7" t="s">
        <v>655</v>
      </c>
      <c r="D199" s="7" t="s">
        <v>24</v>
      </c>
      <c r="E199" s="7" t="s">
        <v>33</v>
      </c>
    </row>
    <row r="200">
      <c r="A200" s="7" t="s">
        <v>656</v>
      </c>
      <c r="B200" s="7" t="s">
        <v>657</v>
      </c>
      <c r="C200" s="7" t="s">
        <v>658</v>
      </c>
      <c r="D200" s="7" t="s">
        <v>41</v>
      </c>
      <c r="E200" s="7" t="s">
        <v>62</v>
      </c>
    </row>
    <row r="201">
      <c r="A201" s="7" t="s">
        <v>659</v>
      </c>
      <c r="B201" s="7" t="s">
        <v>660</v>
      </c>
      <c r="C201" s="7" t="s">
        <v>661</v>
      </c>
      <c r="D201" s="7" t="s">
        <v>41</v>
      </c>
      <c r="E201" s="7" t="s">
        <v>62</v>
      </c>
    </row>
    <row r="202">
      <c r="A202" s="7" t="s">
        <v>662</v>
      </c>
      <c r="B202" s="7" t="s">
        <v>663</v>
      </c>
      <c r="C202" s="7" t="s">
        <v>664</v>
      </c>
      <c r="D202" s="7" t="s">
        <v>15</v>
      </c>
      <c r="E202" s="7" t="s">
        <v>154</v>
      </c>
    </row>
    <row r="203">
      <c r="A203" s="7" t="s">
        <v>665</v>
      </c>
      <c r="B203" s="7" t="s">
        <v>666</v>
      </c>
      <c r="C203" s="7" t="s">
        <v>667</v>
      </c>
      <c r="D203" s="7" t="s">
        <v>66</v>
      </c>
      <c r="E203" s="7" t="s">
        <v>67</v>
      </c>
    </row>
    <row r="204">
      <c r="A204" s="7" t="s">
        <v>439</v>
      </c>
      <c r="B204" s="7" t="s">
        <v>668</v>
      </c>
      <c r="C204" s="7" t="s">
        <v>669</v>
      </c>
      <c r="D204" s="7" t="s">
        <v>24</v>
      </c>
      <c r="E204" s="7" t="s">
        <v>112</v>
      </c>
    </row>
    <row r="205">
      <c r="A205" s="7" t="s">
        <v>670</v>
      </c>
      <c r="B205" s="7" t="s">
        <v>671</v>
      </c>
      <c r="C205" s="7" t="s">
        <v>672</v>
      </c>
      <c r="D205" s="7" t="s">
        <v>24</v>
      </c>
      <c r="E205" s="7" t="s">
        <v>33</v>
      </c>
    </row>
    <row r="206">
      <c r="A206" s="7" t="s">
        <v>673</v>
      </c>
      <c r="B206" s="7" t="s">
        <v>674</v>
      </c>
      <c r="C206" s="7" t="s">
        <v>675</v>
      </c>
      <c r="D206" s="7" t="s">
        <v>51</v>
      </c>
      <c r="E206" s="7" t="s">
        <v>282</v>
      </c>
    </row>
    <row r="207">
      <c r="A207" s="7" t="s">
        <v>676</v>
      </c>
      <c r="B207" s="7" t="s">
        <v>677</v>
      </c>
      <c r="C207" s="7" t="s">
        <v>678</v>
      </c>
      <c r="D207" s="7" t="s">
        <v>41</v>
      </c>
      <c r="E207" s="7" t="s">
        <v>62</v>
      </c>
    </row>
    <row r="208">
      <c r="A208" s="7" t="s">
        <v>679</v>
      </c>
      <c r="B208" s="7" t="s">
        <v>680</v>
      </c>
      <c r="C208" s="7" t="s">
        <v>681</v>
      </c>
      <c r="D208" s="7" t="s">
        <v>41</v>
      </c>
      <c r="E208" s="7" t="s">
        <v>62</v>
      </c>
    </row>
    <row r="209">
      <c r="A209" s="7" t="s">
        <v>682</v>
      </c>
      <c r="B209" s="7" t="s">
        <v>683</v>
      </c>
      <c r="C209" s="7" t="s">
        <v>684</v>
      </c>
      <c r="D209" s="7" t="s">
        <v>66</v>
      </c>
      <c r="E209" s="7" t="s">
        <v>67</v>
      </c>
    </row>
    <row r="210">
      <c r="A210" s="7" t="s">
        <v>685</v>
      </c>
      <c r="B210" s="7" t="s">
        <v>686</v>
      </c>
      <c r="C210" s="7" t="s">
        <v>687</v>
      </c>
      <c r="D210" s="7" t="s">
        <v>41</v>
      </c>
      <c r="E210" s="7" t="s">
        <v>62</v>
      </c>
    </row>
    <row r="211">
      <c r="A211" s="7" t="s">
        <v>540</v>
      </c>
      <c r="B211" s="7" t="s">
        <v>688</v>
      </c>
      <c r="C211" s="7" t="s">
        <v>689</v>
      </c>
      <c r="D211" s="7" t="s">
        <v>24</v>
      </c>
      <c r="E211" s="7" t="s">
        <v>33</v>
      </c>
    </row>
    <row r="212">
      <c r="A212" s="7" t="s">
        <v>690</v>
      </c>
      <c r="B212" s="7" t="s">
        <v>691</v>
      </c>
      <c r="C212" s="7" t="s">
        <v>692</v>
      </c>
      <c r="D212" s="7" t="s">
        <v>15</v>
      </c>
      <c r="E212" s="7" t="s">
        <v>16</v>
      </c>
    </row>
    <row r="213">
      <c r="A213" s="7" t="s">
        <v>693</v>
      </c>
      <c r="B213" s="7" t="s">
        <v>694</v>
      </c>
      <c r="C213" s="7" t="s">
        <v>695</v>
      </c>
      <c r="D213" s="7" t="s">
        <v>41</v>
      </c>
      <c r="E213" s="7" t="s">
        <v>42</v>
      </c>
    </row>
    <row r="214">
      <c r="A214" s="7" t="s">
        <v>696</v>
      </c>
      <c r="B214" s="7" t="s">
        <v>697</v>
      </c>
      <c r="C214" s="7" t="s">
        <v>698</v>
      </c>
      <c r="D214" s="7" t="s">
        <v>66</v>
      </c>
      <c r="E214" s="7" t="s">
        <v>67</v>
      </c>
    </row>
    <row r="215">
      <c r="A215" s="7" t="s">
        <v>699</v>
      </c>
      <c r="B215" s="7" t="s">
        <v>700</v>
      </c>
      <c r="C215" s="7" t="s">
        <v>701</v>
      </c>
      <c r="D215" s="7" t="s">
        <v>24</v>
      </c>
      <c r="E215" s="7" t="s">
        <v>26</v>
      </c>
    </row>
    <row r="216">
      <c r="A216" s="7" t="s">
        <v>702</v>
      </c>
      <c r="B216" s="7" t="s">
        <v>703</v>
      </c>
      <c r="C216" s="7" t="s">
        <v>704</v>
      </c>
      <c r="D216" s="7" t="s">
        <v>24</v>
      </c>
      <c r="E216" s="7" t="s">
        <v>26</v>
      </c>
    </row>
    <row r="217">
      <c r="A217" s="7" t="s">
        <v>705</v>
      </c>
      <c r="B217" s="7" t="s">
        <v>706</v>
      </c>
      <c r="C217" s="7" t="s">
        <v>707</v>
      </c>
      <c r="D217" s="7" t="s">
        <v>24</v>
      </c>
      <c r="E217" s="7" t="s">
        <v>91</v>
      </c>
    </row>
    <row r="218">
      <c r="A218" s="7" t="s">
        <v>708</v>
      </c>
      <c r="B218" s="7" t="s">
        <v>709</v>
      </c>
      <c r="C218" s="7" t="s">
        <v>710</v>
      </c>
      <c r="D218" s="7" t="s">
        <v>15</v>
      </c>
      <c r="E218" s="7" t="s">
        <v>80</v>
      </c>
    </row>
    <row r="219">
      <c r="A219" s="7" t="s">
        <v>711</v>
      </c>
      <c r="B219" s="7" t="s">
        <v>712</v>
      </c>
      <c r="C219" s="7" t="s">
        <v>713</v>
      </c>
      <c r="D219" s="7" t="s">
        <v>15</v>
      </c>
      <c r="E219" s="7" t="s">
        <v>191</v>
      </c>
    </row>
    <row r="220">
      <c r="A220" s="7" t="s">
        <v>714</v>
      </c>
      <c r="B220" s="7" t="s">
        <v>715</v>
      </c>
      <c r="C220" s="7" t="s">
        <v>716</v>
      </c>
      <c r="D220" s="7" t="s">
        <v>15</v>
      </c>
      <c r="E220" s="7" t="s">
        <v>410</v>
      </c>
    </row>
    <row r="221">
      <c r="A221" s="7" t="s">
        <v>717</v>
      </c>
      <c r="B221" s="7" t="s">
        <v>718</v>
      </c>
      <c r="C221" s="7" t="s">
        <v>719</v>
      </c>
      <c r="D221" s="7" t="s">
        <v>41</v>
      </c>
      <c r="E221" s="7" t="s">
        <v>62</v>
      </c>
    </row>
    <row r="222">
      <c r="A222" s="7" t="s">
        <v>720</v>
      </c>
      <c r="B222" s="7" t="s">
        <v>721</v>
      </c>
      <c r="C222" s="7" t="s">
        <v>722</v>
      </c>
      <c r="D222" s="7" t="s">
        <v>15</v>
      </c>
      <c r="E222" s="7" t="s">
        <v>154</v>
      </c>
    </row>
    <row r="223">
      <c r="A223" s="7" t="s">
        <v>723</v>
      </c>
      <c r="B223" s="7" t="s">
        <v>724</v>
      </c>
      <c r="C223" s="7" t="s">
        <v>725</v>
      </c>
      <c r="D223" s="7" t="s">
        <v>15</v>
      </c>
      <c r="E223" s="7" t="s">
        <v>154</v>
      </c>
    </row>
    <row r="224">
      <c r="A224" s="7" t="s">
        <v>726</v>
      </c>
      <c r="B224" s="7" t="s">
        <v>727</v>
      </c>
      <c r="C224" s="7" t="s">
        <v>728</v>
      </c>
      <c r="D224" s="7" t="s">
        <v>41</v>
      </c>
      <c r="E224" s="7" t="s">
        <v>62</v>
      </c>
    </row>
    <row r="225">
      <c r="A225" s="7" t="s">
        <v>729</v>
      </c>
      <c r="B225" s="7" t="s">
        <v>730</v>
      </c>
      <c r="C225" s="7" t="s">
        <v>731</v>
      </c>
      <c r="D225" s="7" t="s">
        <v>51</v>
      </c>
      <c r="E225" s="7" t="s">
        <v>53</v>
      </c>
    </row>
    <row r="226">
      <c r="A226" s="7" t="s">
        <v>732</v>
      </c>
      <c r="B226" s="7" t="s">
        <v>733</v>
      </c>
      <c r="C226" s="7" t="s">
        <v>734</v>
      </c>
      <c r="D226" s="7" t="s">
        <v>51</v>
      </c>
      <c r="E226" s="7" t="s">
        <v>53</v>
      </c>
    </row>
    <row r="227">
      <c r="A227" s="7" t="s">
        <v>735</v>
      </c>
      <c r="B227" s="7" t="s">
        <v>736</v>
      </c>
      <c r="C227" s="7" t="s">
        <v>737</v>
      </c>
      <c r="D227" s="7" t="s">
        <v>66</v>
      </c>
      <c r="E227" s="7" t="s">
        <v>67</v>
      </c>
    </row>
    <row r="228">
      <c r="A228" s="7" t="s">
        <v>738</v>
      </c>
      <c r="B228" s="7" t="s">
        <v>739</v>
      </c>
      <c r="C228" s="7" t="s">
        <v>740</v>
      </c>
      <c r="D228" s="7" t="s">
        <v>41</v>
      </c>
      <c r="E228" s="7" t="s">
        <v>42</v>
      </c>
    </row>
    <row r="229">
      <c r="A229" s="7" t="s">
        <v>741</v>
      </c>
      <c r="B229" s="7" t="s">
        <v>742</v>
      </c>
      <c r="C229" s="7" t="s">
        <v>743</v>
      </c>
      <c r="D229" s="7" t="s">
        <v>15</v>
      </c>
      <c r="E229" s="7" t="s">
        <v>80</v>
      </c>
    </row>
    <row r="230">
      <c r="A230" s="7" t="s">
        <v>744</v>
      </c>
      <c r="B230" s="7" t="s">
        <v>745</v>
      </c>
      <c r="C230" s="7" t="s">
        <v>746</v>
      </c>
      <c r="D230" s="7" t="s">
        <v>15</v>
      </c>
      <c r="E230" s="7" t="s">
        <v>410</v>
      </c>
    </row>
    <row r="231">
      <c r="A231" s="7" t="s">
        <v>747</v>
      </c>
      <c r="B231" s="7" t="s">
        <v>748</v>
      </c>
      <c r="C231" s="7" t="s">
        <v>749</v>
      </c>
      <c r="D231" s="7" t="s">
        <v>66</v>
      </c>
      <c r="E231" s="7" t="s">
        <v>67</v>
      </c>
    </row>
    <row r="232">
      <c r="A232" s="7" t="s">
        <v>750</v>
      </c>
      <c r="B232" s="7" t="s">
        <v>751</v>
      </c>
      <c r="C232" s="7" t="s">
        <v>752</v>
      </c>
      <c r="D232" s="7" t="s">
        <v>51</v>
      </c>
      <c r="E232" s="7" t="s">
        <v>53</v>
      </c>
    </row>
    <row r="233">
      <c r="A233" s="7" t="s">
        <v>753</v>
      </c>
      <c r="B233" s="7" t="s">
        <v>754</v>
      </c>
      <c r="C233" s="7" t="s">
        <v>755</v>
      </c>
      <c r="D233" s="7" t="s">
        <v>41</v>
      </c>
      <c r="E233" s="7" t="s">
        <v>62</v>
      </c>
    </row>
    <row r="234">
      <c r="A234" s="7" t="s">
        <v>756</v>
      </c>
      <c r="B234" s="7" t="s">
        <v>757</v>
      </c>
      <c r="C234" s="7" t="s">
        <v>758</v>
      </c>
      <c r="D234" s="7" t="s">
        <v>24</v>
      </c>
      <c r="E234" s="7" t="s">
        <v>112</v>
      </c>
    </row>
    <row r="235">
      <c r="A235" s="7" t="s">
        <v>759</v>
      </c>
      <c r="B235" s="7" t="s">
        <v>760</v>
      </c>
      <c r="C235" s="7" t="s">
        <v>761</v>
      </c>
      <c r="D235" s="7" t="s">
        <v>15</v>
      </c>
      <c r="E235" s="7" t="s">
        <v>80</v>
      </c>
    </row>
    <row r="236">
      <c r="A236" s="7" t="s">
        <v>762</v>
      </c>
      <c r="B236" s="7" t="s">
        <v>763</v>
      </c>
      <c r="C236" s="7" t="s">
        <v>764</v>
      </c>
      <c r="D236" s="7" t="s">
        <v>24</v>
      </c>
      <c r="E236" s="7" t="s">
        <v>26</v>
      </c>
    </row>
    <row r="237">
      <c r="A237" s="7" t="s">
        <v>765</v>
      </c>
      <c r="B237" s="7" t="s">
        <v>766</v>
      </c>
      <c r="C237" s="7" t="s">
        <v>767</v>
      </c>
      <c r="D237" s="7" t="s">
        <v>51</v>
      </c>
      <c r="E237" s="7" t="s">
        <v>333</v>
      </c>
    </row>
    <row r="238">
      <c r="A238" s="7" t="s">
        <v>768</v>
      </c>
      <c r="B238" s="7" t="s">
        <v>769</v>
      </c>
      <c r="C238" s="7" t="s">
        <v>770</v>
      </c>
      <c r="D238" s="7" t="s">
        <v>66</v>
      </c>
      <c r="E238" s="7" t="s">
        <v>125</v>
      </c>
    </row>
    <row r="239">
      <c r="A239" s="7" t="s">
        <v>771</v>
      </c>
      <c r="B239" s="7" t="s">
        <v>772</v>
      </c>
      <c r="C239" s="7" t="s">
        <v>773</v>
      </c>
      <c r="D239" s="7" t="s">
        <v>66</v>
      </c>
      <c r="E239" s="7" t="s">
        <v>67</v>
      </c>
    </row>
    <row r="240">
      <c r="A240" s="7" t="s">
        <v>774</v>
      </c>
      <c r="B240" s="7" t="s">
        <v>775</v>
      </c>
      <c r="C240" s="7" t="s">
        <v>776</v>
      </c>
      <c r="D240" s="7" t="s">
        <v>15</v>
      </c>
      <c r="E240" s="7" t="s">
        <v>410</v>
      </c>
    </row>
    <row r="241">
      <c r="A241" s="7" t="s">
        <v>777</v>
      </c>
      <c r="B241" s="7" t="s">
        <v>778</v>
      </c>
      <c r="C241" s="7" t="s">
        <v>779</v>
      </c>
      <c r="D241" s="7" t="s">
        <v>51</v>
      </c>
      <c r="E241" s="7" t="s">
        <v>282</v>
      </c>
    </row>
    <row r="242">
      <c r="A242" s="7" t="s">
        <v>780</v>
      </c>
      <c r="B242" s="7" t="s">
        <v>781</v>
      </c>
      <c r="C242" s="7" t="s">
        <v>782</v>
      </c>
      <c r="D242" s="7" t="s">
        <v>66</v>
      </c>
      <c r="E242" s="7" t="s">
        <v>67</v>
      </c>
    </row>
    <row r="243">
      <c r="A243" s="7" t="s">
        <v>783</v>
      </c>
      <c r="B243" s="7" t="s">
        <v>784</v>
      </c>
      <c r="C243" s="7" t="s">
        <v>785</v>
      </c>
      <c r="D243" s="7" t="s">
        <v>15</v>
      </c>
      <c r="E243" s="7" t="s">
        <v>154</v>
      </c>
    </row>
    <row r="244">
      <c r="A244" s="7" t="s">
        <v>786</v>
      </c>
      <c r="B244" s="7" t="s">
        <v>787</v>
      </c>
      <c r="C244" s="7" t="s">
        <v>788</v>
      </c>
      <c r="D244" s="7" t="s">
        <v>66</v>
      </c>
      <c r="E244" s="7" t="s">
        <v>67</v>
      </c>
    </row>
    <row r="245">
      <c r="A245" s="7" t="s">
        <v>789</v>
      </c>
      <c r="B245" s="7" t="s">
        <v>790</v>
      </c>
      <c r="C245" s="7" t="s">
        <v>791</v>
      </c>
      <c r="D245" s="7" t="s">
        <v>66</v>
      </c>
      <c r="E245" s="7" t="s">
        <v>67</v>
      </c>
    </row>
    <row r="246">
      <c r="A246" s="7" t="s">
        <v>792</v>
      </c>
      <c r="B246" s="7" t="s">
        <v>793</v>
      </c>
      <c r="C246" s="7" t="s">
        <v>794</v>
      </c>
      <c r="D246" s="7" t="s">
        <v>51</v>
      </c>
      <c r="E246" s="7" t="s">
        <v>53</v>
      </c>
    </row>
    <row r="247">
      <c r="A247" s="7" t="s">
        <v>795</v>
      </c>
      <c r="B247" s="7" t="s">
        <v>796</v>
      </c>
      <c r="C247" s="7" t="s">
        <v>797</v>
      </c>
      <c r="D247" s="7" t="s">
        <v>41</v>
      </c>
      <c r="E247" s="7" t="s">
        <v>42</v>
      </c>
    </row>
    <row r="248">
      <c r="A248" s="7" t="s">
        <v>798</v>
      </c>
      <c r="B248" s="7" t="s">
        <v>799</v>
      </c>
      <c r="C248" s="7" t="s">
        <v>800</v>
      </c>
      <c r="D248" s="7" t="s">
        <v>15</v>
      </c>
      <c r="E248" s="7" t="s">
        <v>80</v>
      </c>
    </row>
    <row r="249">
      <c r="A249" s="7" t="s">
        <v>801</v>
      </c>
      <c r="B249" s="7" t="s">
        <v>802</v>
      </c>
      <c r="C249" s="7" t="s">
        <v>803</v>
      </c>
      <c r="D249" s="7" t="s">
        <v>41</v>
      </c>
      <c r="E249" s="7" t="s">
        <v>62</v>
      </c>
    </row>
    <row r="250">
      <c r="A250" s="7" t="s">
        <v>804</v>
      </c>
      <c r="B250" s="7" t="s">
        <v>805</v>
      </c>
      <c r="C250" s="7" t="s">
        <v>806</v>
      </c>
      <c r="D250" s="7" t="s">
        <v>41</v>
      </c>
      <c r="E250" s="7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10" max="10" width="14.38"/>
    <col customWidth="1" min="13" max="13" width="19.13"/>
    <col customWidth="1" min="14" max="14" width="6.38"/>
    <col customWidth="1" min="15" max="15" width="13.63"/>
    <col customWidth="1" min="16" max="16" width="12.38"/>
    <col customWidth="1" min="20" max="20" width="11.63"/>
  </cols>
  <sheetData>
    <row r="1">
      <c r="A1" s="2" t="s">
        <v>1</v>
      </c>
      <c r="B1" s="2" t="s">
        <v>6</v>
      </c>
      <c r="C1" s="2" t="s">
        <v>7</v>
      </c>
      <c r="D1" s="4" t="s">
        <v>8</v>
      </c>
      <c r="E1" s="5" t="s">
        <v>9</v>
      </c>
      <c r="F1" s="6" t="s">
        <v>10</v>
      </c>
      <c r="G1" s="8" t="s">
        <v>12</v>
      </c>
      <c r="H1" s="2" t="s">
        <v>17</v>
      </c>
      <c r="I1" s="4" t="s">
        <v>18</v>
      </c>
      <c r="J1" s="8" t="s">
        <v>19</v>
      </c>
      <c r="K1" s="2" t="s">
        <v>22</v>
      </c>
      <c r="L1" s="2" t="s">
        <v>25</v>
      </c>
      <c r="M1" s="2" t="s">
        <v>27</v>
      </c>
      <c r="N1" s="2" t="s">
        <v>4</v>
      </c>
      <c r="O1" s="2" t="s">
        <v>31</v>
      </c>
      <c r="P1" s="2" t="s">
        <v>32</v>
      </c>
      <c r="Q1" s="2" t="s">
        <v>34</v>
      </c>
      <c r="R1" s="2" t="s">
        <v>35</v>
      </c>
      <c r="S1" s="2" t="s">
        <v>37</v>
      </c>
      <c r="T1" s="2" t="s">
        <v>40</v>
      </c>
      <c r="U1" s="2" t="s">
        <v>43</v>
      </c>
      <c r="V1" s="2" t="s">
        <v>44</v>
      </c>
      <c r="W1" s="2" t="s">
        <v>45</v>
      </c>
      <c r="X1" s="2" t="s">
        <v>47</v>
      </c>
      <c r="Y1" s="2" t="s">
        <v>49</v>
      </c>
      <c r="Z1" s="2" t="s">
        <v>52</v>
      </c>
      <c r="AA1" s="2" t="s">
        <v>54</v>
      </c>
      <c r="AB1" s="2" t="s">
        <v>55</v>
      </c>
    </row>
    <row r="2">
      <c r="A2" s="7">
        <v>2103.0</v>
      </c>
      <c r="B2" s="7" t="str">
        <f>VLOOKUP($A2,product_category,2, False)</f>
        <v>Cereal</v>
      </c>
      <c r="C2" s="7">
        <v>1.00640618E8</v>
      </c>
      <c r="D2" s="9">
        <v>41920.0</v>
      </c>
      <c r="E2" s="10">
        <f t="shared" ref="E2:E1331" si="1">month(D2)</f>
        <v>10</v>
      </c>
      <c r="F2" s="10" t="str">
        <f t="shared" ref="F2:F1331" si="2">text(D2,"MMM")</f>
        <v>Oct</v>
      </c>
      <c r="G2" s="11">
        <f t="shared" ref="G2:G1331" si="3">Day(D2)</f>
        <v>8</v>
      </c>
      <c r="H2" s="7">
        <f t="shared" ref="H2:H1331" si="4">year(D2)</f>
        <v>2014</v>
      </c>
      <c r="I2" s="9">
        <v>41930.0</v>
      </c>
      <c r="J2" s="11">
        <f t="shared" ref="J2:J1331" si="5">DATEDIF(D2,I2,"D")</f>
        <v>10</v>
      </c>
      <c r="K2" s="7" t="s">
        <v>110</v>
      </c>
      <c r="L2" s="7" t="s">
        <v>111</v>
      </c>
      <c r="M2" s="7" t="str">
        <f>VLOOKUP(L2,countries, 2,false)</f>
        <v>Norway</v>
      </c>
      <c r="N2" s="7" t="str">
        <f>VLOOKUP(L2,countries, 4,false)</f>
        <v>Europe</v>
      </c>
      <c r="O2" s="7" t="str">
        <f>VLOOKUP(L2,countries, 5,false)</f>
        <v>Northern Europe</v>
      </c>
      <c r="P2" s="7" t="s">
        <v>129</v>
      </c>
      <c r="Q2" s="7">
        <v>650.0</v>
      </c>
      <c r="R2" s="12">
        <v>205.7</v>
      </c>
      <c r="S2" s="12">
        <v>117.11</v>
      </c>
      <c r="T2" s="13">
        <f t="shared" ref="T2:T1331" si="6">MULTIPLY(Q2,R2)</f>
        <v>133705</v>
      </c>
      <c r="U2" s="13">
        <f t="shared" ref="U2:U1331" si="7">MULTIPLY(Q3,S3)</f>
        <v>233400.23</v>
      </c>
      <c r="V2" s="13">
        <f t="shared" ref="V2:V1331" si="8">MINUS(T2,U2)</f>
        <v>-99695.23</v>
      </c>
      <c r="W2" s="14">
        <f>Q2/totals!B$2</f>
        <v>0.00009883640659</v>
      </c>
      <c r="X2" s="14">
        <f>W2</f>
        <v>0.00009883640659</v>
      </c>
      <c r="Y2" s="14">
        <f>T2/totals!B$5</f>
        <v>0.0000785516068</v>
      </c>
      <c r="Z2" s="14">
        <f>Y2</f>
        <v>0.0000785516068</v>
      </c>
      <c r="AA2" s="14">
        <f>V2/totals!B$4</f>
        <v>-0.0001987898838</v>
      </c>
      <c r="AB2" s="14">
        <f>AA2</f>
        <v>-0.0001987898838</v>
      </c>
    </row>
    <row r="3">
      <c r="A3" s="7">
        <v>2103.0</v>
      </c>
      <c r="B3" s="7" t="str">
        <f>VLOOKUP($A3,product_category,2, False)</f>
        <v>Cereal</v>
      </c>
      <c r="C3" s="7">
        <v>1.00983083E8</v>
      </c>
      <c r="D3" s="9">
        <v>42593.0</v>
      </c>
      <c r="E3" s="10">
        <f t="shared" si="1"/>
        <v>8</v>
      </c>
      <c r="F3" s="10" t="str">
        <f t="shared" si="2"/>
        <v>Aug</v>
      </c>
      <c r="G3" s="11">
        <f t="shared" si="3"/>
        <v>11</v>
      </c>
      <c r="H3" s="7">
        <f t="shared" si="4"/>
        <v>2016</v>
      </c>
      <c r="I3" s="9">
        <v>42593.0</v>
      </c>
      <c r="J3" s="11">
        <f t="shared" si="5"/>
        <v>0</v>
      </c>
      <c r="K3" s="7" t="s">
        <v>198</v>
      </c>
      <c r="L3" s="7" t="s">
        <v>200</v>
      </c>
      <c r="M3" s="7" t="str">
        <f>VLOOKUP(L3,countries, 2,false)</f>
        <v>Serbia</v>
      </c>
      <c r="N3" s="7" t="str">
        <f>VLOOKUP(L3,countries, 4,false)</f>
        <v>Europe</v>
      </c>
      <c r="O3" s="7" t="str">
        <f>VLOOKUP(L3,countries, 5,false)</f>
        <v>Southern Europe</v>
      </c>
      <c r="P3" s="7" t="s">
        <v>212</v>
      </c>
      <c r="Q3" s="7">
        <v>1993.0</v>
      </c>
      <c r="R3" s="12">
        <v>205.7</v>
      </c>
      <c r="S3" s="12">
        <v>117.11</v>
      </c>
      <c r="T3" s="13">
        <f t="shared" si="6"/>
        <v>409960.1</v>
      </c>
      <c r="U3" s="13">
        <f t="shared" si="7"/>
        <v>2358420.22</v>
      </c>
      <c r="V3" s="13">
        <f t="shared" si="8"/>
        <v>-1948460.12</v>
      </c>
      <c r="W3" s="14">
        <f>Q3/totals!B$2</f>
        <v>0.0003030476282</v>
      </c>
      <c r="X3" s="14">
        <f t="shared" ref="X3:X1331" si="9">W3+X2</f>
        <v>0.0004018840348</v>
      </c>
      <c r="Y3" s="14">
        <f>T3/totals!B$5</f>
        <v>0.0002408513113</v>
      </c>
      <c r="Z3" s="14">
        <f t="shared" ref="Z3:Z1331" si="10">Z2+Y3</f>
        <v>0.0003194029181</v>
      </c>
      <c r="AA3" s="14">
        <f>V3/totals!B$4</f>
        <v>-0.003885182478</v>
      </c>
      <c r="AB3" s="14">
        <f t="shared" ref="AB3:AB1331" si="11">AB2+AA3</f>
        <v>-0.004083972362</v>
      </c>
    </row>
    <row r="4">
      <c r="A4" s="7">
        <v>7940.0</v>
      </c>
      <c r="B4" s="7" t="str">
        <f>VLOOKUP($A4,product_category,2, False)</f>
        <v>Household</v>
      </c>
      <c r="C4" s="7">
        <v>1.01025998E8</v>
      </c>
      <c r="D4" s="9">
        <v>41838.0</v>
      </c>
      <c r="E4" s="10">
        <f t="shared" si="1"/>
        <v>7</v>
      </c>
      <c r="F4" s="10" t="str">
        <f t="shared" si="2"/>
        <v>Jul</v>
      </c>
      <c r="G4" s="11">
        <f t="shared" si="3"/>
        <v>18</v>
      </c>
      <c r="H4" s="7">
        <f t="shared" si="4"/>
        <v>2014</v>
      </c>
      <c r="I4" s="9">
        <v>41862.0</v>
      </c>
      <c r="J4" s="11">
        <f t="shared" si="5"/>
        <v>24</v>
      </c>
      <c r="K4" s="7" t="s">
        <v>110</v>
      </c>
      <c r="L4" s="7" t="e">
        <v>#N/A</v>
      </c>
      <c r="M4" s="7"/>
      <c r="N4" s="7"/>
      <c r="O4" s="7"/>
      <c r="P4" s="7" t="s">
        <v>129</v>
      </c>
      <c r="Q4" s="7">
        <v>4693.0</v>
      </c>
      <c r="R4" s="12">
        <v>668.27</v>
      </c>
      <c r="S4" s="12">
        <v>502.54</v>
      </c>
      <c r="T4" s="13">
        <f t="shared" si="6"/>
        <v>3136191.11</v>
      </c>
      <c r="U4" s="13">
        <f t="shared" si="7"/>
        <v>41968.64</v>
      </c>
      <c r="V4" s="13">
        <f t="shared" si="8"/>
        <v>3094222.47</v>
      </c>
      <c r="W4" s="14">
        <f>Q4/totals!B$2</f>
        <v>0.0007135988556</v>
      </c>
      <c r="X4" s="14">
        <f t="shared" si="9"/>
        <v>0.00111548289</v>
      </c>
      <c r="Y4" s="14">
        <f>T4/totals!B$5</f>
        <v>0.001842510384</v>
      </c>
      <c r="Z4" s="14">
        <f t="shared" si="10"/>
        <v>0.002161913302</v>
      </c>
      <c r="AA4" s="14">
        <f>V4/totals!B$4</f>
        <v>0.006169804966</v>
      </c>
      <c r="AB4" s="14">
        <f t="shared" si="11"/>
        <v>0.002085832604</v>
      </c>
    </row>
    <row r="5">
      <c r="A5" s="7">
        <v>2455.0</v>
      </c>
      <c r="B5" s="7" t="str">
        <f>VLOOKUP($A5,product_category,2, False)</f>
        <v>Clothes</v>
      </c>
      <c r="C5" s="7">
        <v>1.02230632E8</v>
      </c>
      <c r="D5" s="9">
        <v>42868.0</v>
      </c>
      <c r="E5" s="10">
        <f t="shared" si="1"/>
        <v>5</v>
      </c>
      <c r="F5" s="10" t="str">
        <f t="shared" si="2"/>
        <v>May</v>
      </c>
      <c r="G5" s="11">
        <f t="shared" si="3"/>
        <v>13</v>
      </c>
      <c r="H5" s="7">
        <f t="shared" si="4"/>
        <v>2017</v>
      </c>
      <c r="I5" s="9">
        <v>42899.0</v>
      </c>
      <c r="J5" s="11">
        <f t="shared" si="5"/>
        <v>31</v>
      </c>
      <c r="K5" s="7" t="s">
        <v>322</v>
      </c>
      <c r="L5" s="7" t="s">
        <v>323</v>
      </c>
      <c r="M5" s="7" t="str">
        <f>VLOOKUP(L5,countries, 2,false)</f>
        <v>Montenegro</v>
      </c>
      <c r="N5" s="7" t="str">
        <f>VLOOKUP(L5,countries, 4,false)</f>
        <v>Europe</v>
      </c>
      <c r="O5" s="7" t="str">
        <f>VLOOKUP(L5,countries, 5,false)</f>
        <v>Southern Europe</v>
      </c>
      <c r="P5" s="7" t="s">
        <v>129</v>
      </c>
      <c r="Q5" s="7">
        <v>1171.0</v>
      </c>
      <c r="R5" s="12">
        <v>109.28</v>
      </c>
      <c r="S5" s="12">
        <v>35.84</v>
      </c>
      <c r="T5" s="13">
        <f t="shared" si="6"/>
        <v>127966.88</v>
      </c>
      <c r="U5" s="13">
        <f t="shared" si="7"/>
        <v>243129.92</v>
      </c>
      <c r="V5" s="13">
        <f t="shared" si="8"/>
        <v>-115163.04</v>
      </c>
      <c r="W5" s="14">
        <f>Q5/totals!B$2</f>
        <v>0.0001780575879</v>
      </c>
      <c r="X5" s="14">
        <f t="shared" si="9"/>
        <v>0.001293540478</v>
      </c>
      <c r="Y5" s="14">
        <f>T5/totals!B$5</f>
        <v>0.00007518046477</v>
      </c>
      <c r="Z5" s="14">
        <f t="shared" si="10"/>
        <v>0.002237093767</v>
      </c>
      <c r="AA5" s="14">
        <f>V5/totals!B$4</f>
        <v>-0.0002296323238</v>
      </c>
      <c r="AB5" s="14">
        <f t="shared" si="11"/>
        <v>0.00185620028</v>
      </c>
    </row>
    <row r="6">
      <c r="A6" s="7">
        <v>1270.0</v>
      </c>
      <c r="B6" s="7" t="str">
        <f>VLOOKUP($A6,product_category,2, False)</f>
        <v>Beverages</v>
      </c>
      <c r="C6" s="7">
        <v>1.03435266E8</v>
      </c>
      <c r="D6" s="9">
        <v>41132.0</v>
      </c>
      <c r="E6" s="10">
        <f t="shared" si="1"/>
        <v>8</v>
      </c>
      <c r="F6" s="10" t="str">
        <f t="shared" si="2"/>
        <v>Aug</v>
      </c>
      <c r="G6" s="11">
        <f t="shared" si="3"/>
        <v>11</v>
      </c>
      <c r="H6" s="7">
        <f t="shared" si="4"/>
        <v>2012</v>
      </c>
      <c r="I6" s="9">
        <v>41170.0</v>
      </c>
      <c r="J6" s="11">
        <f t="shared" si="5"/>
        <v>38</v>
      </c>
      <c r="K6" s="7" t="s">
        <v>382</v>
      </c>
      <c r="L6" s="7" t="s">
        <v>200</v>
      </c>
      <c r="M6" s="7" t="str">
        <f>VLOOKUP(L6,countries, 2,false)</f>
        <v>Serbia</v>
      </c>
      <c r="N6" s="7" t="str">
        <f>VLOOKUP(L6,countries, 4,false)</f>
        <v>Europe</v>
      </c>
      <c r="O6" s="7" t="str">
        <f>VLOOKUP(L6,countries, 5,false)</f>
        <v>Southern Europe</v>
      </c>
      <c r="P6" s="7" t="s">
        <v>212</v>
      </c>
      <c r="Q6" s="7">
        <v>7648.0</v>
      </c>
      <c r="R6" s="12">
        <v>47.45</v>
      </c>
      <c r="S6" s="12">
        <v>31.79</v>
      </c>
      <c r="T6" s="13">
        <f t="shared" si="6"/>
        <v>362897.6</v>
      </c>
      <c r="U6" s="13">
        <f t="shared" si="7"/>
        <v>1165411.2</v>
      </c>
      <c r="V6" s="13">
        <f t="shared" si="8"/>
        <v>-802513.6</v>
      </c>
      <c r="W6" s="14">
        <f>Q6/totals!B$2</f>
        <v>0.001162924366</v>
      </c>
      <c r="X6" s="14">
        <f t="shared" si="9"/>
        <v>0.002456464844</v>
      </c>
      <c r="Y6" s="14">
        <f>T6/totals!B$5</f>
        <v>0.000213202121</v>
      </c>
      <c r="Z6" s="14">
        <f t="shared" si="10"/>
        <v>0.002450295888</v>
      </c>
      <c r="AA6" s="14">
        <f>V6/totals!B$4</f>
        <v>-0.00160019276</v>
      </c>
      <c r="AB6" s="14">
        <f t="shared" si="11"/>
        <v>0.0002560075201</v>
      </c>
    </row>
    <row r="7">
      <c r="A7" s="7">
        <v>8681.0</v>
      </c>
      <c r="B7" s="7" t="str">
        <f>VLOOKUP($A7,product_category,2, False)</f>
        <v>Office Supplies</v>
      </c>
      <c r="C7" s="7">
        <v>1.03450715E8</v>
      </c>
      <c r="D7" s="9">
        <v>42078.0</v>
      </c>
      <c r="E7" s="10">
        <f t="shared" si="1"/>
        <v>3</v>
      </c>
      <c r="F7" s="10" t="str">
        <f t="shared" si="2"/>
        <v>Mar</v>
      </c>
      <c r="G7" s="11">
        <f t="shared" si="3"/>
        <v>15</v>
      </c>
      <c r="H7" s="7">
        <f t="shared" si="4"/>
        <v>2015</v>
      </c>
      <c r="I7" s="9">
        <v>42112.0</v>
      </c>
      <c r="J7" s="11">
        <f t="shared" si="5"/>
        <v>34</v>
      </c>
      <c r="K7" s="7" t="s">
        <v>382</v>
      </c>
      <c r="L7" s="7" t="s">
        <v>439</v>
      </c>
      <c r="M7" s="7" t="str">
        <f>VLOOKUP(L7,countries, 2,false)</f>
        <v>Slovakia</v>
      </c>
      <c r="N7" s="7" t="str">
        <f>VLOOKUP(L7,countries, 4,false)</f>
        <v>Europe</v>
      </c>
      <c r="O7" s="7" t="str">
        <f>VLOOKUP(L7,countries, 5,false)</f>
        <v>Eastern Europe</v>
      </c>
      <c r="P7" s="7" t="s">
        <v>129</v>
      </c>
      <c r="Q7" s="7">
        <v>2220.0</v>
      </c>
      <c r="R7" s="12">
        <v>651.21</v>
      </c>
      <c r="S7" s="12">
        <v>524.96</v>
      </c>
      <c r="T7" s="13">
        <f t="shared" si="6"/>
        <v>1445686.2</v>
      </c>
      <c r="U7" s="13">
        <f t="shared" si="7"/>
        <v>46350.16</v>
      </c>
      <c r="V7" s="13">
        <f t="shared" si="8"/>
        <v>1399336.04</v>
      </c>
      <c r="W7" s="14">
        <f>Q7/totals!B$2</f>
        <v>0.0003375643425</v>
      </c>
      <c r="X7" s="14">
        <f t="shared" si="9"/>
        <v>0.002794029186</v>
      </c>
      <c r="Y7" s="14">
        <f>T7/totals!B$5</f>
        <v>0.00084933977</v>
      </c>
      <c r="Z7" s="14">
        <f t="shared" si="10"/>
        <v>0.003299635658</v>
      </c>
      <c r="AA7" s="14">
        <f>V7/totals!B$4</f>
        <v>0.002790242309</v>
      </c>
      <c r="AB7" s="14">
        <f t="shared" si="11"/>
        <v>0.003046249829</v>
      </c>
    </row>
    <row r="8">
      <c r="A8" s="7">
        <v>4594.0</v>
      </c>
      <c r="B8" s="7" t="str">
        <f>VLOOKUP($A8,product_category,2, False)</f>
        <v>Fruits</v>
      </c>
      <c r="C8" s="7">
        <v>1.03499639E8</v>
      </c>
      <c r="D8" s="9">
        <v>41384.0</v>
      </c>
      <c r="E8" s="10">
        <f t="shared" si="1"/>
        <v>4</v>
      </c>
      <c r="F8" s="10" t="str">
        <f t="shared" si="2"/>
        <v>Apr</v>
      </c>
      <c r="G8" s="11">
        <f t="shared" si="3"/>
        <v>20</v>
      </c>
      <c r="H8" s="7">
        <f t="shared" si="4"/>
        <v>2013</v>
      </c>
      <c r="I8" s="9">
        <v>41431.0</v>
      </c>
      <c r="J8" s="11">
        <f t="shared" si="5"/>
        <v>47</v>
      </c>
      <c r="K8" s="7" t="s">
        <v>322</v>
      </c>
      <c r="L8" s="7" t="s">
        <v>286</v>
      </c>
      <c r="M8" s="7" t="str">
        <f>VLOOKUP(L8,countries, 2,false)</f>
        <v>France</v>
      </c>
      <c r="N8" s="7" t="str">
        <f>VLOOKUP(L8,countries, 4,false)</f>
        <v>Europe</v>
      </c>
      <c r="O8" s="7" t="str">
        <f>VLOOKUP(L8,countries, 5,false)</f>
        <v>Western Europe</v>
      </c>
      <c r="P8" s="7" t="s">
        <v>129</v>
      </c>
      <c r="Q8" s="7">
        <v>6698.0</v>
      </c>
      <c r="R8" s="12">
        <v>9.33</v>
      </c>
      <c r="S8" s="12">
        <v>6.92</v>
      </c>
      <c r="T8" s="13">
        <f t="shared" si="6"/>
        <v>62492.34</v>
      </c>
      <c r="U8" s="13">
        <f t="shared" si="7"/>
        <v>401819.67</v>
      </c>
      <c r="V8" s="13">
        <f t="shared" si="8"/>
        <v>-339327.33</v>
      </c>
      <c r="W8" s="14">
        <f>Q8/totals!B$2</f>
        <v>0.001018471156</v>
      </c>
      <c r="X8" s="14">
        <f t="shared" si="9"/>
        <v>0.003812500342</v>
      </c>
      <c r="Y8" s="14">
        <f>T8/totals!B$5</f>
        <v>0.00003671421203</v>
      </c>
      <c r="Z8" s="14">
        <f t="shared" si="10"/>
        <v>0.00333634987</v>
      </c>
      <c r="AA8" s="14">
        <f>V8/totals!B$4</f>
        <v>-0.0006766105107</v>
      </c>
      <c r="AB8" s="14">
        <f t="shared" si="11"/>
        <v>0.002369639318</v>
      </c>
    </row>
    <row r="9">
      <c r="A9" s="7">
        <v>5988.0</v>
      </c>
      <c r="B9" s="7" t="str">
        <f>VLOOKUP($A9,product_category,2, False)</f>
        <v>Vegetables</v>
      </c>
      <c r="C9" s="7">
        <v>1.0376228E8</v>
      </c>
      <c r="D9" s="9">
        <v>40859.0</v>
      </c>
      <c r="E9" s="10">
        <f t="shared" si="1"/>
        <v>11</v>
      </c>
      <c r="F9" s="10" t="str">
        <f t="shared" si="2"/>
        <v>Nov</v>
      </c>
      <c r="G9" s="11">
        <f t="shared" si="3"/>
        <v>12</v>
      </c>
      <c r="H9" s="7">
        <f t="shared" si="4"/>
        <v>2011</v>
      </c>
      <c r="I9" s="9">
        <v>40891.0</v>
      </c>
      <c r="J9" s="11">
        <f t="shared" si="5"/>
        <v>32</v>
      </c>
      <c r="K9" s="7" t="s">
        <v>110</v>
      </c>
      <c r="L9" s="7" t="s">
        <v>540</v>
      </c>
      <c r="M9" s="7" t="str">
        <f>VLOOKUP(L9,countries, 2,false)</f>
        <v>Spain</v>
      </c>
      <c r="N9" s="7" t="str">
        <f>VLOOKUP(L9,countries, 4,false)</f>
        <v>Europe</v>
      </c>
      <c r="O9" s="7" t="str">
        <f>VLOOKUP(L9,countries, 5,false)</f>
        <v>Southern Europe</v>
      </c>
      <c r="P9" s="7" t="s">
        <v>129</v>
      </c>
      <c r="Q9" s="7">
        <v>4419.0</v>
      </c>
      <c r="R9" s="12">
        <v>154.06</v>
      </c>
      <c r="S9" s="12">
        <v>90.93</v>
      </c>
      <c r="T9" s="13">
        <f t="shared" si="6"/>
        <v>680791.14</v>
      </c>
      <c r="U9" s="13">
        <f t="shared" si="7"/>
        <v>836476.74</v>
      </c>
      <c r="V9" s="13">
        <f t="shared" si="8"/>
        <v>-155685.6</v>
      </c>
      <c r="W9" s="14">
        <f>Q9/totals!B$2</f>
        <v>0.0006719355088</v>
      </c>
      <c r="X9" s="14">
        <f t="shared" si="9"/>
        <v>0.004484435851</v>
      </c>
      <c r="Y9" s="14">
        <f>T9/totals!B$5</f>
        <v>0.0003999643839</v>
      </c>
      <c r="Z9" s="14">
        <f t="shared" si="10"/>
        <v>0.003736314254</v>
      </c>
      <c r="AA9" s="14">
        <f>V9/totals!B$4</f>
        <v>-0.0003104333309</v>
      </c>
      <c r="AB9" s="14">
        <f t="shared" si="11"/>
        <v>0.002059205987</v>
      </c>
    </row>
    <row r="10">
      <c r="A10" s="7">
        <v>7331.0</v>
      </c>
      <c r="B10" s="7" t="str">
        <f>VLOOKUP($A10,product_category,2, False)</f>
        <v>Baby Food</v>
      </c>
      <c r="C10" s="7">
        <v>1.03832662E8</v>
      </c>
      <c r="D10" s="9">
        <v>41171.0</v>
      </c>
      <c r="E10" s="10">
        <f t="shared" si="1"/>
        <v>9</v>
      </c>
      <c r="F10" s="10" t="str">
        <f t="shared" si="2"/>
        <v>Sep</v>
      </c>
      <c r="G10" s="11">
        <f t="shared" si="3"/>
        <v>19</v>
      </c>
      <c r="H10" s="7">
        <f t="shared" si="4"/>
        <v>2012</v>
      </c>
      <c r="I10" s="9">
        <v>41202.0</v>
      </c>
      <c r="J10" s="11">
        <f t="shared" si="5"/>
        <v>31</v>
      </c>
      <c r="K10" s="7" t="s">
        <v>382</v>
      </c>
      <c r="L10" s="7" t="s">
        <v>222</v>
      </c>
      <c r="M10" s="7" t="str">
        <f>VLOOKUP(L10,countries, 2,false)</f>
        <v>Croatia</v>
      </c>
      <c r="N10" s="7" t="str">
        <f>VLOOKUP(L10,countries, 4,false)</f>
        <v>Europe</v>
      </c>
      <c r="O10" s="7" t="str">
        <f>VLOOKUP(L10,countries, 5,false)</f>
        <v>Southern Europe</v>
      </c>
      <c r="P10" s="7" t="s">
        <v>212</v>
      </c>
      <c r="Q10" s="7">
        <v>5247.0</v>
      </c>
      <c r="R10" s="12">
        <v>255.28</v>
      </c>
      <c r="S10" s="12">
        <v>159.42</v>
      </c>
      <c r="T10" s="13">
        <f t="shared" si="6"/>
        <v>1339454.16</v>
      </c>
      <c r="U10" s="13">
        <f t="shared" si="7"/>
        <v>856659.65</v>
      </c>
      <c r="V10" s="13">
        <f t="shared" si="8"/>
        <v>482794.51</v>
      </c>
      <c r="W10" s="14">
        <f>Q10/totals!B$2</f>
        <v>0.0007978378852</v>
      </c>
      <c r="X10" s="14">
        <f t="shared" si="9"/>
        <v>0.005282273736</v>
      </c>
      <c r="Y10" s="14">
        <f>T10/totals!B$5</f>
        <v>0.0007869285106</v>
      </c>
      <c r="Z10" s="14">
        <f t="shared" si="10"/>
        <v>0.004523242765</v>
      </c>
      <c r="AA10" s="14">
        <f>V10/totals!B$4</f>
        <v>0.0009626806069</v>
      </c>
      <c r="AB10" s="14">
        <f t="shared" si="11"/>
        <v>0.003021886594</v>
      </c>
    </row>
    <row r="11">
      <c r="A11" s="7">
        <v>2103.0</v>
      </c>
      <c r="B11" s="7" t="str">
        <f>VLOOKUP($A11,product_category,2, False)</f>
        <v>Cereal</v>
      </c>
      <c r="C11" s="7">
        <v>1.04008615E8</v>
      </c>
      <c r="D11" s="9">
        <v>40566.0</v>
      </c>
      <c r="E11" s="10">
        <f t="shared" si="1"/>
        <v>1</v>
      </c>
      <c r="F11" s="10" t="str">
        <f t="shared" si="2"/>
        <v>Jan</v>
      </c>
      <c r="G11" s="11">
        <f t="shared" si="3"/>
        <v>23</v>
      </c>
      <c r="H11" s="7">
        <f t="shared" si="4"/>
        <v>2011</v>
      </c>
      <c r="I11" s="9">
        <v>40596.0</v>
      </c>
      <c r="J11" s="11">
        <f t="shared" si="5"/>
        <v>30</v>
      </c>
      <c r="K11" s="7" t="s">
        <v>110</v>
      </c>
      <c r="L11" s="7" t="s">
        <v>307</v>
      </c>
      <c r="M11" s="7" t="str">
        <f>VLOOKUP(L11,countries, 2,false)</f>
        <v>Germany</v>
      </c>
      <c r="N11" s="7" t="str">
        <f>VLOOKUP(L11,countries, 4,false)</f>
        <v>Europe</v>
      </c>
      <c r="O11" s="7" t="str">
        <f>VLOOKUP(L11,countries, 5,false)</f>
        <v>Western Europe</v>
      </c>
      <c r="P11" s="7" t="s">
        <v>129</v>
      </c>
      <c r="Q11" s="7">
        <v>7315.0</v>
      </c>
      <c r="R11" s="12">
        <v>205.7</v>
      </c>
      <c r="S11" s="12">
        <v>117.11</v>
      </c>
      <c r="T11" s="13">
        <f t="shared" si="6"/>
        <v>1504695.5</v>
      </c>
      <c r="U11" s="13">
        <f t="shared" si="7"/>
        <v>1907641.84</v>
      </c>
      <c r="V11" s="13">
        <f t="shared" si="8"/>
        <v>-402946.34</v>
      </c>
      <c r="W11" s="14">
        <f>Q11/totals!B$2</f>
        <v>0.001112289714</v>
      </c>
      <c r="X11" s="14">
        <f t="shared" si="9"/>
        <v>0.00639456345</v>
      </c>
      <c r="Y11" s="14">
        <f>T11/totals!B$5</f>
        <v>0.0008840076981</v>
      </c>
      <c r="Z11" s="14">
        <f t="shared" si="10"/>
        <v>0.005407250463</v>
      </c>
      <c r="AA11" s="14">
        <f>V11/totals!B$4</f>
        <v>-0.000803465282</v>
      </c>
      <c r="AB11" s="14">
        <f t="shared" si="11"/>
        <v>0.002218421312</v>
      </c>
    </row>
    <row r="12">
      <c r="A12" s="7">
        <v>7940.0</v>
      </c>
      <c r="B12" s="7" t="str">
        <f>VLOOKUP($A12,product_category,2, False)</f>
        <v>Household</v>
      </c>
      <c r="C12" s="7">
        <v>1.04165685E8</v>
      </c>
      <c r="D12" s="9">
        <v>40958.0</v>
      </c>
      <c r="E12" s="10">
        <f t="shared" si="1"/>
        <v>2</v>
      </c>
      <c r="F12" s="10" t="str">
        <f t="shared" si="2"/>
        <v>Feb</v>
      </c>
      <c r="G12" s="11">
        <f t="shared" si="3"/>
        <v>19</v>
      </c>
      <c r="H12" s="7">
        <f t="shared" si="4"/>
        <v>2012</v>
      </c>
      <c r="I12" s="9">
        <v>40974.0</v>
      </c>
      <c r="J12" s="11">
        <f t="shared" si="5"/>
        <v>16</v>
      </c>
      <c r="K12" s="7" t="s">
        <v>322</v>
      </c>
      <c r="L12" s="7" t="s">
        <v>77</v>
      </c>
      <c r="M12" s="7" t="str">
        <f>VLOOKUP(L12,countries, 2,false)</f>
        <v>Armenia</v>
      </c>
      <c r="N12" s="7" t="str">
        <f>VLOOKUP(L12,countries, 4,false)</f>
        <v>Asia</v>
      </c>
      <c r="O12" s="7" t="str">
        <f>VLOOKUP(L12,countries, 5,false)</f>
        <v>Western Asia</v>
      </c>
      <c r="P12" s="7" t="s">
        <v>129</v>
      </c>
      <c r="Q12" s="7">
        <v>3796.0</v>
      </c>
      <c r="R12" s="12">
        <v>668.27</v>
      </c>
      <c r="S12" s="12">
        <v>502.54</v>
      </c>
      <c r="T12" s="13">
        <f t="shared" si="6"/>
        <v>2536752.92</v>
      </c>
      <c r="U12" s="13">
        <f t="shared" si="7"/>
        <v>423769.78</v>
      </c>
      <c r="V12" s="13">
        <f t="shared" si="8"/>
        <v>2112983.14</v>
      </c>
      <c r="W12" s="14">
        <f>Q12/totals!B$2</f>
        <v>0.0005772046145</v>
      </c>
      <c r="X12" s="14">
        <f t="shared" si="9"/>
        <v>0.006971768065</v>
      </c>
      <c r="Y12" s="14">
        <f>T12/totals!B$5</f>
        <v>0.001490340809</v>
      </c>
      <c r="Z12" s="14">
        <f t="shared" si="10"/>
        <v>0.006897591272</v>
      </c>
      <c r="AA12" s="14">
        <f>V12/totals!B$4</f>
        <v>0.004213237411</v>
      </c>
      <c r="AB12" s="14">
        <f t="shared" si="11"/>
        <v>0.006431658723</v>
      </c>
    </row>
    <row r="13">
      <c r="A13" s="7">
        <v>8875.0</v>
      </c>
      <c r="B13" s="7" t="str">
        <f>VLOOKUP($A13,product_category,2, False)</f>
        <v>Meat</v>
      </c>
      <c r="C13" s="7">
        <v>1.04190576E8</v>
      </c>
      <c r="D13" s="9">
        <v>42788.0</v>
      </c>
      <c r="E13" s="10">
        <f t="shared" si="1"/>
        <v>2</v>
      </c>
      <c r="F13" s="10" t="str">
        <f t="shared" si="2"/>
        <v>Feb</v>
      </c>
      <c r="G13" s="11">
        <f t="shared" si="3"/>
        <v>22</v>
      </c>
      <c r="H13" s="7">
        <f t="shared" si="4"/>
        <v>2017</v>
      </c>
      <c r="I13" s="9">
        <v>42806.0</v>
      </c>
      <c r="J13" s="11">
        <f t="shared" si="5"/>
        <v>18</v>
      </c>
      <c r="K13" s="7" t="s">
        <v>198</v>
      </c>
      <c r="L13" s="7" t="s">
        <v>304</v>
      </c>
      <c r="M13" s="7" t="str">
        <f>VLOOKUP(L13,countries, 2,false)</f>
        <v>Georgia</v>
      </c>
      <c r="N13" s="7" t="str">
        <f>VLOOKUP(L13,countries, 4,false)</f>
        <v>Asia</v>
      </c>
      <c r="O13" s="7" t="str">
        <f>VLOOKUP(L13,countries, 5,false)</f>
        <v>Western Asia</v>
      </c>
      <c r="P13" s="7" t="s">
        <v>212</v>
      </c>
      <c r="Q13" s="7">
        <v>1162.0</v>
      </c>
      <c r="R13" s="12">
        <v>421.89</v>
      </c>
      <c r="S13" s="12">
        <v>364.69</v>
      </c>
      <c r="T13" s="13">
        <f t="shared" si="6"/>
        <v>490236.18</v>
      </c>
      <c r="U13" s="13">
        <f t="shared" si="7"/>
        <v>50446.8</v>
      </c>
      <c r="V13" s="13">
        <f t="shared" si="8"/>
        <v>439789.38</v>
      </c>
      <c r="W13" s="14">
        <f>Q13/totals!B$2</f>
        <v>0.0001766890838</v>
      </c>
      <c r="X13" s="14">
        <f t="shared" si="9"/>
        <v>0.007148457148</v>
      </c>
      <c r="Y13" s="14">
        <f>T13/totals!B$5</f>
        <v>0.0002880134599</v>
      </c>
      <c r="Z13" s="14">
        <f t="shared" si="10"/>
        <v>0.007185604732</v>
      </c>
      <c r="AA13" s="14">
        <f>V13/totals!B$4</f>
        <v>0.0008769294151</v>
      </c>
      <c r="AB13" s="14">
        <f t="shared" si="11"/>
        <v>0.007308588139</v>
      </c>
    </row>
    <row r="14">
      <c r="A14" s="7">
        <v>4594.0</v>
      </c>
      <c r="B14" s="7" t="str">
        <f>VLOOKUP($A14,product_category,2, False)</f>
        <v>Fruits</v>
      </c>
      <c r="C14" s="7">
        <v>1.04245078E8</v>
      </c>
      <c r="D14" s="9">
        <v>41360.0</v>
      </c>
      <c r="E14" s="10">
        <f t="shared" si="1"/>
        <v>3</v>
      </c>
      <c r="F14" s="10" t="str">
        <f t="shared" si="2"/>
        <v>Mar</v>
      </c>
      <c r="G14" s="11">
        <f t="shared" si="3"/>
        <v>27</v>
      </c>
      <c r="H14" s="7">
        <f t="shared" si="4"/>
        <v>2013</v>
      </c>
      <c r="I14" s="9">
        <v>41385.0</v>
      </c>
      <c r="J14" s="11">
        <f t="shared" si="5"/>
        <v>25</v>
      </c>
      <c r="K14" s="7" t="s">
        <v>110</v>
      </c>
      <c r="L14" s="7" t="s">
        <v>762</v>
      </c>
      <c r="M14" s="7" t="str">
        <f>VLOOKUP(L14,countries, 2,false)</f>
        <v>United Kingdom</v>
      </c>
      <c r="N14" s="7" t="str">
        <f>VLOOKUP(L14,countries, 4,false)</f>
        <v>Europe</v>
      </c>
      <c r="O14" s="7" t="str">
        <f>VLOOKUP(L14,countries, 5,false)</f>
        <v>Northern Europe</v>
      </c>
      <c r="P14" s="7" t="s">
        <v>212</v>
      </c>
      <c r="Q14" s="7">
        <v>7290.0</v>
      </c>
      <c r="R14" s="12">
        <v>9.33</v>
      </c>
      <c r="S14" s="12">
        <v>6.92</v>
      </c>
      <c r="T14" s="13">
        <f t="shared" si="6"/>
        <v>68015.7</v>
      </c>
      <c r="U14" s="13">
        <f t="shared" si="7"/>
        <v>1128055.92</v>
      </c>
      <c r="V14" s="13">
        <f t="shared" si="8"/>
        <v>-1060040.22</v>
      </c>
      <c r="W14" s="14">
        <f>Q14/totals!B$2</f>
        <v>0.001108488314</v>
      </c>
      <c r="X14" s="14">
        <f t="shared" si="9"/>
        <v>0.008256945462</v>
      </c>
      <c r="Y14" s="14">
        <f>T14/totals!B$5</f>
        <v>0.0000399591827</v>
      </c>
      <c r="Z14" s="14">
        <f t="shared" si="10"/>
        <v>0.007225563915</v>
      </c>
      <c r="AA14" s="14">
        <f>V14/totals!B$4</f>
        <v>-0.002113694628</v>
      </c>
      <c r="AB14" s="14">
        <f t="shared" si="11"/>
        <v>0.00519489351</v>
      </c>
    </row>
    <row r="15">
      <c r="A15" s="7">
        <v>7331.0</v>
      </c>
      <c r="B15" s="7" t="str">
        <f>VLOOKUP($A15,product_category,2, False)</f>
        <v>Baby Food</v>
      </c>
      <c r="C15" s="7">
        <v>1.0454849E8</v>
      </c>
      <c r="D15" s="9">
        <v>41640.0</v>
      </c>
      <c r="E15" s="10">
        <f t="shared" si="1"/>
        <v>1</v>
      </c>
      <c r="F15" s="10" t="str">
        <f t="shared" si="2"/>
        <v>Jan</v>
      </c>
      <c r="G15" s="11">
        <f t="shared" si="3"/>
        <v>1</v>
      </c>
      <c r="H15" s="7">
        <f t="shared" si="4"/>
        <v>2014</v>
      </c>
      <c r="I15" s="9">
        <v>41644.0</v>
      </c>
      <c r="J15" s="11">
        <f t="shared" si="5"/>
        <v>4</v>
      </c>
      <c r="K15" s="7" t="s">
        <v>110</v>
      </c>
      <c r="L15" s="7" t="e">
        <v>#N/A</v>
      </c>
      <c r="M15" s="7"/>
      <c r="N15" s="7"/>
      <c r="O15" s="7"/>
      <c r="P15" s="7" t="s">
        <v>129</v>
      </c>
      <c r="Q15" s="7">
        <v>7076.0</v>
      </c>
      <c r="R15" s="12">
        <v>255.28</v>
      </c>
      <c r="S15" s="12">
        <v>159.42</v>
      </c>
      <c r="T15" s="13">
        <f t="shared" si="6"/>
        <v>1806361.28</v>
      </c>
      <c r="U15" s="13">
        <f t="shared" si="7"/>
        <v>342845.44</v>
      </c>
      <c r="V15" s="13">
        <f t="shared" si="8"/>
        <v>1463515.84</v>
      </c>
      <c r="W15" s="14">
        <f>Q15/totals!B$2</f>
        <v>0.001075948328</v>
      </c>
      <c r="X15" s="14">
        <f t="shared" si="9"/>
        <v>0.00933289379</v>
      </c>
      <c r="Y15" s="14">
        <f>T15/totals!B$5</f>
        <v>0.001061236162</v>
      </c>
      <c r="Z15" s="14">
        <f t="shared" si="10"/>
        <v>0.008286800076</v>
      </c>
      <c r="AA15" s="14">
        <f>V15/totals!B$4</f>
        <v>0.002918215282</v>
      </c>
      <c r="AB15" s="14">
        <f t="shared" si="11"/>
        <v>0.008113108792</v>
      </c>
    </row>
    <row r="16">
      <c r="A16" s="7">
        <v>2455.0</v>
      </c>
      <c r="B16" s="7" t="str">
        <f>VLOOKUP($A16,product_category,2, False)</f>
        <v>Clothes</v>
      </c>
      <c r="C16" s="7">
        <v>1.0503E8</v>
      </c>
      <c r="D16" s="9">
        <v>42523.0</v>
      </c>
      <c r="E16" s="10">
        <f t="shared" si="1"/>
        <v>6</v>
      </c>
      <c r="F16" s="10" t="str">
        <f t="shared" si="2"/>
        <v>Jun</v>
      </c>
      <c r="G16" s="11">
        <f t="shared" si="3"/>
        <v>2</v>
      </c>
      <c r="H16" s="7">
        <f t="shared" si="4"/>
        <v>2016</v>
      </c>
      <c r="I16" s="9">
        <v>42534.0</v>
      </c>
      <c r="J16" s="11">
        <f t="shared" si="5"/>
        <v>11</v>
      </c>
      <c r="K16" s="7" t="s">
        <v>198</v>
      </c>
      <c r="L16" s="7" t="s">
        <v>670</v>
      </c>
      <c r="M16" s="7" t="str">
        <f>VLOOKUP(L16,countries, 2,false)</f>
        <v>Slovenia</v>
      </c>
      <c r="N16" s="7" t="str">
        <f>VLOOKUP(L16,countries, 4,false)</f>
        <v>Europe</v>
      </c>
      <c r="O16" s="7" t="str">
        <f>VLOOKUP(L16,countries, 5,false)</f>
        <v>Southern Europe</v>
      </c>
      <c r="P16" s="7" t="s">
        <v>212</v>
      </c>
      <c r="Q16" s="7">
        <v>9566.0</v>
      </c>
      <c r="R16" s="12">
        <v>109.28</v>
      </c>
      <c r="S16" s="12">
        <v>35.84</v>
      </c>
      <c r="T16" s="13">
        <f t="shared" si="6"/>
        <v>1045372.48</v>
      </c>
      <c r="U16" s="13">
        <f t="shared" si="7"/>
        <v>2642355.32</v>
      </c>
      <c r="V16" s="13">
        <f t="shared" si="8"/>
        <v>-1596982.84</v>
      </c>
      <c r="W16" s="14">
        <f>Q16/totals!B$2</f>
        <v>0.001454567793</v>
      </c>
      <c r="X16" s="14">
        <f t="shared" si="9"/>
        <v>0.01078746158</v>
      </c>
      <c r="Y16" s="14">
        <f>T16/totals!B$5</f>
        <v>0.0006141557011</v>
      </c>
      <c r="Z16" s="14">
        <f t="shared" si="10"/>
        <v>0.008900955777</v>
      </c>
      <c r="AA16" s="14">
        <f>V16/totals!B$4</f>
        <v>-0.00318434526</v>
      </c>
      <c r="AB16" s="14">
        <f t="shared" si="11"/>
        <v>0.004928763532</v>
      </c>
    </row>
    <row r="17">
      <c r="A17" s="7">
        <v>7940.0</v>
      </c>
      <c r="B17" s="7" t="str">
        <f>VLOOKUP($A17,product_category,2, False)</f>
        <v>Household</v>
      </c>
      <c r="C17" s="7">
        <v>1.07651269E8</v>
      </c>
      <c r="D17" s="9">
        <v>41575.0</v>
      </c>
      <c r="E17" s="10">
        <f t="shared" si="1"/>
        <v>10</v>
      </c>
      <c r="F17" s="10" t="str">
        <f t="shared" si="2"/>
        <v>Oct</v>
      </c>
      <c r="G17" s="11">
        <f t="shared" si="3"/>
        <v>28</v>
      </c>
      <c r="H17" s="7">
        <f t="shared" si="4"/>
        <v>2013</v>
      </c>
      <c r="I17" s="9">
        <v>41589.0</v>
      </c>
      <c r="J17" s="11">
        <f t="shared" si="5"/>
        <v>14</v>
      </c>
      <c r="K17" s="7" t="s">
        <v>110</v>
      </c>
      <c r="L17" s="7" t="s">
        <v>222</v>
      </c>
      <c r="M17" s="7" t="str">
        <f>VLOOKUP(L17,countries, 2,false)</f>
        <v>Croatia</v>
      </c>
      <c r="N17" s="7" t="str">
        <f>VLOOKUP(L17,countries, 4,false)</f>
        <v>Europe</v>
      </c>
      <c r="O17" s="7" t="str">
        <f>VLOOKUP(L17,countries, 5,false)</f>
        <v>Southern Europe</v>
      </c>
      <c r="P17" s="7" t="s">
        <v>129</v>
      </c>
      <c r="Q17" s="7">
        <v>5258.0</v>
      </c>
      <c r="R17" s="12">
        <v>668.27</v>
      </c>
      <c r="S17" s="12">
        <v>502.54</v>
      </c>
      <c r="T17" s="13">
        <f t="shared" si="6"/>
        <v>3513763.66</v>
      </c>
      <c r="U17" s="13">
        <f t="shared" si="7"/>
        <v>1438765.5</v>
      </c>
      <c r="V17" s="13">
        <f t="shared" si="8"/>
        <v>2074998.16</v>
      </c>
      <c r="W17" s="14">
        <f>Q17/totals!B$2</f>
        <v>0.0007995105013</v>
      </c>
      <c r="X17" s="14">
        <f t="shared" si="9"/>
        <v>0.01158697208</v>
      </c>
      <c r="Y17" s="14">
        <f>T17/totals!B$5</f>
        <v>0.00206433403</v>
      </c>
      <c r="Z17" s="14">
        <f t="shared" si="10"/>
        <v>0.01096528981</v>
      </c>
      <c r="AA17" s="14">
        <f>V17/totals!B$4</f>
        <v>0.004137496278</v>
      </c>
      <c r="AB17" s="14">
        <f t="shared" si="11"/>
        <v>0.009066259809</v>
      </c>
    </row>
    <row r="18">
      <c r="A18" s="7">
        <v>7331.0</v>
      </c>
      <c r="B18" s="7" t="str">
        <f>VLOOKUP($A18,product_category,2, False)</f>
        <v>Baby Food</v>
      </c>
      <c r="C18" s="7">
        <v>1.08407437E8</v>
      </c>
      <c r="D18" s="9">
        <v>42054.0</v>
      </c>
      <c r="E18" s="10">
        <f t="shared" si="1"/>
        <v>2</v>
      </c>
      <c r="F18" s="10" t="str">
        <f t="shared" si="2"/>
        <v>Feb</v>
      </c>
      <c r="G18" s="11">
        <f t="shared" si="3"/>
        <v>19</v>
      </c>
      <c r="H18" s="7">
        <f t="shared" si="4"/>
        <v>2015</v>
      </c>
      <c r="I18" s="9">
        <v>42090.0</v>
      </c>
      <c r="J18" s="11">
        <f t="shared" si="5"/>
        <v>36</v>
      </c>
      <c r="K18" s="7" t="s">
        <v>198</v>
      </c>
      <c r="L18" s="7" t="s">
        <v>609</v>
      </c>
      <c r="M18" s="7" t="str">
        <f>VLOOKUP(L18,countries, 2,false)</f>
        <v>Romania</v>
      </c>
      <c r="N18" s="7" t="str">
        <f>VLOOKUP(L18,countries, 4,false)</f>
        <v>Europe</v>
      </c>
      <c r="O18" s="7" t="str">
        <f>VLOOKUP(L18,countries, 5,false)</f>
        <v>Eastern Europe</v>
      </c>
      <c r="P18" s="7" t="s">
        <v>212</v>
      </c>
      <c r="Q18" s="7">
        <v>9025.0</v>
      </c>
      <c r="R18" s="12">
        <v>255.28</v>
      </c>
      <c r="S18" s="12">
        <v>159.42</v>
      </c>
      <c r="T18" s="13">
        <f t="shared" si="6"/>
        <v>2303902</v>
      </c>
      <c r="U18" s="13">
        <f t="shared" si="7"/>
        <v>175902.72</v>
      </c>
      <c r="V18" s="13">
        <f t="shared" si="8"/>
        <v>2127999.28</v>
      </c>
      <c r="W18" s="14">
        <f>Q18/totals!B$2</f>
        <v>0.001372305491</v>
      </c>
      <c r="X18" s="14">
        <f t="shared" si="9"/>
        <v>0.01295927758</v>
      </c>
      <c r="Y18" s="14">
        <f>T18/totals!B$5</f>
        <v>0.001353541034</v>
      </c>
      <c r="Z18" s="14">
        <f t="shared" si="10"/>
        <v>0.01231883084</v>
      </c>
      <c r="AA18" s="14">
        <f>V18/totals!B$4</f>
        <v>0.004243179232</v>
      </c>
      <c r="AB18" s="14">
        <f t="shared" si="11"/>
        <v>0.01330943904</v>
      </c>
    </row>
    <row r="19">
      <c r="A19" s="7">
        <v>2455.0</v>
      </c>
      <c r="B19" s="7" t="str">
        <f>VLOOKUP($A19,product_category,2, False)</f>
        <v>Clothes</v>
      </c>
      <c r="C19" s="7">
        <v>1.09914195E8</v>
      </c>
      <c r="D19" s="9">
        <v>40980.0</v>
      </c>
      <c r="E19" s="10">
        <f t="shared" si="1"/>
        <v>3</v>
      </c>
      <c r="F19" s="10" t="str">
        <f t="shared" si="2"/>
        <v>Mar</v>
      </c>
      <c r="G19" s="11">
        <f t="shared" si="3"/>
        <v>12</v>
      </c>
      <c r="H19" s="7">
        <f t="shared" si="4"/>
        <v>2012</v>
      </c>
      <c r="I19" s="9">
        <v>41015.0</v>
      </c>
      <c r="J19" s="11">
        <f t="shared" si="5"/>
        <v>35</v>
      </c>
      <c r="K19" s="7" t="s">
        <v>110</v>
      </c>
      <c r="L19" s="7" t="s">
        <v>594</v>
      </c>
      <c r="M19" s="7" t="str">
        <f>VLOOKUP(L19,countries, 2,false)</f>
        <v>Poland</v>
      </c>
      <c r="N19" s="7" t="str">
        <f>VLOOKUP(L19,countries, 4,false)</f>
        <v>Europe</v>
      </c>
      <c r="O19" s="7" t="str">
        <f>VLOOKUP(L19,countries, 5,false)</f>
        <v>Eastern Europe</v>
      </c>
      <c r="P19" s="7" t="s">
        <v>212</v>
      </c>
      <c r="Q19" s="7">
        <v>4908.0</v>
      </c>
      <c r="R19" s="12">
        <v>109.28</v>
      </c>
      <c r="S19" s="12">
        <v>35.84</v>
      </c>
      <c r="T19" s="13">
        <f t="shared" si="6"/>
        <v>536346.24</v>
      </c>
      <c r="U19" s="13">
        <f t="shared" si="7"/>
        <v>777331.92</v>
      </c>
      <c r="V19" s="13">
        <f t="shared" si="8"/>
        <v>-240985.68</v>
      </c>
      <c r="W19" s="14">
        <f>Q19/totals!B$2</f>
        <v>0.0007462908977</v>
      </c>
      <c r="X19" s="14">
        <f t="shared" si="9"/>
        <v>0.01370556847</v>
      </c>
      <c r="Y19" s="14">
        <f>T19/totals!B$5</f>
        <v>0.0003151030923</v>
      </c>
      <c r="Z19" s="14">
        <f t="shared" si="10"/>
        <v>0.01263393393</v>
      </c>
      <c r="AA19" s="14">
        <f>V19/totals!B$4</f>
        <v>-0.0004805196328</v>
      </c>
      <c r="AB19" s="14">
        <f t="shared" si="11"/>
        <v>0.01282891941</v>
      </c>
    </row>
    <row r="20">
      <c r="A20" s="7">
        <v>7331.0</v>
      </c>
      <c r="B20" s="7" t="str">
        <f>VLOOKUP($A20,product_category,2, False)</f>
        <v>Baby Food</v>
      </c>
      <c r="C20" s="7">
        <v>1.11063039E8</v>
      </c>
      <c r="D20" s="9">
        <v>41055.0</v>
      </c>
      <c r="E20" s="10">
        <f t="shared" si="1"/>
        <v>5</v>
      </c>
      <c r="F20" s="10" t="str">
        <f t="shared" si="2"/>
        <v>May</v>
      </c>
      <c r="G20" s="11">
        <f t="shared" si="3"/>
        <v>26</v>
      </c>
      <c r="H20" s="7">
        <f t="shared" si="4"/>
        <v>2012</v>
      </c>
      <c r="I20" s="9">
        <v>41103.0</v>
      </c>
      <c r="J20" s="11">
        <f t="shared" si="5"/>
        <v>48</v>
      </c>
      <c r="K20" s="7" t="s">
        <v>322</v>
      </c>
      <c r="L20" s="7" t="s">
        <v>454</v>
      </c>
      <c r="M20" s="7" t="str">
        <f>VLOOKUP(L20,countries, 2,false)</f>
        <v>Luxembourg</v>
      </c>
      <c r="N20" s="7" t="str">
        <f>VLOOKUP(L20,countries, 4,false)</f>
        <v>Europe</v>
      </c>
      <c r="O20" s="7" t="str">
        <f>VLOOKUP(L20,countries, 5,false)</f>
        <v>Western Europe</v>
      </c>
      <c r="P20" s="7" t="s">
        <v>129</v>
      </c>
      <c r="Q20" s="7">
        <v>4876.0</v>
      </c>
      <c r="R20" s="12">
        <v>255.28</v>
      </c>
      <c r="S20" s="12">
        <v>159.42</v>
      </c>
      <c r="T20" s="13">
        <f t="shared" si="6"/>
        <v>1244745.28</v>
      </c>
      <c r="U20" s="13">
        <f t="shared" si="7"/>
        <v>3319773.07</v>
      </c>
      <c r="V20" s="13">
        <f t="shared" si="8"/>
        <v>-2075027.79</v>
      </c>
      <c r="W20" s="14">
        <f>Q20/totals!B$2</f>
        <v>0.0007414251054</v>
      </c>
      <c r="X20" s="14">
        <f t="shared" si="9"/>
        <v>0.01444699358</v>
      </c>
      <c r="Y20" s="14">
        <f>T20/totals!B$5</f>
        <v>0.0007312871007</v>
      </c>
      <c r="Z20" s="14">
        <f t="shared" si="10"/>
        <v>0.01336522103</v>
      </c>
      <c r="AA20" s="14">
        <f>V20/totals!B$4</f>
        <v>-0.004137555359</v>
      </c>
      <c r="AB20" s="14">
        <f t="shared" si="11"/>
        <v>0.00869136405</v>
      </c>
    </row>
    <row r="21">
      <c r="A21" s="7">
        <v>8875.0</v>
      </c>
      <c r="B21" s="7" t="str">
        <f>VLOOKUP($A21,product_category,2, False)</f>
        <v>Meat</v>
      </c>
      <c r="C21" s="7">
        <v>1.11246287E8</v>
      </c>
      <c r="D21" s="9">
        <v>42895.0</v>
      </c>
      <c r="E21" s="10">
        <f t="shared" si="1"/>
        <v>6</v>
      </c>
      <c r="F21" s="10" t="str">
        <f t="shared" si="2"/>
        <v>Jun</v>
      </c>
      <c r="G21" s="11">
        <f t="shared" si="3"/>
        <v>9</v>
      </c>
      <c r="H21" s="7">
        <f t="shared" si="4"/>
        <v>2017</v>
      </c>
      <c r="I21" s="9">
        <v>42918.0</v>
      </c>
      <c r="J21" s="11">
        <f t="shared" si="5"/>
        <v>23</v>
      </c>
      <c r="K21" s="7" t="s">
        <v>110</v>
      </c>
      <c r="L21" s="7" t="s">
        <v>231</v>
      </c>
      <c r="M21" s="7" t="str">
        <f>VLOOKUP(L21,countries, 2,false)</f>
        <v>Cyprus</v>
      </c>
      <c r="N21" s="7" t="str">
        <f>VLOOKUP(L21,countries, 4,false)</f>
        <v>Asia</v>
      </c>
      <c r="O21" s="7" t="str">
        <f>VLOOKUP(L21,countries, 5,false)</f>
        <v>Western Asia</v>
      </c>
      <c r="P21" s="7" t="s">
        <v>212</v>
      </c>
      <c r="Q21" s="7">
        <v>9103.0</v>
      </c>
      <c r="R21" s="12">
        <v>421.89</v>
      </c>
      <c r="S21" s="12">
        <v>364.69</v>
      </c>
      <c r="T21" s="13">
        <f t="shared" si="6"/>
        <v>3840464.67</v>
      </c>
      <c r="U21" s="13">
        <f t="shared" si="7"/>
        <v>20863.8</v>
      </c>
      <c r="V21" s="13">
        <f t="shared" si="8"/>
        <v>3819600.87</v>
      </c>
      <c r="W21" s="14">
        <f>Q21/totals!B$2</f>
        <v>0.00138416586</v>
      </c>
      <c r="X21" s="14">
        <f t="shared" si="9"/>
        <v>0.01583115944</v>
      </c>
      <c r="Y21" s="14">
        <f>T21/totals!B$5</f>
        <v>0.002256270676</v>
      </c>
      <c r="Z21" s="14">
        <f t="shared" si="10"/>
        <v>0.01562149171</v>
      </c>
      <c r="AA21" s="14">
        <f>V21/totals!B$4</f>
        <v>0.007616191998</v>
      </c>
      <c r="AB21" s="14">
        <f t="shared" si="11"/>
        <v>0.01630755605</v>
      </c>
    </row>
    <row r="22">
      <c r="A22" s="7">
        <v>4594.0</v>
      </c>
      <c r="B22" s="7" t="str">
        <f>VLOOKUP($A22,product_category,2, False)</f>
        <v>Fruits</v>
      </c>
      <c r="C22" s="7">
        <v>1.11496055E8</v>
      </c>
      <c r="D22" s="9">
        <v>40661.0</v>
      </c>
      <c r="E22" s="10">
        <f t="shared" si="1"/>
        <v>4</v>
      </c>
      <c r="F22" s="10" t="str">
        <f t="shared" si="2"/>
        <v>Apr</v>
      </c>
      <c r="G22" s="11">
        <f t="shared" si="3"/>
        <v>28</v>
      </c>
      <c r="H22" s="7">
        <f t="shared" si="4"/>
        <v>2011</v>
      </c>
      <c r="I22" s="9">
        <v>40698.0</v>
      </c>
      <c r="J22" s="11">
        <f t="shared" si="5"/>
        <v>37</v>
      </c>
      <c r="K22" s="7" t="s">
        <v>110</v>
      </c>
      <c r="L22" s="7" t="s">
        <v>113</v>
      </c>
      <c r="M22" s="7" t="str">
        <f>VLOOKUP(L22,countries, 2,false)</f>
        <v>Belgium</v>
      </c>
      <c r="N22" s="7" t="str">
        <f>VLOOKUP(L22,countries, 4,false)</f>
        <v>Europe</v>
      </c>
      <c r="O22" s="7" t="str">
        <f>VLOOKUP(L22,countries, 5,false)</f>
        <v>Western Europe</v>
      </c>
      <c r="P22" s="7" t="s">
        <v>129</v>
      </c>
      <c r="Q22" s="7">
        <v>3015.0</v>
      </c>
      <c r="R22" s="12">
        <v>9.33</v>
      </c>
      <c r="S22" s="12">
        <v>6.92</v>
      </c>
      <c r="T22" s="13">
        <f t="shared" si="6"/>
        <v>28129.95</v>
      </c>
      <c r="U22" s="13">
        <f t="shared" si="7"/>
        <v>77478.12</v>
      </c>
      <c r="V22" s="13">
        <f t="shared" si="8"/>
        <v>-49348.17</v>
      </c>
      <c r="W22" s="14">
        <f>Q22/totals!B$2</f>
        <v>0.0004584488706</v>
      </c>
      <c r="X22" s="14">
        <f t="shared" si="9"/>
        <v>0.01628960831</v>
      </c>
      <c r="Y22" s="14">
        <f>T22/totals!B$5</f>
        <v>0.00001652632865</v>
      </c>
      <c r="Z22" s="14">
        <f t="shared" si="10"/>
        <v>0.01563801804</v>
      </c>
      <c r="AA22" s="14">
        <f>V22/totals!B$4</f>
        <v>-0.0000983990606</v>
      </c>
      <c r="AB22" s="14">
        <f t="shared" si="11"/>
        <v>0.01620915699</v>
      </c>
    </row>
    <row r="23">
      <c r="A23" s="7">
        <v>7331.0</v>
      </c>
      <c r="B23" s="7" t="str">
        <f>VLOOKUP($A23,product_category,2, False)</f>
        <v>Baby Food</v>
      </c>
      <c r="C23" s="7">
        <v>1.11893022E8</v>
      </c>
      <c r="D23" s="9">
        <v>42671.0</v>
      </c>
      <c r="E23" s="10">
        <f t="shared" si="1"/>
        <v>10</v>
      </c>
      <c r="F23" s="10" t="str">
        <f t="shared" si="2"/>
        <v>Oct</v>
      </c>
      <c r="G23" s="11">
        <f t="shared" si="3"/>
        <v>28</v>
      </c>
      <c r="H23" s="7">
        <f t="shared" si="4"/>
        <v>2016</v>
      </c>
      <c r="I23" s="9">
        <v>42706.0</v>
      </c>
      <c r="J23" s="11">
        <f t="shared" si="5"/>
        <v>35</v>
      </c>
      <c r="K23" s="7" t="s">
        <v>322</v>
      </c>
      <c r="L23" s="7" t="s">
        <v>670</v>
      </c>
      <c r="M23" s="7" t="str">
        <f>VLOOKUP(L23,countries, 2,false)</f>
        <v>Slovenia</v>
      </c>
      <c r="N23" s="7" t="str">
        <f>VLOOKUP(L23,countries, 4,false)</f>
        <v>Europe</v>
      </c>
      <c r="O23" s="7" t="str">
        <f>VLOOKUP(L23,countries, 5,false)</f>
        <v>Southern Europe</v>
      </c>
      <c r="P23" s="7" t="s">
        <v>129</v>
      </c>
      <c r="Q23" s="7">
        <v>486.0</v>
      </c>
      <c r="R23" s="12">
        <v>255.28</v>
      </c>
      <c r="S23" s="12">
        <v>159.42</v>
      </c>
      <c r="T23" s="13">
        <f t="shared" si="6"/>
        <v>124066.08</v>
      </c>
      <c r="U23" s="13">
        <f t="shared" si="7"/>
        <v>11549.12</v>
      </c>
      <c r="V23" s="13">
        <f t="shared" si="8"/>
        <v>112516.96</v>
      </c>
      <c r="W23" s="14">
        <f>Q23/totals!B$2</f>
        <v>0.00007389922093</v>
      </c>
      <c r="X23" s="14">
        <f t="shared" si="9"/>
        <v>0.01636350753</v>
      </c>
      <c r="Y23" s="14">
        <f>T23/totals!B$5</f>
        <v>0.00007288874712</v>
      </c>
      <c r="Z23" s="14">
        <f t="shared" si="10"/>
        <v>0.01571090679</v>
      </c>
      <c r="AA23" s="14">
        <f>V23/totals!B$4</f>
        <v>0.0002243561041</v>
      </c>
      <c r="AB23" s="14">
        <f t="shared" si="11"/>
        <v>0.01643351309</v>
      </c>
    </row>
    <row r="24">
      <c r="A24" s="7">
        <v>8681.0</v>
      </c>
      <c r="B24" s="7" t="str">
        <f>VLOOKUP($A24,product_category,2, False)</f>
        <v>Office Supplies</v>
      </c>
      <c r="C24" s="7">
        <v>1.12330758E8</v>
      </c>
      <c r="D24" s="9">
        <v>42719.0</v>
      </c>
      <c r="E24" s="10">
        <f t="shared" si="1"/>
        <v>12</v>
      </c>
      <c r="F24" s="10" t="str">
        <f t="shared" si="2"/>
        <v>Dec</v>
      </c>
      <c r="G24" s="11">
        <f t="shared" si="3"/>
        <v>15</v>
      </c>
      <c r="H24" s="7">
        <f t="shared" si="4"/>
        <v>2016</v>
      </c>
      <c r="I24" s="9">
        <v>42746.0</v>
      </c>
      <c r="J24" s="11">
        <f t="shared" si="5"/>
        <v>27</v>
      </c>
      <c r="K24" s="7" t="s">
        <v>198</v>
      </c>
      <c r="L24" s="7" t="s">
        <v>451</v>
      </c>
      <c r="M24" s="7" t="str">
        <f>VLOOKUP(L24,countries, 2,false)</f>
        <v>Lithuania</v>
      </c>
      <c r="N24" s="7" t="str">
        <f>VLOOKUP(L24,countries, 4,false)</f>
        <v>Europe</v>
      </c>
      <c r="O24" s="7" t="str">
        <f>VLOOKUP(L24,countries, 5,false)</f>
        <v>Northern Europe</v>
      </c>
      <c r="P24" s="7" t="s">
        <v>212</v>
      </c>
      <c r="Q24" s="7">
        <v>22.0</v>
      </c>
      <c r="R24" s="12">
        <v>651.21</v>
      </c>
      <c r="S24" s="12">
        <v>524.96</v>
      </c>
      <c r="T24" s="13">
        <f t="shared" si="6"/>
        <v>14326.62</v>
      </c>
      <c r="U24" s="13">
        <f t="shared" si="7"/>
        <v>875572.25</v>
      </c>
      <c r="V24" s="13">
        <f t="shared" si="8"/>
        <v>-861245.63</v>
      </c>
      <c r="W24" s="14">
        <f>Q24/totals!B$2</f>
        <v>0.000003345232223</v>
      </c>
      <c r="X24" s="14">
        <f t="shared" si="9"/>
        <v>0.01636685276</v>
      </c>
      <c r="Y24" s="14">
        <f>T24/totals!B$5</f>
        <v>0.000008416880603</v>
      </c>
      <c r="Z24" s="14">
        <f t="shared" si="10"/>
        <v>0.01571932367</v>
      </c>
      <c r="AA24" s="14">
        <f>V24/totals!B$4</f>
        <v>-0.001717303011</v>
      </c>
      <c r="AB24" s="14">
        <f t="shared" si="11"/>
        <v>0.01471621008</v>
      </c>
    </row>
    <row r="25">
      <c r="A25" s="7">
        <v>8293.0</v>
      </c>
      <c r="B25" s="7" t="str">
        <f>VLOOKUP($A25,product_category,2, False)</f>
        <v>Cosmetics</v>
      </c>
      <c r="C25" s="7">
        <v>1.13524663E8</v>
      </c>
      <c r="D25" s="9">
        <v>40480.0</v>
      </c>
      <c r="E25" s="10">
        <f t="shared" si="1"/>
        <v>10</v>
      </c>
      <c r="F25" s="10" t="str">
        <f t="shared" si="2"/>
        <v>Oct</v>
      </c>
      <c r="G25" s="11">
        <f t="shared" si="3"/>
        <v>29</v>
      </c>
      <c r="H25" s="7">
        <f t="shared" si="4"/>
        <v>2010</v>
      </c>
      <c r="I25" s="9">
        <v>40521.0</v>
      </c>
      <c r="J25" s="11">
        <f t="shared" si="5"/>
        <v>41</v>
      </c>
      <c r="K25" s="7" t="s">
        <v>322</v>
      </c>
      <c r="L25" s="7" t="s">
        <v>612</v>
      </c>
      <c r="M25" s="7" t="str">
        <f>VLOOKUP(L25,countries, 2,false)</f>
        <v>Russia</v>
      </c>
      <c r="N25" s="7" t="str">
        <f>VLOOKUP(L25,countries, 4,false)</f>
        <v>Europe</v>
      </c>
      <c r="O25" s="7" t="str">
        <f>VLOOKUP(L25,countries, 5,false)</f>
        <v>Eastern Europe</v>
      </c>
      <c r="P25" s="7" t="s">
        <v>129</v>
      </c>
      <c r="Q25" s="7">
        <v>3325.0</v>
      </c>
      <c r="R25" s="12">
        <v>437.2</v>
      </c>
      <c r="S25" s="12">
        <v>263.33</v>
      </c>
      <c r="T25" s="13">
        <f t="shared" si="6"/>
        <v>1453690</v>
      </c>
      <c r="U25" s="13">
        <f t="shared" si="7"/>
        <v>43935.08</v>
      </c>
      <c r="V25" s="13">
        <f t="shared" si="8"/>
        <v>1409754.92</v>
      </c>
      <c r="W25" s="14">
        <f>Q25/totals!B$2</f>
        <v>0.0005055862337</v>
      </c>
      <c r="X25" s="14">
        <f t="shared" si="9"/>
        <v>0.016872439</v>
      </c>
      <c r="Y25" s="14">
        <f>T25/totals!B$5</f>
        <v>0.0008540419976</v>
      </c>
      <c r="Z25" s="14">
        <f t="shared" si="10"/>
        <v>0.01657336566</v>
      </c>
      <c r="AA25" s="14">
        <f>V25/totals!B$4</f>
        <v>0.002811017304</v>
      </c>
      <c r="AB25" s="14">
        <f t="shared" si="11"/>
        <v>0.01752722738</v>
      </c>
    </row>
    <row r="26">
      <c r="A26" s="7">
        <v>4594.0</v>
      </c>
      <c r="B26" s="7" t="str">
        <f>VLOOKUP($A26,product_category,2, False)</f>
        <v>Fruits</v>
      </c>
      <c r="C26" s="7">
        <v>1.14954173E8</v>
      </c>
      <c r="D26" s="9">
        <v>40212.0</v>
      </c>
      <c r="E26" s="10">
        <f t="shared" si="1"/>
        <v>2</v>
      </c>
      <c r="F26" s="10" t="str">
        <f t="shared" si="2"/>
        <v>Feb</v>
      </c>
      <c r="G26" s="11">
        <f t="shared" si="3"/>
        <v>3</v>
      </c>
      <c r="H26" s="7">
        <f t="shared" si="4"/>
        <v>2010</v>
      </c>
      <c r="I26" s="9">
        <v>40220.0</v>
      </c>
      <c r="J26" s="11">
        <f t="shared" si="5"/>
        <v>8</v>
      </c>
      <c r="K26" s="7" t="s">
        <v>198</v>
      </c>
      <c r="L26" s="7" t="s">
        <v>478</v>
      </c>
      <c r="M26" s="7" t="str">
        <f>VLOOKUP(L26,countries, 2,false)</f>
        <v>Malta</v>
      </c>
      <c r="N26" s="7" t="str">
        <f>VLOOKUP(L26,countries, 4,false)</f>
        <v>Europe</v>
      </c>
      <c r="O26" s="7" t="str">
        <f>VLOOKUP(L26,countries, 5,false)</f>
        <v>Southern Europe</v>
      </c>
      <c r="P26" s="7" t="s">
        <v>212</v>
      </c>
      <c r="Q26" s="7">
        <v>6349.0</v>
      </c>
      <c r="R26" s="12">
        <v>9.33</v>
      </c>
      <c r="S26" s="12">
        <v>6.92</v>
      </c>
      <c r="T26" s="13">
        <f t="shared" si="6"/>
        <v>59236.17</v>
      </c>
      <c r="U26" s="13">
        <f t="shared" si="7"/>
        <v>3872104.96</v>
      </c>
      <c r="V26" s="13">
        <f t="shared" si="8"/>
        <v>-3812868.79</v>
      </c>
      <c r="W26" s="14">
        <f>Q26/totals!B$2</f>
        <v>0.0009654036083</v>
      </c>
      <c r="X26" s="14">
        <f t="shared" si="9"/>
        <v>0.0178378426</v>
      </c>
      <c r="Y26" s="14">
        <f>T26/totals!B$5</f>
        <v>0.00003480121412</v>
      </c>
      <c r="Z26" s="14">
        <f t="shared" si="10"/>
        <v>0.01660816688</v>
      </c>
      <c r="AA26" s="14">
        <f>V26/totals!B$4</f>
        <v>-0.007602768393</v>
      </c>
      <c r="AB26" s="14">
        <f t="shared" si="11"/>
        <v>0.009924458992</v>
      </c>
    </row>
    <row r="27">
      <c r="A27" s="7">
        <v>8681.0</v>
      </c>
      <c r="B27" s="7" t="str">
        <f>VLOOKUP($A27,product_category,2, False)</f>
        <v>Office Supplies</v>
      </c>
      <c r="C27" s="7">
        <v>1.15363156E8</v>
      </c>
      <c r="D27" s="9">
        <v>42342.0</v>
      </c>
      <c r="E27" s="10">
        <f t="shared" si="1"/>
        <v>12</v>
      </c>
      <c r="F27" s="10" t="str">
        <f t="shared" si="2"/>
        <v>Dec</v>
      </c>
      <c r="G27" s="11">
        <f t="shared" si="3"/>
        <v>4</v>
      </c>
      <c r="H27" s="7">
        <f t="shared" si="4"/>
        <v>2015</v>
      </c>
      <c r="I27" s="9">
        <v>42379.0</v>
      </c>
      <c r="J27" s="11">
        <f t="shared" si="5"/>
        <v>37</v>
      </c>
      <c r="K27" s="7" t="s">
        <v>382</v>
      </c>
      <c r="L27" s="7" t="s">
        <v>756</v>
      </c>
      <c r="M27" s="7" t="str">
        <f>VLOOKUP(L27,countries, 2,false)</f>
        <v>Ukraine</v>
      </c>
      <c r="N27" s="7" t="str">
        <f>VLOOKUP(L27,countries, 4,false)</f>
        <v>Europe</v>
      </c>
      <c r="O27" s="7" t="str">
        <f>VLOOKUP(L27,countries, 5,false)</f>
        <v>Eastern Europe</v>
      </c>
      <c r="P27" s="7" t="s">
        <v>212</v>
      </c>
      <c r="Q27" s="7">
        <v>7376.0</v>
      </c>
      <c r="R27" s="12">
        <v>651.21</v>
      </c>
      <c r="S27" s="12">
        <v>524.96</v>
      </c>
      <c r="T27" s="13">
        <f t="shared" si="6"/>
        <v>4803324.96</v>
      </c>
      <c r="U27" s="13">
        <f t="shared" si="7"/>
        <v>47145.96</v>
      </c>
      <c r="V27" s="13">
        <f t="shared" si="8"/>
        <v>4756179</v>
      </c>
      <c r="W27" s="14">
        <f>Q27/totals!B$2</f>
        <v>0.001121565131</v>
      </c>
      <c r="X27" s="14">
        <f t="shared" si="9"/>
        <v>0.01895940774</v>
      </c>
      <c r="Y27" s="14">
        <f>T27/totals!B$5</f>
        <v>0.002821950515</v>
      </c>
      <c r="Z27" s="14">
        <f t="shared" si="10"/>
        <v>0.01943011739</v>
      </c>
      <c r="AA27" s="14">
        <f>V27/totals!B$4</f>
        <v>0.009483706197</v>
      </c>
      <c r="AB27" s="14">
        <f t="shared" si="11"/>
        <v>0.01940816519</v>
      </c>
    </row>
    <row r="28">
      <c r="A28" s="7">
        <v>4594.0</v>
      </c>
      <c r="B28" s="7" t="str">
        <f>VLOOKUP($A28,product_category,2, False)</f>
        <v>Fruits</v>
      </c>
      <c r="C28" s="7">
        <v>1.17929494E8</v>
      </c>
      <c r="D28" s="9">
        <v>42028.0</v>
      </c>
      <c r="E28" s="10">
        <f t="shared" si="1"/>
        <v>1</v>
      </c>
      <c r="F28" s="10" t="str">
        <f t="shared" si="2"/>
        <v>Jan</v>
      </c>
      <c r="G28" s="11">
        <f t="shared" si="3"/>
        <v>24</v>
      </c>
      <c r="H28" s="7">
        <f t="shared" si="4"/>
        <v>2015</v>
      </c>
      <c r="I28" s="9">
        <v>42065.0</v>
      </c>
      <c r="J28" s="11">
        <f t="shared" si="5"/>
        <v>37</v>
      </c>
      <c r="K28" s="7" t="s">
        <v>382</v>
      </c>
      <c r="L28" s="7" t="e">
        <v>#N/A</v>
      </c>
      <c r="M28" s="7"/>
      <c r="N28" s="7"/>
      <c r="O28" s="7"/>
      <c r="P28" s="7" t="s">
        <v>212</v>
      </c>
      <c r="Q28" s="7">
        <v>6813.0</v>
      </c>
      <c r="R28" s="12">
        <v>9.33</v>
      </c>
      <c r="S28" s="12">
        <v>6.92</v>
      </c>
      <c r="T28" s="13">
        <f t="shared" si="6"/>
        <v>63565.29</v>
      </c>
      <c r="U28" s="13">
        <f t="shared" si="7"/>
        <v>320869.92</v>
      </c>
      <c r="V28" s="13">
        <f t="shared" si="8"/>
        <v>-257304.63</v>
      </c>
      <c r="W28" s="14">
        <f>Q28/totals!B$2</f>
        <v>0.001035957597</v>
      </c>
      <c r="X28" s="14">
        <f t="shared" si="9"/>
        <v>0.01999536533</v>
      </c>
      <c r="Y28" s="14">
        <f>T28/totals!B$5</f>
        <v>0.00003734456951</v>
      </c>
      <c r="Z28" s="14">
        <f t="shared" si="10"/>
        <v>0.01946746196</v>
      </c>
      <c r="AA28" s="14">
        <f>V28/totals!B$4</f>
        <v>-0.0005130592255</v>
      </c>
      <c r="AB28" s="14">
        <f t="shared" si="11"/>
        <v>0.01889510596</v>
      </c>
    </row>
    <row r="29">
      <c r="A29" s="7">
        <v>8969.0</v>
      </c>
      <c r="B29" s="7" t="str">
        <f>VLOOKUP($A29,product_category,2, False)</f>
        <v>Snacks</v>
      </c>
      <c r="C29" s="7">
        <v>1.18086564E8</v>
      </c>
      <c r="D29" s="9">
        <v>42419.0</v>
      </c>
      <c r="E29" s="10">
        <f t="shared" si="1"/>
        <v>2</v>
      </c>
      <c r="F29" s="10" t="str">
        <f t="shared" si="2"/>
        <v>Feb</v>
      </c>
      <c r="G29" s="11">
        <f t="shared" si="3"/>
        <v>19</v>
      </c>
      <c r="H29" s="7">
        <f t="shared" si="4"/>
        <v>2016</v>
      </c>
      <c r="I29" s="9">
        <v>42442.0</v>
      </c>
      <c r="J29" s="11">
        <f t="shared" si="5"/>
        <v>23</v>
      </c>
      <c r="K29" s="7" t="s">
        <v>110</v>
      </c>
      <c r="L29" s="7" t="s">
        <v>111</v>
      </c>
      <c r="M29" s="7" t="str">
        <f>VLOOKUP(L29,countries, 2,false)</f>
        <v>Norway</v>
      </c>
      <c r="N29" s="7" t="str">
        <f>VLOOKUP(L29,countries, 4,false)</f>
        <v>Europe</v>
      </c>
      <c r="O29" s="7" t="str">
        <f>VLOOKUP(L29,countries, 5,false)</f>
        <v>Northern Europe</v>
      </c>
      <c r="P29" s="7" t="s">
        <v>129</v>
      </c>
      <c r="Q29" s="7">
        <v>3293.0</v>
      </c>
      <c r="R29" s="12">
        <v>152.58</v>
      </c>
      <c r="S29" s="12">
        <v>97.44</v>
      </c>
      <c r="T29" s="13">
        <f t="shared" si="6"/>
        <v>502445.94</v>
      </c>
      <c r="U29" s="13">
        <f t="shared" si="7"/>
        <v>346645.6</v>
      </c>
      <c r="V29" s="13">
        <f t="shared" si="8"/>
        <v>155800.34</v>
      </c>
      <c r="W29" s="14">
        <f>Q29/totals!B$2</f>
        <v>0.0005007204414</v>
      </c>
      <c r="X29" s="14">
        <f t="shared" si="9"/>
        <v>0.02049608577</v>
      </c>
      <c r="Y29" s="14">
        <f>T29/totals!B$5</f>
        <v>0.0002951866865</v>
      </c>
      <c r="Z29" s="14">
        <f t="shared" si="10"/>
        <v>0.01976264865</v>
      </c>
      <c r="AA29" s="14">
        <f>V29/totals!B$4</f>
        <v>0.0003106621197</v>
      </c>
      <c r="AB29" s="14">
        <f t="shared" si="11"/>
        <v>0.01920576808</v>
      </c>
    </row>
    <row r="30">
      <c r="A30" s="7">
        <v>2103.0</v>
      </c>
      <c r="B30" s="7" t="str">
        <f>VLOOKUP($A30,product_category,2, False)</f>
        <v>Cereal</v>
      </c>
      <c r="C30" s="7">
        <v>1.18659913E8</v>
      </c>
      <c r="D30" s="9">
        <v>41853.0</v>
      </c>
      <c r="E30" s="10">
        <f t="shared" si="1"/>
        <v>8</v>
      </c>
      <c r="F30" s="10" t="str">
        <f t="shared" si="2"/>
        <v>Aug</v>
      </c>
      <c r="G30" s="11">
        <f t="shared" si="3"/>
        <v>2</v>
      </c>
      <c r="H30" s="7">
        <f t="shared" si="4"/>
        <v>2014</v>
      </c>
      <c r="I30" s="9">
        <v>41868.0</v>
      </c>
      <c r="J30" s="11">
        <f t="shared" si="5"/>
        <v>15</v>
      </c>
      <c r="K30" s="7" t="s">
        <v>198</v>
      </c>
      <c r="L30" s="7" t="s">
        <v>234</v>
      </c>
      <c r="M30" s="7" t="str">
        <f>VLOOKUP(L30,countries, 2,false)</f>
        <v>Czech Republic</v>
      </c>
      <c r="N30" s="7" t="str">
        <f>VLOOKUP(L30,countries, 4,false)</f>
        <v>Europe</v>
      </c>
      <c r="O30" s="7" t="str">
        <f>VLOOKUP(L30,countries, 5,false)</f>
        <v>Eastern Europe</v>
      </c>
      <c r="P30" s="7" t="s">
        <v>129</v>
      </c>
      <c r="Q30" s="7">
        <v>2960.0</v>
      </c>
      <c r="R30" s="12">
        <v>205.7</v>
      </c>
      <c r="S30" s="12">
        <v>117.11</v>
      </c>
      <c r="T30" s="13">
        <f t="shared" si="6"/>
        <v>608872</v>
      </c>
      <c r="U30" s="13">
        <f t="shared" si="7"/>
        <v>196146.72</v>
      </c>
      <c r="V30" s="13">
        <f t="shared" si="8"/>
        <v>412725.28</v>
      </c>
      <c r="W30" s="14">
        <f>Q30/totals!B$2</f>
        <v>0.00045008579</v>
      </c>
      <c r="X30" s="14">
        <f t="shared" si="9"/>
        <v>0.02094617156</v>
      </c>
      <c r="Y30" s="14">
        <f>T30/totals!B$5</f>
        <v>0.0003577119325</v>
      </c>
      <c r="Z30" s="14">
        <f t="shared" si="10"/>
        <v>0.02012036058</v>
      </c>
      <c r="AA30" s="14">
        <f>V30/totals!B$4</f>
        <v>0.0008229642525</v>
      </c>
      <c r="AB30" s="14">
        <f t="shared" si="11"/>
        <v>0.02002873233</v>
      </c>
    </row>
    <row r="31">
      <c r="A31" s="7">
        <v>8969.0</v>
      </c>
      <c r="B31" s="7" t="str">
        <f>VLOOKUP($A31,product_category,2, False)</f>
        <v>Snacks</v>
      </c>
      <c r="C31" s="7">
        <v>1.18859469E8</v>
      </c>
      <c r="D31" s="9">
        <v>40696.0</v>
      </c>
      <c r="E31" s="10">
        <f t="shared" si="1"/>
        <v>6</v>
      </c>
      <c r="F31" s="10" t="str">
        <f t="shared" si="2"/>
        <v>Jun</v>
      </c>
      <c r="G31" s="11">
        <f t="shared" si="3"/>
        <v>2</v>
      </c>
      <c r="H31" s="7">
        <f t="shared" si="4"/>
        <v>2011</v>
      </c>
      <c r="I31" s="9">
        <v>40725.0</v>
      </c>
      <c r="J31" s="11">
        <f t="shared" si="5"/>
        <v>29</v>
      </c>
      <c r="K31" s="7" t="s">
        <v>322</v>
      </c>
      <c r="L31" s="7" t="e">
        <v>#N/A</v>
      </c>
      <c r="M31" s="7"/>
      <c r="N31" s="7"/>
      <c r="O31" s="7"/>
      <c r="P31" s="7" t="s">
        <v>212</v>
      </c>
      <c r="Q31" s="7">
        <v>2013.0</v>
      </c>
      <c r="R31" s="12">
        <v>152.58</v>
      </c>
      <c r="S31" s="12">
        <v>97.44</v>
      </c>
      <c r="T31" s="13">
        <f t="shared" si="6"/>
        <v>307143.54</v>
      </c>
      <c r="U31" s="13">
        <f t="shared" si="7"/>
        <v>29411.73</v>
      </c>
      <c r="V31" s="13">
        <f t="shared" si="8"/>
        <v>277731.81</v>
      </c>
      <c r="W31" s="14">
        <f>Q31/totals!B$2</f>
        <v>0.0003060887484</v>
      </c>
      <c r="X31" s="14">
        <f t="shared" si="9"/>
        <v>0.02125226031</v>
      </c>
      <c r="Y31" s="14">
        <f>T31/totals!B$5</f>
        <v>0.0001804466444</v>
      </c>
      <c r="Z31" s="14">
        <f t="shared" si="10"/>
        <v>0.02030080723</v>
      </c>
      <c r="AA31" s="14">
        <f>V31/totals!B$4</f>
        <v>0.0005537905296</v>
      </c>
      <c r="AB31" s="14">
        <f t="shared" si="11"/>
        <v>0.02058252286</v>
      </c>
    </row>
    <row r="32">
      <c r="A32" s="7">
        <v>3127.0</v>
      </c>
      <c r="B32" s="7" t="str">
        <f>VLOOKUP($A32,product_category,2, False)</f>
        <v>Personal Care</v>
      </c>
      <c r="C32" s="7">
        <v>1.19935786E8</v>
      </c>
      <c r="D32" s="9">
        <v>42018.0</v>
      </c>
      <c r="E32" s="10">
        <f t="shared" si="1"/>
        <v>1</v>
      </c>
      <c r="F32" s="10" t="str">
        <f t="shared" si="2"/>
        <v>Jan</v>
      </c>
      <c r="G32" s="11">
        <f t="shared" si="3"/>
        <v>14</v>
      </c>
      <c r="H32" s="7">
        <f t="shared" si="4"/>
        <v>2015</v>
      </c>
      <c r="I32" s="9">
        <v>42031.0</v>
      </c>
      <c r="J32" s="11">
        <f t="shared" si="5"/>
        <v>13</v>
      </c>
      <c r="K32" s="7" t="s">
        <v>322</v>
      </c>
      <c r="L32" s="7" t="s">
        <v>609</v>
      </c>
      <c r="M32" s="7" t="str">
        <f>VLOOKUP(L32,countries, 2,false)</f>
        <v>Romania</v>
      </c>
      <c r="N32" s="7" t="str">
        <f>VLOOKUP(L32,countries, 4,false)</f>
        <v>Europe</v>
      </c>
      <c r="O32" s="7" t="str">
        <f>VLOOKUP(L32,countries, 5,false)</f>
        <v>Eastern Europe</v>
      </c>
      <c r="P32" s="7" t="s">
        <v>212</v>
      </c>
      <c r="Q32" s="7">
        <v>519.0</v>
      </c>
      <c r="R32" s="12">
        <v>81.73</v>
      </c>
      <c r="S32" s="12">
        <v>56.67</v>
      </c>
      <c r="T32" s="13">
        <f t="shared" si="6"/>
        <v>42417.87</v>
      </c>
      <c r="U32" s="13">
        <f t="shared" si="7"/>
        <v>213702.57</v>
      </c>
      <c r="V32" s="13">
        <f t="shared" si="8"/>
        <v>-171284.7</v>
      </c>
      <c r="W32" s="14">
        <f>Q32/totals!B$2</f>
        <v>0.00007891706926</v>
      </c>
      <c r="X32" s="14">
        <f t="shared" si="9"/>
        <v>0.02133117738</v>
      </c>
      <c r="Y32" s="14">
        <f>T32/totals!B$5</f>
        <v>0.00002492047302</v>
      </c>
      <c r="Z32" s="14">
        <f t="shared" si="10"/>
        <v>0.0203257277</v>
      </c>
      <c r="AA32" s="14">
        <f>V32/totals!B$4</f>
        <v>-0.00034153756</v>
      </c>
      <c r="AB32" s="14">
        <f t="shared" si="11"/>
        <v>0.0202409853</v>
      </c>
    </row>
    <row r="33">
      <c r="A33" s="7">
        <v>3127.0</v>
      </c>
      <c r="B33" s="7" t="str">
        <f>VLOOKUP($A33,product_category,2, False)</f>
        <v>Personal Care</v>
      </c>
      <c r="C33" s="7">
        <v>1.20419871E8</v>
      </c>
      <c r="D33" s="9">
        <v>42137.0</v>
      </c>
      <c r="E33" s="10">
        <f t="shared" si="1"/>
        <v>5</v>
      </c>
      <c r="F33" s="10" t="str">
        <f t="shared" si="2"/>
        <v>May</v>
      </c>
      <c r="G33" s="11">
        <f t="shared" si="3"/>
        <v>13</v>
      </c>
      <c r="H33" s="7">
        <f t="shared" si="4"/>
        <v>2015</v>
      </c>
      <c r="I33" s="9">
        <v>42181.0</v>
      </c>
      <c r="J33" s="11">
        <f t="shared" si="5"/>
        <v>44</v>
      </c>
      <c r="K33" s="7" t="s">
        <v>382</v>
      </c>
      <c r="L33" s="7" t="s">
        <v>451</v>
      </c>
      <c r="M33" s="7" t="str">
        <f>VLOOKUP(L33,countries, 2,false)</f>
        <v>Lithuania</v>
      </c>
      <c r="N33" s="7" t="str">
        <f>VLOOKUP(L33,countries, 4,false)</f>
        <v>Europe</v>
      </c>
      <c r="O33" s="7" t="str">
        <f>VLOOKUP(L33,countries, 5,false)</f>
        <v>Northern Europe</v>
      </c>
      <c r="P33" s="7" t="s">
        <v>129</v>
      </c>
      <c r="Q33" s="7">
        <v>3771.0</v>
      </c>
      <c r="R33" s="12">
        <v>81.73</v>
      </c>
      <c r="S33" s="12">
        <v>56.67</v>
      </c>
      <c r="T33" s="13">
        <f t="shared" si="6"/>
        <v>308203.83</v>
      </c>
      <c r="U33" s="13">
        <f t="shared" si="7"/>
        <v>61352.72</v>
      </c>
      <c r="V33" s="13">
        <f t="shared" si="8"/>
        <v>246851.11</v>
      </c>
      <c r="W33" s="14">
        <f>Q33/totals!B$2</f>
        <v>0.0005734032142</v>
      </c>
      <c r="X33" s="14">
        <f t="shared" si="9"/>
        <v>0.0219045806</v>
      </c>
      <c r="Y33" s="14">
        <f>T33/totals!B$5</f>
        <v>0.0001810695641</v>
      </c>
      <c r="Z33" s="14">
        <f t="shared" si="10"/>
        <v>0.02050679726</v>
      </c>
      <c r="AA33" s="14">
        <f>V33/totals!B$4</f>
        <v>0.0004922151588</v>
      </c>
      <c r="AB33" s="14">
        <f t="shared" si="11"/>
        <v>0.02073320046</v>
      </c>
    </row>
    <row r="34">
      <c r="A34" s="7">
        <v>4594.0</v>
      </c>
      <c r="B34" s="7" t="str">
        <f>VLOOKUP($A34,product_category,2, False)</f>
        <v>Fruits</v>
      </c>
      <c r="C34" s="7">
        <v>1.20977771E8</v>
      </c>
      <c r="D34" s="9">
        <v>40625.0</v>
      </c>
      <c r="E34" s="10">
        <f t="shared" si="1"/>
        <v>3</v>
      </c>
      <c r="F34" s="10" t="str">
        <f t="shared" si="2"/>
        <v>Mar</v>
      </c>
      <c r="G34" s="11">
        <f t="shared" si="3"/>
        <v>23</v>
      </c>
      <c r="H34" s="7">
        <f t="shared" si="4"/>
        <v>2011</v>
      </c>
      <c r="I34" s="9">
        <v>40665.0</v>
      </c>
      <c r="J34" s="11">
        <f t="shared" si="5"/>
        <v>40</v>
      </c>
      <c r="K34" s="7" t="s">
        <v>110</v>
      </c>
      <c r="L34" s="7" t="s">
        <v>77</v>
      </c>
      <c r="M34" s="7" t="str">
        <f>VLOOKUP(L34,countries, 2,false)</f>
        <v>Armenia</v>
      </c>
      <c r="N34" s="7" t="str">
        <f>VLOOKUP(L34,countries, 4,false)</f>
        <v>Asia</v>
      </c>
      <c r="O34" s="7" t="str">
        <f>VLOOKUP(L34,countries, 5,false)</f>
        <v>Western Asia</v>
      </c>
      <c r="P34" s="7" t="s">
        <v>129</v>
      </c>
      <c r="Q34" s="7">
        <v>8866.0</v>
      </c>
      <c r="R34" s="12">
        <v>9.33</v>
      </c>
      <c r="S34" s="12">
        <v>6.92</v>
      </c>
      <c r="T34" s="13">
        <f t="shared" si="6"/>
        <v>82719.78</v>
      </c>
      <c r="U34" s="13">
        <f t="shared" si="7"/>
        <v>56155.8</v>
      </c>
      <c r="V34" s="13">
        <f t="shared" si="8"/>
        <v>26563.98</v>
      </c>
      <c r="W34" s="14">
        <f>Q34/totals!B$2</f>
        <v>0.001348128586</v>
      </c>
      <c r="X34" s="14">
        <f t="shared" si="9"/>
        <v>0.02325270918</v>
      </c>
      <c r="Y34" s="14">
        <f>T34/totals!B$5</f>
        <v>0.00004859782082</v>
      </c>
      <c r="Z34" s="14">
        <f t="shared" si="10"/>
        <v>0.02055539508</v>
      </c>
      <c r="AA34" s="14">
        <f>V34/totals!B$4</f>
        <v>0.00005296793534</v>
      </c>
      <c r="AB34" s="14">
        <f t="shared" si="11"/>
        <v>0.0207861684</v>
      </c>
    </row>
    <row r="35">
      <c r="A35" s="7">
        <v>4594.0</v>
      </c>
      <c r="B35" s="7" t="str">
        <f>VLOOKUP($A35,product_category,2, False)</f>
        <v>Fruits</v>
      </c>
      <c r="C35" s="7">
        <v>1.21380746E8</v>
      </c>
      <c r="D35" s="9">
        <v>42695.0</v>
      </c>
      <c r="E35" s="10">
        <f t="shared" si="1"/>
        <v>11</v>
      </c>
      <c r="F35" s="10" t="str">
        <f t="shared" si="2"/>
        <v>Nov</v>
      </c>
      <c r="G35" s="11">
        <f t="shared" si="3"/>
        <v>21</v>
      </c>
      <c r="H35" s="7">
        <f t="shared" si="4"/>
        <v>2016</v>
      </c>
      <c r="I35" s="9">
        <v>42722.0</v>
      </c>
      <c r="J35" s="11">
        <f t="shared" si="5"/>
        <v>27</v>
      </c>
      <c r="K35" s="7" t="s">
        <v>198</v>
      </c>
      <c r="L35" s="7" t="s">
        <v>478</v>
      </c>
      <c r="M35" s="7" t="str">
        <f>VLOOKUP(L35,countries, 2,false)</f>
        <v>Malta</v>
      </c>
      <c r="N35" s="7" t="str">
        <f>VLOOKUP(L35,countries, 4,false)</f>
        <v>Europe</v>
      </c>
      <c r="O35" s="7" t="str">
        <f>VLOOKUP(L35,countries, 5,false)</f>
        <v>Southern Europe</v>
      </c>
      <c r="P35" s="7" t="s">
        <v>129</v>
      </c>
      <c r="Q35" s="7">
        <v>8115.0</v>
      </c>
      <c r="R35" s="12">
        <v>9.33</v>
      </c>
      <c r="S35" s="12">
        <v>6.92</v>
      </c>
      <c r="T35" s="13">
        <f t="shared" si="6"/>
        <v>75712.95</v>
      </c>
      <c r="U35" s="13">
        <f t="shared" si="7"/>
        <v>166643.18</v>
      </c>
      <c r="V35" s="13">
        <f t="shared" si="8"/>
        <v>-90930.23</v>
      </c>
      <c r="W35" s="14">
        <f>Q35/totals!B$2</f>
        <v>0.001233934522</v>
      </c>
      <c r="X35" s="14">
        <f t="shared" si="9"/>
        <v>0.0244866437</v>
      </c>
      <c r="Y35" s="14">
        <f>T35/totals!B$5</f>
        <v>0.00004448131243</v>
      </c>
      <c r="Z35" s="14">
        <f t="shared" si="10"/>
        <v>0.0205998764</v>
      </c>
      <c r="AA35" s="14">
        <f>V35/totals!B$4</f>
        <v>-0.0001813126852</v>
      </c>
      <c r="AB35" s="14">
        <f t="shared" si="11"/>
        <v>0.02060485571</v>
      </c>
    </row>
    <row r="36">
      <c r="A36" s="7">
        <v>1270.0</v>
      </c>
      <c r="B36" s="7" t="str">
        <f>VLOOKUP($A36,product_category,2, False)</f>
        <v>Beverages</v>
      </c>
      <c r="C36" s="7">
        <v>1.21945512E8</v>
      </c>
      <c r="D36" s="9">
        <v>42833.0</v>
      </c>
      <c r="E36" s="10">
        <f t="shared" si="1"/>
        <v>4</v>
      </c>
      <c r="F36" s="10" t="str">
        <f t="shared" si="2"/>
        <v>Apr</v>
      </c>
      <c r="G36" s="11">
        <f t="shared" si="3"/>
        <v>8</v>
      </c>
      <c r="H36" s="7">
        <f t="shared" si="4"/>
        <v>2017</v>
      </c>
      <c r="I36" s="9">
        <v>42837.0</v>
      </c>
      <c r="J36" s="11">
        <f t="shared" si="5"/>
        <v>4</v>
      </c>
      <c r="K36" s="7" t="s">
        <v>198</v>
      </c>
      <c r="L36" s="7" t="s">
        <v>762</v>
      </c>
      <c r="M36" s="7" t="str">
        <f>VLOOKUP(L36,countries, 2,false)</f>
        <v>United Kingdom</v>
      </c>
      <c r="N36" s="7" t="str">
        <f>VLOOKUP(L36,countries, 4,false)</f>
        <v>Europe</v>
      </c>
      <c r="O36" s="7" t="str">
        <f>VLOOKUP(L36,countries, 5,false)</f>
        <v>Northern Europe</v>
      </c>
      <c r="P36" s="7" t="s">
        <v>129</v>
      </c>
      <c r="Q36" s="7">
        <v>5242.0</v>
      </c>
      <c r="R36" s="12">
        <v>47.45</v>
      </c>
      <c r="S36" s="12">
        <v>31.79</v>
      </c>
      <c r="T36" s="13">
        <f t="shared" si="6"/>
        <v>248732.9</v>
      </c>
      <c r="U36" s="13">
        <f t="shared" si="7"/>
        <v>128463.39</v>
      </c>
      <c r="V36" s="13">
        <f t="shared" si="8"/>
        <v>120269.51</v>
      </c>
      <c r="W36" s="14">
        <f>Q36/totals!B$2</f>
        <v>0.0007970776051</v>
      </c>
      <c r="X36" s="14">
        <f t="shared" si="9"/>
        <v>0.02528372131</v>
      </c>
      <c r="Y36" s="14">
        <f>T36/totals!B$5</f>
        <v>0.0001461304286</v>
      </c>
      <c r="Z36" s="14">
        <f t="shared" si="10"/>
        <v>0.02074600683</v>
      </c>
      <c r="AA36" s="14">
        <f>V36/totals!B$4</f>
        <v>0.0002398145018</v>
      </c>
      <c r="AB36" s="14">
        <f t="shared" si="11"/>
        <v>0.02084467022</v>
      </c>
    </row>
    <row r="37">
      <c r="A37" s="7">
        <v>1270.0</v>
      </c>
      <c r="B37" s="7" t="str">
        <f>VLOOKUP($A37,product_category,2, False)</f>
        <v>Beverages</v>
      </c>
      <c r="C37" s="7">
        <v>1.2214421E8</v>
      </c>
      <c r="D37" s="9">
        <v>42852.0</v>
      </c>
      <c r="E37" s="10">
        <f t="shared" si="1"/>
        <v>4</v>
      </c>
      <c r="F37" s="10" t="str">
        <f t="shared" si="2"/>
        <v>Apr</v>
      </c>
      <c r="G37" s="11">
        <f t="shared" si="3"/>
        <v>27</v>
      </c>
      <c r="H37" s="7">
        <f t="shared" si="4"/>
        <v>2017</v>
      </c>
      <c r="I37" s="9">
        <v>42879.0</v>
      </c>
      <c r="J37" s="11">
        <f t="shared" si="5"/>
        <v>27</v>
      </c>
      <c r="K37" s="7" t="s">
        <v>198</v>
      </c>
      <c r="L37" s="7" t="s">
        <v>323</v>
      </c>
      <c r="M37" s="7" t="str">
        <f>VLOOKUP(L37,countries, 2,false)</f>
        <v>Montenegro</v>
      </c>
      <c r="N37" s="7" t="str">
        <f>VLOOKUP(L37,countries, 4,false)</f>
        <v>Europe</v>
      </c>
      <c r="O37" s="7" t="str">
        <f>VLOOKUP(L37,countries, 5,false)</f>
        <v>Southern Europe</v>
      </c>
      <c r="P37" s="7" t="s">
        <v>212</v>
      </c>
      <c r="Q37" s="7">
        <v>4041.0</v>
      </c>
      <c r="R37" s="12">
        <v>47.45</v>
      </c>
      <c r="S37" s="12">
        <v>31.79</v>
      </c>
      <c r="T37" s="13">
        <f t="shared" si="6"/>
        <v>191745.45</v>
      </c>
      <c r="U37" s="13">
        <f t="shared" si="7"/>
        <v>50959.37</v>
      </c>
      <c r="V37" s="13">
        <f t="shared" si="8"/>
        <v>140786.08</v>
      </c>
      <c r="W37" s="14">
        <f>Q37/totals!B$2</f>
        <v>0.000614458337</v>
      </c>
      <c r="X37" s="14">
        <f t="shared" si="9"/>
        <v>0.02589817965</v>
      </c>
      <c r="Y37" s="14">
        <f>T37/totals!B$5</f>
        <v>0.0001126503361</v>
      </c>
      <c r="Z37" s="14">
        <f t="shared" si="10"/>
        <v>0.02085865716</v>
      </c>
      <c r="AA37" s="14">
        <f>V37/totals!B$4</f>
        <v>0.0002807240475</v>
      </c>
      <c r="AB37" s="14">
        <f t="shared" si="11"/>
        <v>0.02112539426</v>
      </c>
    </row>
    <row r="38">
      <c r="A38" s="7">
        <v>1270.0</v>
      </c>
      <c r="B38" s="7" t="str">
        <f>VLOOKUP($A38,product_category,2, False)</f>
        <v>Beverages</v>
      </c>
      <c r="C38" s="7">
        <v>1.22372519E8</v>
      </c>
      <c r="D38" s="9">
        <v>42379.0</v>
      </c>
      <c r="E38" s="10">
        <f t="shared" si="1"/>
        <v>1</v>
      </c>
      <c r="F38" s="10" t="str">
        <f t="shared" si="2"/>
        <v>Jan</v>
      </c>
      <c r="G38" s="11">
        <f t="shared" si="3"/>
        <v>10</v>
      </c>
      <c r="H38" s="7">
        <f t="shared" si="4"/>
        <v>2016</v>
      </c>
      <c r="I38" s="9">
        <v>42382.0</v>
      </c>
      <c r="J38" s="11">
        <f t="shared" si="5"/>
        <v>3</v>
      </c>
      <c r="K38" s="7" t="s">
        <v>322</v>
      </c>
      <c r="L38" s="7" t="s">
        <v>597</v>
      </c>
      <c r="M38" s="7" t="str">
        <f>VLOOKUP(L38,countries, 2,false)</f>
        <v>Portugal</v>
      </c>
      <c r="N38" s="7" t="str">
        <f>VLOOKUP(L38,countries, 4,false)</f>
        <v>Europe</v>
      </c>
      <c r="O38" s="7" t="str">
        <f>VLOOKUP(L38,countries, 5,false)</f>
        <v>Southern Europe</v>
      </c>
      <c r="P38" s="7" t="s">
        <v>212</v>
      </c>
      <c r="Q38" s="7">
        <v>1603.0</v>
      </c>
      <c r="R38" s="12">
        <v>47.45</v>
      </c>
      <c r="S38" s="12">
        <v>31.79</v>
      </c>
      <c r="T38" s="13">
        <f t="shared" si="6"/>
        <v>76062.35</v>
      </c>
      <c r="U38" s="13">
        <f t="shared" si="7"/>
        <v>242208.01</v>
      </c>
      <c r="V38" s="13">
        <f t="shared" si="8"/>
        <v>-166145.66</v>
      </c>
      <c r="W38" s="14">
        <f>Q38/totals!B$2</f>
        <v>0.0002437457842</v>
      </c>
      <c r="X38" s="14">
        <f t="shared" si="9"/>
        <v>0.02614192543</v>
      </c>
      <c r="Y38" s="14">
        <f>T38/totals!B$5</f>
        <v>0.00004468658472</v>
      </c>
      <c r="Z38" s="14">
        <f t="shared" si="10"/>
        <v>0.02090334375</v>
      </c>
      <c r="AA38" s="14">
        <f>V38/totals!B$4</f>
        <v>-0.0003312904382</v>
      </c>
      <c r="AB38" s="14">
        <f t="shared" si="11"/>
        <v>0.02079410382</v>
      </c>
    </row>
    <row r="39">
      <c r="A39" s="7">
        <v>1270.0</v>
      </c>
      <c r="B39" s="7" t="str">
        <f>VLOOKUP($A39,product_category,2, False)</f>
        <v>Beverages</v>
      </c>
      <c r="C39" s="7">
        <v>1.22967326E8</v>
      </c>
      <c r="D39" s="9">
        <v>42818.0</v>
      </c>
      <c r="E39" s="10">
        <f t="shared" si="1"/>
        <v>3</v>
      </c>
      <c r="F39" s="10" t="str">
        <f t="shared" si="2"/>
        <v>Mar</v>
      </c>
      <c r="G39" s="11">
        <f t="shared" si="3"/>
        <v>24</v>
      </c>
      <c r="H39" s="7">
        <f t="shared" si="4"/>
        <v>2017</v>
      </c>
      <c r="I39" s="9">
        <v>42850.0</v>
      </c>
      <c r="J39" s="11">
        <f t="shared" si="5"/>
        <v>32</v>
      </c>
      <c r="K39" s="7" t="s">
        <v>382</v>
      </c>
      <c r="L39" s="7" t="s">
        <v>107</v>
      </c>
      <c r="M39" s="7" t="str">
        <f>VLOOKUP(L39,countries, 2,false)</f>
        <v>Belarus</v>
      </c>
      <c r="N39" s="7" t="str">
        <f>VLOOKUP(L39,countries, 4,false)</f>
        <v>Europe</v>
      </c>
      <c r="O39" s="7" t="str">
        <f>VLOOKUP(L39,countries, 5,false)</f>
        <v>Eastern Europe</v>
      </c>
      <c r="P39" s="7" t="s">
        <v>129</v>
      </c>
      <c r="Q39" s="7">
        <v>7619.0</v>
      </c>
      <c r="R39" s="12">
        <v>47.45</v>
      </c>
      <c r="S39" s="12">
        <v>31.79</v>
      </c>
      <c r="T39" s="13">
        <f t="shared" si="6"/>
        <v>361521.55</v>
      </c>
      <c r="U39" s="13">
        <f t="shared" si="7"/>
        <v>445897.74</v>
      </c>
      <c r="V39" s="13">
        <f t="shared" si="8"/>
        <v>-84376.19</v>
      </c>
      <c r="W39" s="14">
        <f>Q39/totals!B$2</f>
        <v>0.001158514741</v>
      </c>
      <c r="X39" s="14">
        <f t="shared" si="9"/>
        <v>0.02730044017</v>
      </c>
      <c r="Y39" s="14">
        <f>T39/totals!B$5</f>
        <v>0.0002123936924</v>
      </c>
      <c r="Z39" s="14">
        <f t="shared" si="10"/>
        <v>0.02111573744</v>
      </c>
      <c r="AA39" s="14">
        <f>V39/totals!B$4</f>
        <v>-0.0001682440875</v>
      </c>
      <c r="AB39" s="14">
        <f t="shared" si="11"/>
        <v>0.02062585974</v>
      </c>
    </row>
    <row r="40">
      <c r="A40" s="7">
        <v>7331.0</v>
      </c>
      <c r="B40" s="7" t="str">
        <f>VLOOKUP($A40,product_category,2, False)</f>
        <v>Baby Food</v>
      </c>
      <c r="C40" s="7">
        <v>1.23086202E8</v>
      </c>
      <c r="D40" s="9">
        <v>41641.0</v>
      </c>
      <c r="E40" s="10">
        <f t="shared" si="1"/>
        <v>1</v>
      </c>
      <c r="F40" s="10" t="str">
        <f t="shared" si="2"/>
        <v>Jan</v>
      </c>
      <c r="G40" s="11">
        <f t="shared" si="3"/>
        <v>2</v>
      </c>
      <c r="H40" s="7">
        <f t="shared" si="4"/>
        <v>2014</v>
      </c>
      <c r="I40" s="9">
        <v>41690.0</v>
      </c>
      <c r="J40" s="11">
        <f t="shared" si="5"/>
        <v>49</v>
      </c>
      <c r="K40" s="7" t="s">
        <v>110</v>
      </c>
      <c r="L40" s="7" t="s">
        <v>264</v>
      </c>
      <c r="M40" s="7" t="str">
        <f>VLOOKUP(L40,countries, 2,false)</f>
        <v>Estonia</v>
      </c>
      <c r="N40" s="7" t="str">
        <f>VLOOKUP(L40,countries, 4,false)</f>
        <v>Europe</v>
      </c>
      <c r="O40" s="7" t="str">
        <f>VLOOKUP(L40,countries, 5,false)</f>
        <v>Northern Europe</v>
      </c>
      <c r="P40" s="7" t="s">
        <v>212</v>
      </c>
      <c r="Q40" s="7">
        <v>2797.0</v>
      </c>
      <c r="R40" s="12">
        <v>255.28</v>
      </c>
      <c r="S40" s="12">
        <v>159.42</v>
      </c>
      <c r="T40" s="13">
        <f t="shared" si="6"/>
        <v>714018.16</v>
      </c>
      <c r="U40" s="13">
        <f t="shared" si="7"/>
        <v>972247.22</v>
      </c>
      <c r="V40" s="13">
        <f t="shared" si="8"/>
        <v>-258229.06</v>
      </c>
      <c r="W40" s="14">
        <f>Q40/totals!B$2</f>
        <v>0.0004253006603</v>
      </c>
      <c r="X40" s="14">
        <f t="shared" si="9"/>
        <v>0.02772574083</v>
      </c>
      <c r="Y40" s="14">
        <f>T40/totals!B$5</f>
        <v>0.0004194852381</v>
      </c>
      <c r="Z40" s="14">
        <f t="shared" si="10"/>
        <v>0.02153522268</v>
      </c>
      <c r="AA40" s="14">
        <f>V40/totals!B$4</f>
        <v>-0.0005149025166</v>
      </c>
      <c r="AB40" s="14">
        <f t="shared" si="11"/>
        <v>0.02011095722</v>
      </c>
    </row>
    <row r="41">
      <c r="A41" s="7">
        <v>2103.0</v>
      </c>
      <c r="B41" s="7" t="str">
        <f>VLOOKUP($A41,product_category,2, False)</f>
        <v>Cereal</v>
      </c>
      <c r="C41" s="7">
        <v>1.23544108E8</v>
      </c>
      <c r="D41" s="9">
        <v>40311.0</v>
      </c>
      <c r="E41" s="10">
        <f t="shared" si="1"/>
        <v>5</v>
      </c>
      <c r="F41" s="10" t="str">
        <f t="shared" si="2"/>
        <v>May</v>
      </c>
      <c r="G41" s="11">
        <f t="shared" si="3"/>
        <v>13</v>
      </c>
      <c r="H41" s="7">
        <f t="shared" si="4"/>
        <v>2010</v>
      </c>
      <c r="I41" s="9">
        <v>40351.0</v>
      </c>
      <c r="J41" s="11">
        <f t="shared" si="5"/>
        <v>40</v>
      </c>
      <c r="K41" s="7" t="s">
        <v>110</v>
      </c>
      <c r="L41" s="7" t="s">
        <v>88</v>
      </c>
      <c r="M41" s="7" t="str">
        <f>VLOOKUP(L41,countries, 2,false)</f>
        <v>Austria</v>
      </c>
      <c r="N41" s="7" t="str">
        <f>VLOOKUP(L41,countries, 4,false)</f>
        <v>Europe</v>
      </c>
      <c r="O41" s="7" t="str">
        <f>VLOOKUP(L41,countries, 5,false)</f>
        <v>Western Europe</v>
      </c>
      <c r="P41" s="7" t="s">
        <v>129</v>
      </c>
      <c r="Q41" s="7">
        <v>8302.0</v>
      </c>
      <c r="R41" s="12">
        <v>205.7</v>
      </c>
      <c r="S41" s="12">
        <v>117.11</v>
      </c>
      <c r="T41" s="13">
        <f t="shared" si="6"/>
        <v>1707721.4</v>
      </c>
      <c r="U41" s="13">
        <f t="shared" si="7"/>
        <v>163337.02</v>
      </c>
      <c r="V41" s="13">
        <f t="shared" si="8"/>
        <v>1544384.38</v>
      </c>
      <c r="W41" s="14">
        <f>Q41/totals!B$2</f>
        <v>0.001262368996</v>
      </c>
      <c r="X41" s="14">
        <f t="shared" si="9"/>
        <v>0.02898810983</v>
      </c>
      <c r="Y41" s="14">
        <f>T41/totals!B$5</f>
        <v>0.001003285292</v>
      </c>
      <c r="Z41" s="14">
        <f t="shared" si="10"/>
        <v>0.02253850797</v>
      </c>
      <c r="AA41" s="14">
        <f>V41/totals!B$4</f>
        <v>0.0030794652</v>
      </c>
      <c r="AB41" s="14">
        <f t="shared" si="11"/>
        <v>0.02319042242</v>
      </c>
    </row>
    <row r="42">
      <c r="A42" s="7">
        <v>1270.0</v>
      </c>
      <c r="B42" s="7" t="str">
        <f>VLOOKUP($A42,product_category,2, False)</f>
        <v>Beverages</v>
      </c>
      <c r="C42" s="7">
        <v>1.2393893E8</v>
      </c>
      <c r="D42" s="9">
        <v>41114.0</v>
      </c>
      <c r="E42" s="10">
        <f t="shared" si="1"/>
        <v>7</v>
      </c>
      <c r="F42" s="10" t="str">
        <f t="shared" si="2"/>
        <v>Jul</v>
      </c>
      <c r="G42" s="11">
        <f t="shared" si="3"/>
        <v>24</v>
      </c>
      <c r="H42" s="7">
        <f t="shared" si="4"/>
        <v>2012</v>
      </c>
      <c r="I42" s="9">
        <v>41123.0</v>
      </c>
      <c r="J42" s="11">
        <f t="shared" si="5"/>
        <v>9</v>
      </c>
      <c r="K42" s="7" t="s">
        <v>110</v>
      </c>
      <c r="L42" s="7" t="s">
        <v>107</v>
      </c>
      <c r="M42" s="7" t="str">
        <f>VLOOKUP(L42,countries, 2,false)</f>
        <v>Belarus</v>
      </c>
      <c r="N42" s="7" t="str">
        <f>VLOOKUP(L42,countries, 4,false)</f>
        <v>Europe</v>
      </c>
      <c r="O42" s="7" t="str">
        <f>VLOOKUP(L42,countries, 5,false)</f>
        <v>Eastern Europe</v>
      </c>
      <c r="P42" s="7" t="s">
        <v>129</v>
      </c>
      <c r="Q42" s="7">
        <v>5138.0</v>
      </c>
      <c r="R42" s="12">
        <v>47.45</v>
      </c>
      <c r="S42" s="12">
        <v>31.79</v>
      </c>
      <c r="T42" s="13">
        <f t="shared" si="6"/>
        <v>243798.1</v>
      </c>
      <c r="U42" s="13">
        <f t="shared" si="7"/>
        <v>940588.32</v>
      </c>
      <c r="V42" s="13">
        <f t="shared" si="8"/>
        <v>-696790.22</v>
      </c>
      <c r="W42" s="14">
        <f>Q42/totals!B$2</f>
        <v>0.0007812637801</v>
      </c>
      <c r="X42" s="14">
        <f t="shared" si="9"/>
        <v>0.02976937361</v>
      </c>
      <c r="Y42" s="14">
        <f>T42/totals!B$5</f>
        <v>0.0001432312366</v>
      </c>
      <c r="Z42" s="14">
        <f t="shared" si="10"/>
        <v>0.0226817392</v>
      </c>
      <c r="AA42" s="14">
        <f>V42/totals!B$4</f>
        <v>-0.001389382891</v>
      </c>
      <c r="AB42" s="14">
        <f t="shared" si="11"/>
        <v>0.02180103953</v>
      </c>
    </row>
    <row r="43">
      <c r="A43" s="7">
        <v>8969.0</v>
      </c>
      <c r="B43" s="7" t="str">
        <f>VLOOKUP($A43,product_category,2, False)</f>
        <v>Snacks</v>
      </c>
      <c r="C43" s="7">
        <v>1.25339686E8</v>
      </c>
      <c r="D43" s="9">
        <v>42927.0</v>
      </c>
      <c r="E43" s="10">
        <f t="shared" si="1"/>
        <v>7</v>
      </c>
      <c r="F43" s="10" t="str">
        <f t="shared" si="2"/>
        <v>Jul</v>
      </c>
      <c r="G43" s="11">
        <f t="shared" si="3"/>
        <v>11</v>
      </c>
      <c r="H43" s="7">
        <f t="shared" si="4"/>
        <v>2017</v>
      </c>
      <c r="I43" s="9">
        <v>42940.0</v>
      </c>
      <c r="J43" s="11">
        <f t="shared" si="5"/>
        <v>13</v>
      </c>
      <c r="K43" s="7" t="s">
        <v>322</v>
      </c>
      <c r="L43" s="7" t="s">
        <v>460</v>
      </c>
      <c r="M43" s="7" t="str">
        <f>VLOOKUP(L43,countries, 2,false)</f>
        <v>Macedonia</v>
      </c>
      <c r="N43" s="7" t="str">
        <f>VLOOKUP(L43,countries, 4,false)</f>
        <v>Europe</v>
      </c>
      <c r="O43" s="7" t="str">
        <f>VLOOKUP(L43,countries, 5,false)</f>
        <v>Southern Europe</v>
      </c>
      <c r="P43" s="7" t="s">
        <v>129</v>
      </c>
      <c r="Q43" s="7">
        <v>9653.0</v>
      </c>
      <c r="R43" s="12">
        <v>152.58</v>
      </c>
      <c r="S43" s="12">
        <v>97.44</v>
      </c>
      <c r="T43" s="13">
        <f t="shared" si="6"/>
        <v>1472854.74</v>
      </c>
      <c r="U43" s="13">
        <f t="shared" si="7"/>
        <v>286568.17</v>
      </c>
      <c r="V43" s="13">
        <f t="shared" si="8"/>
        <v>1186286.57</v>
      </c>
      <c r="W43" s="14">
        <f>Q43/totals!B$2</f>
        <v>0.001467796666</v>
      </c>
      <c r="X43" s="14">
        <f t="shared" si="9"/>
        <v>0.03123717027</v>
      </c>
      <c r="Y43" s="14">
        <f>T43/totals!B$5</f>
        <v>0.0008653012708</v>
      </c>
      <c r="Z43" s="14">
        <f t="shared" si="10"/>
        <v>0.02354704048</v>
      </c>
      <c r="AA43" s="14">
        <f>V43/totals!B$4</f>
        <v>0.002365426805</v>
      </c>
      <c r="AB43" s="14">
        <f t="shared" si="11"/>
        <v>0.02416646633</v>
      </c>
    </row>
    <row r="44">
      <c r="A44" s="7">
        <v>2103.0</v>
      </c>
      <c r="B44" s="7" t="str">
        <f>VLOOKUP($A44,product_category,2, False)</f>
        <v>Cereal</v>
      </c>
      <c r="C44" s="7">
        <v>1.25349128E8</v>
      </c>
      <c r="D44" s="9">
        <v>41047.0</v>
      </c>
      <c r="E44" s="10">
        <f t="shared" si="1"/>
        <v>5</v>
      </c>
      <c r="F44" s="10" t="str">
        <f t="shared" si="2"/>
        <v>May</v>
      </c>
      <c r="G44" s="11">
        <f t="shared" si="3"/>
        <v>18</v>
      </c>
      <c r="H44" s="7">
        <f t="shared" si="4"/>
        <v>2012</v>
      </c>
      <c r="I44" s="9">
        <v>41066.0</v>
      </c>
      <c r="J44" s="11">
        <f t="shared" si="5"/>
        <v>19</v>
      </c>
      <c r="K44" s="7" t="s">
        <v>322</v>
      </c>
      <c r="L44" s="7" t="s">
        <v>642</v>
      </c>
      <c r="M44" s="7" t="str">
        <f>VLOOKUP(L44,countries, 2,false)</f>
        <v>San Marino</v>
      </c>
      <c r="N44" s="7" t="str">
        <f>VLOOKUP(L44,countries, 4,false)</f>
        <v>Europe</v>
      </c>
      <c r="O44" s="7" t="str">
        <f>VLOOKUP(L44,countries, 5,false)</f>
        <v>Southern Europe</v>
      </c>
      <c r="P44" s="7" t="s">
        <v>212</v>
      </c>
      <c r="Q44" s="7">
        <v>2447.0</v>
      </c>
      <c r="R44" s="12">
        <v>205.7</v>
      </c>
      <c r="S44" s="12">
        <v>117.11</v>
      </c>
      <c r="T44" s="13">
        <f t="shared" si="6"/>
        <v>503347.9</v>
      </c>
      <c r="U44" s="13">
        <f t="shared" si="7"/>
        <v>918578.04</v>
      </c>
      <c r="V44" s="13">
        <f t="shared" si="8"/>
        <v>-415230.14</v>
      </c>
      <c r="W44" s="14">
        <f>Q44/totals!B$2</f>
        <v>0.0003720810568</v>
      </c>
      <c r="X44" s="14">
        <f t="shared" si="9"/>
        <v>0.03160925133</v>
      </c>
      <c r="Y44" s="14">
        <f>T44/totals!B$5</f>
        <v>0.0002957165875</v>
      </c>
      <c r="Z44" s="14">
        <f t="shared" si="10"/>
        <v>0.02384275706</v>
      </c>
      <c r="AA44" s="14">
        <f>V44/totals!B$4</f>
        <v>-0.0008279588829</v>
      </c>
      <c r="AB44" s="14">
        <f t="shared" si="11"/>
        <v>0.02333850745</v>
      </c>
    </row>
    <row r="45">
      <c r="A45" s="7">
        <v>7331.0</v>
      </c>
      <c r="B45" s="7" t="str">
        <f>VLOOKUP($A45,product_category,2, False)</f>
        <v>Baby Food</v>
      </c>
      <c r="C45" s="7">
        <v>1.26948583E8</v>
      </c>
      <c r="D45" s="9">
        <v>42879.0</v>
      </c>
      <c r="E45" s="10">
        <f t="shared" si="1"/>
        <v>5</v>
      </c>
      <c r="F45" s="10" t="str">
        <f t="shared" si="2"/>
        <v>May</v>
      </c>
      <c r="G45" s="11">
        <f t="shared" si="3"/>
        <v>24</v>
      </c>
      <c r="H45" s="7">
        <f t="shared" si="4"/>
        <v>2017</v>
      </c>
      <c r="I45" s="9">
        <v>42925.0</v>
      </c>
      <c r="J45" s="11">
        <f t="shared" si="5"/>
        <v>46</v>
      </c>
      <c r="K45" s="7" t="s">
        <v>198</v>
      </c>
      <c r="L45" s="7" t="e">
        <v>#N/A</v>
      </c>
      <c r="M45" s="7"/>
      <c r="N45" s="7"/>
      <c r="O45" s="7"/>
      <c r="P45" s="7" t="s">
        <v>129</v>
      </c>
      <c r="Q45" s="7">
        <v>5762.0</v>
      </c>
      <c r="R45" s="12">
        <v>255.28</v>
      </c>
      <c r="S45" s="12">
        <v>159.42</v>
      </c>
      <c r="T45" s="13">
        <f t="shared" si="6"/>
        <v>1470923.36</v>
      </c>
      <c r="U45" s="13">
        <f t="shared" si="7"/>
        <v>589317.33</v>
      </c>
      <c r="V45" s="13">
        <f t="shared" si="8"/>
        <v>881606.03</v>
      </c>
      <c r="W45" s="14">
        <f>Q45/totals!B$2</f>
        <v>0.0008761467304</v>
      </c>
      <c r="X45" s="14">
        <f t="shared" si="9"/>
        <v>0.03248539806</v>
      </c>
      <c r="Y45" s="14">
        <f>T45/totals!B$5</f>
        <v>0.0008641665862</v>
      </c>
      <c r="Z45" s="14">
        <f t="shared" si="10"/>
        <v>0.02470692365</v>
      </c>
      <c r="AA45" s="14">
        <f>V45/totals!B$4</f>
        <v>0.001757901158</v>
      </c>
      <c r="AB45" s="14">
        <f t="shared" si="11"/>
        <v>0.02509640861</v>
      </c>
    </row>
    <row r="46">
      <c r="A46" s="7">
        <v>5988.0</v>
      </c>
      <c r="B46" s="7" t="str">
        <f>VLOOKUP($A46,product_category,2, False)</f>
        <v>Vegetables</v>
      </c>
      <c r="C46" s="7">
        <v>1.27694451E8</v>
      </c>
      <c r="D46" s="9">
        <v>40884.0</v>
      </c>
      <c r="E46" s="10">
        <f t="shared" si="1"/>
        <v>12</v>
      </c>
      <c r="F46" s="10" t="str">
        <f t="shared" si="2"/>
        <v>Dec</v>
      </c>
      <c r="G46" s="11">
        <f t="shared" si="3"/>
        <v>7</v>
      </c>
      <c r="H46" s="7">
        <f t="shared" si="4"/>
        <v>2011</v>
      </c>
      <c r="I46" s="9">
        <v>40904.0</v>
      </c>
      <c r="J46" s="11">
        <f t="shared" si="5"/>
        <v>20</v>
      </c>
      <c r="K46" s="7" t="s">
        <v>322</v>
      </c>
      <c r="L46" s="7" t="s">
        <v>264</v>
      </c>
      <c r="M46" s="7" t="str">
        <f>VLOOKUP(L46,countries, 2,false)</f>
        <v>Estonia</v>
      </c>
      <c r="N46" s="7" t="str">
        <f>VLOOKUP(L46,countries, 4,false)</f>
        <v>Europe</v>
      </c>
      <c r="O46" s="7" t="str">
        <f>VLOOKUP(L46,countries, 5,false)</f>
        <v>Northern Europe</v>
      </c>
      <c r="P46" s="7" t="s">
        <v>212</v>
      </c>
      <c r="Q46" s="7">
        <v>6481.0</v>
      </c>
      <c r="R46" s="12">
        <v>154.06</v>
      </c>
      <c r="S46" s="12">
        <v>90.93</v>
      </c>
      <c r="T46" s="13">
        <f t="shared" si="6"/>
        <v>998462.86</v>
      </c>
      <c r="U46" s="13">
        <f t="shared" si="7"/>
        <v>62446.08</v>
      </c>
      <c r="V46" s="13">
        <f t="shared" si="8"/>
        <v>936016.78</v>
      </c>
      <c r="W46" s="14">
        <f>Q46/totals!B$2</f>
        <v>0.0009854750017</v>
      </c>
      <c r="X46" s="14">
        <f t="shared" si="9"/>
        <v>0.03347087306</v>
      </c>
      <c r="Y46" s="14">
        <f>T46/totals!B$5</f>
        <v>0.0005865963276</v>
      </c>
      <c r="Z46" s="14">
        <f t="shared" si="10"/>
        <v>0.02529351998</v>
      </c>
      <c r="AA46" s="14">
        <f>V46/totals!B$4</f>
        <v>0.001866394881</v>
      </c>
      <c r="AB46" s="14">
        <f t="shared" si="11"/>
        <v>0.02696280349</v>
      </c>
    </row>
    <row r="47">
      <c r="A47" s="7">
        <v>4594.0</v>
      </c>
      <c r="B47" s="7" t="str">
        <f>VLOOKUP($A47,product_category,2, False)</f>
        <v>Fruits</v>
      </c>
      <c r="C47" s="7">
        <v>1.27838218E8</v>
      </c>
      <c r="D47" s="9">
        <v>41537.0</v>
      </c>
      <c r="E47" s="10">
        <f t="shared" si="1"/>
        <v>9</v>
      </c>
      <c r="F47" s="10" t="str">
        <f t="shared" si="2"/>
        <v>Sep</v>
      </c>
      <c r="G47" s="11">
        <f t="shared" si="3"/>
        <v>20</v>
      </c>
      <c r="H47" s="7">
        <f t="shared" si="4"/>
        <v>2013</v>
      </c>
      <c r="I47" s="9">
        <v>41576.0</v>
      </c>
      <c r="J47" s="11">
        <f t="shared" si="5"/>
        <v>39</v>
      </c>
      <c r="K47" s="7" t="s">
        <v>198</v>
      </c>
      <c r="L47" s="7" t="s">
        <v>534</v>
      </c>
      <c r="M47" s="7" t="str">
        <f>VLOOKUP(L47,countries, 2,false)</f>
        <v>Netherlands</v>
      </c>
      <c r="N47" s="7" t="str">
        <f>VLOOKUP(L47,countries, 4,false)</f>
        <v>Europe</v>
      </c>
      <c r="O47" s="7" t="str">
        <f>VLOOKUP(L47,countries, 5,false)</f>
        <v>Western Europe</v>
      </c>
      <c r="P47" s="7" t="s">
        <v>212</v>
      </c>
      <c r="Q47" s="7">
        <v>9024.0</v>
      </c>
      <c r="R47" s="12">
        <v>9.33</v>
      </c>
      <c r="S47" s="12">
        <v>6.92</v>
      </c>
      <c r="T47" s="13">
        <f t="shared" si="6"/>
        <v>84193.92</v>
      </c>
      <c r="U47" s="13">
        <f t="shared" si="7"/>
        <v>1262287.56</v>
      </c>
      <c r="V47" s="13">
        <f t="shared" si="8"/>
        <v>-1178093.64</v>
      </c>
      <c r="W47" s="14">
        <f>Q47/totals!B$2</f>
        <v>0.001372153435</v>
      </c>
      <c r="X47" s="14">
        <f t="shared" si="9"/>
        <v>0.0348430265</v>
      </c>
      <c r="Y47" s="14">
        <f>T47/totals!B$5</f>
        <v>0.00004946387718</v>
      </c>
      <c r="Z47" s="14">
        <f t="shared" si="10"/>
        <v>0.02534298385</v>
      </c>
      <c r="AA47" s="14">
        <f>V47/totals!B$4</f>
        <v>-0.0023490903</v>
      </c>
      <c r="AB47" s="14">
        <f t="shared" si="11"/>
        <v>0.02461371319</v>
      </c>
    </row>
    <row r="48">
      <c r="A48" s="7">
        <v>7331.0</v>
      </c>
      <c r="B48" s="7" t="str">
        <f>VLOOKUP($A48,product_category,2, False)</f>
        <v>Baby Food</v>
      </c>
      <c r="C48" s="7">
        <v>1.28003442E8</v>
      </c>
      <c r="D48" s="9">
        <v>40430.0</v>
      </c>
      <c r="E48" s="10">
        <f t="shared" si="1"/>
        <v>9</v>
      </c>
      <c r="F48" s="10" t="str">
        <f t="shared" si="2"/>
        <v>Sep</v>
      </c>
      <c r="G48" s="11">
        <f t="shared" si="3"/>
        <v>9</v>
      </c>
      <c r="H48" s="7">
        <f t="shared" si="4"/>
        <v>2010</v>
      </c>
      <c r="I48" s="9">
        <v>40474.0</v>
      </c>
      <c r="J48" s="11">
        <f t="shared" si="5"/>
        <v>44</v>
      </c>
      <c r="K48" s="7" t="s">
        <v>322</v>
      </c>
      <c r="L48" s="7" t="s">
        <v>705</v>
      </c>
      <c r="M48" s="7" t="str">
        <f>VLOOKUP(L48,countries, 2,false)</f>
        <v>Switzerland</v>
      </c>
      <c r="N48" s="7" t="str">
        <f>VLOOKUP(L48,countries, 4,false)</f>
        <v>Europe</v>
      </c>
      <c r="O48" s="7" t="str">
        <f>VLOOKUP(L48,countries, 5,false)</f>
        <v>Western Europe</v>
      </c>
      <c r="P48" s="7" t="s">
        <v>129</v>
      </c>
      <c r="Q48" s="7">
        <v>7918.0</v>
      </c>
      <c r="R48" s="12">
        <v>255.28</v>
      </c>
      <c r="S48" s="12">
        <v>159.42</v>
      </c>
      <c r="T48" s="13">
        <f t="shared" si="6"/>
        <v>2021307.04</v>
      </c>
      <c r="U48" s="13">
        <f t="shared" si="7"/>
        <v>1589098.56</v>
      </c>
      <c r="V48" s="13">
        <f t="shared" si="8"/>
        <v>432208.48</v>
      </c>
      <c r="W48" s="14">
        <f>Q48/totals!B$2</f>
        <v>0.001203979488</v>
      </c>
      <c r="X48" s="14">
        <f t="shared" si="9"/>
        <v>0.03604700599</v>
      </c>
      <c r="Y48" s="14">
        <f>T48/totals!B$5</f>
        <v>0.001187516666</v>
      </c>
      <c r="Z48" s="14">
        <f t="shared" si="10"/>
        <v>0.02653050052</v>
      </c>
      <c r="AA48" s="14">
        <f>V48/totals!B$4</f>
        <v>0.0008618132833</v>
      </c>
      <c r="AB48" s="14">
        <f t="shared" si="11"/>
        <v>0.02547552647</v>
      </c>
    </row>
    <row r="49">
      <c r="A49" s="7">
        <v>7331.0</v>
      </c>
      <c r="B49" s="7" t="str">
        <f>VLOOKUP($A49,product_category,2, False)</f>
        <v>Baby Food</v>
      </c>
      <c r="C49" s="7">
        <v>1.28686225E8</v>
      </c>
      <c r="D49" s="9">
        <v>40568.0</v>
      </c>
      <c r="E49" s="10">
        <f t="shared" si="1"/>
        <v>1</v>
      </c>
      <c r="F49" s="10" t="str">
        <f t="shared" si="2"/>
        <v>Jan</v>
      </c>
      <c r="G49" s="11">
        <f t="shared" si="3"/>
        <v>25</v>
      </c>
      <c r="H49" s="7">
        <f t="shared" si="4"/>
        <v>2011</v>
      </c>
      <c r="I49" s="9">
        <v>40615.0</v>
      </c>
      <c r="J49" s="11">
        <f t="shared" si="5"/>
        <v>47</v>
      </c>
      <c r="K49" s="7" t="s">
        <v>110</v>
      </c>
      <c r="L49" s="7" t="s">
        <v>364</v>
      </c>
      <c r="M49" s="7" t="str">
        <f>VLOOKUP(L49,countries, 2,false)</f>
        <v>Hungary</v>
      </c>
      <c r="N49" s="7" t="str">
        <f>VLOOKUP(L49,countries, 4,false)</f>
        <v>Europe</v>
      </c>
      <c r="O49" s="7" t="str">
        <f>VLOOKUP(L49,countries, 5,false)</f>
        <v>Eastern Europe</v>
      </c>
      <c r="P49" s="7" t="s">
        <v>129</v>
      </c>
      <c r="Q49" s="7">
        <v>9968.0</v>
      </c>
      <c r="R49" s="12">
        <v>255.28</v>
      </c>
      <c r="S49" s="12">
        <v>159.42</v>
      </c>
      <c r="T49" s="13">
        <f t="shared" si="6"/>
        <v>2544631.04</v>
      </c>
      <c r="U49" s="13">
        <f t="shared" si="7"/>
        <v>1931763.76</v>
      </c>
      <c r="V49" s="13">
        <f t="shared" si="8"/>
        <v>612867.28</v>
      </c>
      <c r="W49" s="14">
        <f>Q49/totals!B$2</f>
        <v>0.001515694309</v>
      </c>
      <c r="X49" s="14">
        <f t="shared" si="9"/>
        <v>0.0375627003</v>
      </c>
      <c r="Y49" s="14">
        <f>T49/totals!B$5</f>
        <v>0.0014949692</v>
      </c>
      <c r="Z49" s="14">
        <f t="shared" si="10"/>
        <v>0.02802546972</v>
      </c>
      <c r="AA49" s="14">
        <f>V49/totals!B$4</f>
        <v>0.001222042573</v>
      </c>
      <c r="AB49" s="14">
        <f t="shared" si="11"/>
        <v>0.02669756905</v>
      </c>
    </row>
    <row r="50">
      <c r="A50" s="7">
        <v>7940.0</v>
      </c>
      <c r="B50" s="7" t="str">
        <f>VLOOKUP($A50,product_category,2, False)</f>
        <v>Household</v>
      </c>
      <c r="C50" s="7">
        <v>1.28766906E8</v>
      </c>
      <c r="D50" s="9">
        <v>40587.0</v>
      </c>
      <c r="E50" s="10">
        <f t="shared" si="1"/>
        <v>2</v>
      </c>
      <c r="F50" s="10" t="str">
        <f t="shared" si="2"/>
        <v>Feb</v>
      </c>
      <c r="G50" s="11">
        <f t="shared" si="3"/>
        <v>13</v>
      </c>
      <c r="H50" s="7">
        <f t="shared" si="4"/>
        <v>2011</v>
      </c>
      <c r="I50" s="9">
        <v>40630.0</v>
      </c>
      <c r="J50" s="11">
        <f t="shared" si="5"/>
        <v>43</v>
      </c>
      <c r="K50" s="7" t="s">
        <v>198</v>
      </c>
      <c r="L50" s="7" t="e">
        <v>#N/A</v>
      </c>
      <c r="M50" s="7"/>
      <c r="N50" s="7"/>
      <c r="O50" s="7"/>
      <c r="P50" s="7" t="s">
        <v>212</v>
      </c>
      <c r="Q50" s="7">
        <v>3844.0</v>
      </c>
      <c r="R50" s="12">
        <v>668.27</v>
      </c>
      <c r="S50" s="12">
        <v>502.54</v>
      </c>
      <c r="T50" s="13">
        <f t="shared" si="6"/>
        <v>2568829.88</v>
      </c>
      <c r="U50" s="13">
        <f t="shared" si="7"/>
        <v>272979.2</v>
      </c>
      <c r="V50" s="13">
        <f t="shared" si="8"/>
        <v>2295850.68</v>
      </c>
      <c r="W50" s="14">
        <f>Q50/totals!B$2</f>
        <v>0.000584503303</v>
      </c>
      <c r="X50" s="14">
        <f t="shared" si="9"/>
        <v>0.0381472036</v>
      </c>
      <c r="Y50" s="14">
        <f>T50/totals!B$5</f>
        <v>0.001509186004</v>
      </c>
      <c r="Z50" s="14">
        <f t="shared" si="10"/>
        <v>0.02953465572</v>
      </c>
      <c r="AA50" s="14">
        <f>V50/totals!B$4</f>
        <v>0.004577870875</v>
      </c>
      <c r="AB50" s="14">
        <f t="shared" si="11"/>
        <v>0.03127543992</v>
      </c>
    </row>
    <row r="51">
      <c r="A51" s="7">
        <v>8681.0</v>
      </c>
      <c r="B51" s="7" t="str">
        <f>VLOOKUP($A51,product_category,2, False)</f>
        <v>Office Supplies</v>
      </c>
      <c r="C51" s="7">
        <v>1.29127395E8</v>
      </c>
      <c r="D51" s="9">
        <v>41441.0</v>
      </c>
      <c r="E51" s="10">
        <f t="shared" si="1"/>
        <v>6</v>
      </c>
      <c r="F51" s="10" t="str">
        <f t="shared" si="2"/>
        <v>Jun</v>
      </c>
      <c r="G51" s="11">
        <f t="shared" si="3"/>
        <v>16</v>
      </c>
      <c r="H51" s="7">
        <f t="shared" si="4"/>
        <v>2013</v>
      </c>
      <c r="I51" s="9">
        <v>41445.0</v>
      </c>
      <c r="J51" s="11">
        <f t="shared" si="5"/>
        <v>4</v>
      </c>
      <c r="K51" s="7" t="s">
        <v>322</v>
      </c>
      <c r="L51" s="7" t="s">
        <v>432</v>
      </c>
      <c r="M51" s="7" t="str">
        <f>VLOOKUP(L51,countries, 2,false)</f>
        <v>Latvia</v>
      </c>
      <c r="N51" s="7" t="str">
        <f>VLOOKUP(L51,countries, 4,false)</f>
        <v>Europe</v>
      </c>
      <c r="O51" s="7" t="str">
        <f>VLOOKUP(L51,countries, 5,false)</f>
        <v>Northern Europe</v>
      </c>
      <c r="P51" s="7" t="s">
        <v>129</v>
      </c>
      <c r="Q51" s="7">
        <v>520.0</v>
      </c>
      <c r="R51" s="12">
        <v>651.21</v>
      </c>
      <c r="S51" s="12">
        <v>524.96</v>
      </c>
      <c r="T51" s="13">
        <f t="shared" si="6"/>
        <v>338629.2</v>
      </c>
      <c r="U51" s="13">
        <f t="shared" si="7"/>
        <v>90251.81</v>
      </c>
      <c r="V51" s="13">
        <f t="shared" si="8"/>
        <v>248377.39</v>
      </c>
      <c r="W51" s="14">
        <f>Q51/totals!B$2</f>
        <v>0.00007906912527</v>
      </c>
      <c r="X51" s="14">
        <f t="shared" si="9"/>
        <v>0.03822627272</v>
      </c>
      <c r="Y51" s="14">
        <f>T51/totals!B$5</f>
        <v>0.0001989444506</v>
      </c>
      <c r="Z51" s="14">
        <f t="shared" si="10"/>
        <v>0.02973360018</v>
      </c>
      <c r="AA51" s="14">
        <f>V51/totals!B$4</f>
        <v>0.0004952585243</v>
      </c>
      <c r="AB51" s="14">
        <f t="shared" si="11"/>
        <v>0.03177069844</v>
      </c>
    </row>
    <row r="52">
      <c r="A52" s="7">
        <v>1270.0</v>
      </c>
      <c r="B52" s="7" t="str">
        <f>VLOOKUP($A52,product_category,2, False)</f>
        <v>Beverages</v>
      </c>
      <c r="C52" s="7">
        <v>1.29169023E8</v>
      </c>
      <c r="D52" s="9">
        <v>41068.0</v>
      </c>
      <c r="E52" s="10">
        <f t="shared" si="1"/>
        <v>6</v>
      </c>
      <c r="F52" s="10" t="str">
        <f t="shared" si="2"/>
        <v>Jun</v>
      </c>
      <c r="G52" s="11">
        <f t="shared" si="3"/>
        <v>8</v>
      </c>
      <c r="H52" s="7">
        <f t="shared" si="4"/>
        <v>2012</v>
      </c>
      <c r="I52" s="9">
        <v>41108.0</v>
      </c>
      <c r="J52" s="11">
        <f t="shared" si="5"/>
        <v>40</v>
      </c>
      <c r="K52" s="7" t="s">
        <v>110</v>
      </c>
      <c r="L52" s="7" t="e">
        <v>#N/A</v>
      </c>
      <c r="M52" s="7"/>
      <c r="N52" s="7"/>
      <c r="O52" s="7"/>
      <c r="P52" s="7" t="s">
        <v>212</v>
      </c>
      <c r="Q52" s="7">
        <v>2839.0</v>
      </c>
      <c r="R52" s="12">
        <v>47.45</v>
      </c>
      <c r="S52" s="12">
        <v>31.79</v>
      </c>
      <c r="T52" s="13">
        <f t="shared" si="6"/>
        <v>134710.55</v>
      </c>
      <c r="U52" s="13">
        <f t="shared" si="7"/>
        <v>106256.25</v>
      </c>
      <c r="V52" s="13">
        <f t="shared" si="8"/>
        <v>28454.3</v>
      </c>
      <c r="W52" s="14">
        <f>Q52/totals!B$2</f>
        <v>0.0004316870128</v>
      </c>
      <c r="X52" s="14">
        <f t="shared" si="9"/>
        <v>0.03865795974</v>
      </c>
      <c r="Y52" s="14">
        <f>T52/totals!B$5</f>
        <v>0.00007914236682</v>
      </c>
      <c r="Z52" s="14">
        <f t="shared" si="10"/>
        <v>0.02981274254</v>
      </c>
      <c r="AA52" s="14">
        <f>V52/totals!B$4</f>
        <v>0.00005673718782</v>
      </c>
      <c r="AB52" s="14">
        <f t="shared" si="11"/>
        <v>0.03182743563</v>
      </c>
    </row>
    <row r="53">
      <c r="A53" s="7">
        <v>3127.0</v>
      </c>
      <c r="B53" s="7" t="str">
        <f>VLOOKUP($A53,product_category,2, False)</f>
        <v>Personal Care</v>
      </c>
      <c r="C53" s="7">
        <v>1.29875409E8</v>
      </c>
      <c r="D53" s="9">
        <v>40652.0</v>
      </c>
      <c r="E53" s="10">
        <f t="shared" si="1"/>
        <v>4</v>
      </c>
      <c r="F53" s="10" t="str">
        <f t="shared" si="2"/>
        <v>Apr</v>
      </c>
      <c r="G53" s="11">
        <f t="shared" si="3"/>
        <v>19</v>
      </c>
      <c r="H53" s="7">
        <f t="shared" si="4"/>
        <v>2011</v>
      </c>
      <c r="I53" s="9">
        <v>40659.0</v>
      </c>
      <c r="J53" s="11">
        <f t="shared" si="5"/>
        <v>7</v>
      </c>
      <c r="K53" s="7" t="s">
        <v>322</v>
      </c>
      <c r="L53" s="7" t="s">
        <v>451</v>
      </c>
      <c r="M53" s="7" t="str">
        <f>VLOOKUP(L53,countries, 2,false)</f>
        <v>Lithuania</v>
      </c>
      <c r="N53" s="7" t="str">
        <f>VLOOKUP(L53,countries, 4,false)</f>
        <v>Europe</v>
      </c>
      <c r="O53" s="7" t="str">
        <f>VLOOKUP(L53,countries, 5,false)</f>
        <v>Northern Europe</v>
      </c>
      <c r="P53" s="7" t="s">
        <v>212</v>
      </c>
      <c r="Q53" s="7">
        <v>1875.0</v>
      </c>
      <c r="R53" s="12">
        <v>81.73</v>
      </c>
      <c r="S53" s="12">
        <v>56.67</v>
      </c>
      <c r="T53" s="13">
        <f t="shared" si="6"/>
        <v>153243.75</v>
      </c>
      <c r="U53" s="13">
        <f t="shared" si="7"/>
        <v>1005.08</v>
      </c>
      <c r="V53" s="13">
        <f t="shared" si="8"/>
        <v>152238.67</v>
      </c>
      <c r="W53" s="14">
        <f>Q53/totals!B$2</f>
        <v>0.000285105019</v>
      </c>
      <c r="X53" s="14">
        <f t="shared" si="9"/>
        <v>0.03894306476</v>
      </c>
      <c r="Y53" s="14">
        <f>T53/totals!B$5</f>
        <v>0.00009003061063</v>
      </c>
      <c r="Z53" s="14">
        <f t="shared" si="10"/>
        <v>0.02990277315</v>
      </c>
      <c r="AA53" s="14">
        <f>V53/totals!B$4</f>
        <v>0.0003035602357</v>
      </c>
      <c r="AB53" s="14">
        <f t="shared" si="11"/>
        <v>0.03213099587</v>
      </c>
    </row>
    <row r="54">
      <c r="A54" s="7">
        <v>7940.0</v>
      </c>
      <c r="B54" s="7" t="str">
        <f>VLOOKUP($A54,product_category,2, False)</f>
        <v>Household</v>
      </c>
      <c r="C54" s="7">
        <v>1.29902875E8</v>
      </c>
      <c r="D54" s="9">
        <v>41719.0</v>
      </c>
      <c r="E54" s="10">
        <f t="shared" si="1"/>
        <v>3</v>
      </c>
      <c r="F54" s="10" t="str">
        <f t="shared" si="2"/>
        <v>Mar</v>
      </c>
      <c r="G54" s="11">
        <f t="shared" si="3"/>
        <v>21</v>
      </c>
      <c r="H54" s="7">
        <f t="shared" si="4"/>
        <v>2014</v>
      </c>
      <c r="I54" s="9">
        <v>41753.0</v>
      </c>
      <c r="J54" s="11">
        <f t="shared" si="5"/>
        <v>34</v>
      </c>
      <c r="K54" s="7" t="s">
        <v>198</v>
      </c>
      <c r="L54" s="7" t="s">
        <v>155</v>
      </c>
      <c r="M54" s="7" t="str">
        <f>VLOOKUP(L54,countries, 2,false)</f>
        <v>Bulgaria</v>
      </c>
      <c r="N54" s="7" t="str">
        <f>VLOOKUP(L54,countries, 4,false)</f>
        <v>Europe</v>
      </c>
      <c r="O54" s="7" t="str">
        <f>VLOOKUP(L54,countries, 5,false)</f>
        <v>Eastern Europe</v>
      </c>
      <c r="P54" s="7" t="s">
        <v>129</v>
      </c>
      <c r="Q54" s="7">
        <v>2.0</v>
      </c>
      <c r="R54" s="12">
        <v>668.27</v>
      </c>
      <c r="S54" s="12">
        <v>502.54</v>
      </c>
      <c r="T54" s="13">
        <f t="shared" si="6"/>
        <v>1336.54</v>
      </c>
      <c r="U54" s="13">
        <f t="shared" si="7"/>
        <v>396818.52</v>
      </c>
      <c r="V54" s="13">
        <f t="shared" si="8"/>
        <v>-395481.98</v>
      </c>
      <c r="W54" s="14">
        <f>Q54/totals!B$2</f>
        <v>0.0000003041120203</v>
      </c>
      <c r="X54" s="14">
        <f t="shared" si="9"/>
        <v>0.03894336887</v>
      </c>
      <c r="Y54" s="14">
        <f>T54/totals!B$5</f>
        <v>0.0000007852164433</v>
      </c>
      <c r="Z54" s="14">
        <f t="shared" si="10"/>
        <v>0.02990355837</v>
      </c>
      <c r="AA54" s="14">
        <f>V54/totals!B$4</f>
        <v>-0.0007885815282</v>
      </c>
      <c r="AB54" s="14">
        <f t="shared" si="11"/>
        <v>0.03134241434</v>
      </c>
    </row>
    <row r="55">
      <c r="A55" s="7">
        <v>5988.0</v>
      </c>
      <c r="B55" s="7" t="str">
        <f>VLOOKUP($A55,product_category,2, False)</f>
        <v>Vegetables</v>
      </c>
      <c r="C55" s="7">
        <v>1.30356919E8</v>
      </c>
      <c r="D55" s="9">
        <v>41535.0</v>
      </c>
      <c r="E55" s="10">
        <f t="shared" si="1"/>
        <v>9</v>
      </c>
      <c r="F55" s="10" t="str">
        <f t="shared" si="2"/>
        <v>Sep</v>
      </c>
      <c r="G55" s="11">
        <f t="shared" si="3"/>
        <v>18</v>
      </c>
      <c r="H55" s="7">
        <f t="shared" si="4"/>
        <v>2013</v>
      </c>
      <c r="I55" s="9">
        <v>41548.0</v>
      </c>
      <c r="J55" s="11">
        <f t="shared" si="5"/>
        <v>13</v>
      </c>
      <c r="K55" s="7" t="s">
        <v>382</v>
      </c>
      <c r="L55" s="7" t="s">
        <v>705</v>
      </c>
      <c r="M55" s="7" t="str">
        <f>VLOOKUP(L55,countries, 2,false)</f>
        <v>Switzerland</v>
      </c>
      <c r="N55" s="7" t="str">
        <f>VLOOKUP(L55,countries, 4,false)</f>
        <v>Europe</v>
      </c>
      <c r="O55" s="7" t="str">
        <f>VLOOKUP(L55,countries, 5,false)</f>
        <v>Western Europe</v>
      </c>
      <c r="P55" s="7" t="s">
        <v>129</v>
      </c>
      <c r="Q55" s="7">
        <v>4364.0</v>
      </c>
      <c r="R55" s="12">
        <v>154.06</v>
      </c>
      <c r="S55" s="12">
        <v>90.93</v>
      </c>
      <c r="T55" s="13">
        <f t="shared" si="6"/>
        <v>672317.84</v>
      </c>
      <c r="U55" s="13">
        <f t="shared" si="7"/>
        <v>1029971.52</v>
      </c>
      <c r="V55" s="13">
        <f t="shared" si="8"/>
        <v>-357653.68</v>
      </c>
      <c r="W55" s="14">
        <f>Q55/totals!B$2</f>
        <v>0.0006635724282</v>
      </c>
      <c r="X55" s="14">
        <f t="shared" si="9"/>
        <v>0.0396069413</v>
      </c>
      <c r="Y55" s="14">
        <f>T55/totals!B$5</f>
        <v>0.0003949863252</v>
      </c>
      <c r="Z55" s="14">
        <f t="shared" si="10"/>
        <v>0.03029854469</v>
      </c>
      <c r="AA55" s="14">
        <f>V55/totals!B$4</f>
        <v>-0.0007131528105</v>
      </c>
      <c r="AB55" s="14">
        <f t="shared" si="11"/>
        <v>0.03062926153</v>
      </c>
    </row>
    <row r="56">
      <c r="A56" s="7">
        <v>8681.0</v>
      </c>
      <c r="B56" s="7" t="str">
        <f>VLOOKUP($A56,product_category,2, False)</f>
        <v>Office Supplies</v>
      </c>
      <c r="C56" s="7">
        <v>1.30754315E8</v>
      </c>
      <c r="D56" s="9">
        <v>41574.0</v>
      </c>
      <c r="E56" s="10">
        <f t="shared" si="1"/>
        <v>10</v>
      </c>
      <c r="F56" s="10" t="str">
        <f t="shared" si="2"/>
        <v>Oct</v>
      </c>
      <c r="G56" s="11">
        <f t="shared" si="3"/>
        <v>27</v>
      </c>
      <c r="H56" s="7">
        <f t="shared" si="4"/>
        <v>2013</v>
      </c>
      <c r="I56" s="9">
        <v>41580.0</v>
      </c>
      <c r="J56" s="11">
        <f t="shared" si="5"/>
        <v>6</v>
      </c>
      <c r="K56" s="7" t="s">
        <v>382</v>
      </c>
      <c r="L56" s="7" t="s">
        <v>286</v>
      </c>
      <c r="M56" s="7" t="str">
        <f>VLOOKUP(L56,countries, 2,false)</f>
        <v>France</v>
      </c>
      <c r="N56" s="7" t="str">
        <f>VLOOKUP(L56,countries, 4,false)</f>
        <v>Europe</v>
      </c>
      <c r="O56" s="7" t="str">
        <f>VLOOKUP(L56,countries, 5,false)</f>
        <v>Western Europe</v>
      </c>
      <c r="P56" s="7" t="s">
        <v>129</v>
      </c>
      <c r="Q56" s="7">
        <v>1962.0</v>
      </c>
      <c r="R56" s="12">
        <v>651.21</v>
      </c>
      <c r="S56" s="12">
        <v>524.96</v>
      </c>
      <c r="T56" s="13">
        <f t="shared" si="6"/>
        <v>1277674.02</v>
      </c>
      <c r="U56" s="13">
        <f t="shared" si="7"/>
        <v>450753.18</v>
      </c>
      <c r="V56" s="13">
        <f t="shared" si="8"/>
        <v>826920.84</v>
      </c>
      <c r="W56" s="14">
        <f>Q56/totals!B$2</f>
        <v>0.0002983338919</v>
      </c>
      <c r="X56" s="14">
        <f t="shared" si="9"/>
        <v>0.03990527519</v>
      </c>
      <c r="Y56" s="14">
        <f>T56/totals!B$5</f>
        <v>0.0007506327156</v>
      </c>
      <c r="Z56" s="14">
        <f t="shared" si="10"/>
        <v>0.03104917741</v>
      </c>
      <c r="AA56" s="14">
        <f>V56/totals!B$4</f>
        <v>0.001648860208</v>
      </c>
      <c r="AB56" s="14">
        <f t="shared" si="11"/>
        <v>0.03227812174</v>
      </c>
    </row>
    <row r="57">
      <c r="A57" s="7">
        <v>3127.0</v>
      </c>
      <c r="B57" s="7" t="str">
        <f>VLOOKUP($A57,product_category,2, False)</f>
        <v>Personal Care</v>
      </c>
      <c r="C57" s="7">
        <v>1.31585586E8</v>
      </c>
      <c r="D57" s="9">
        <v>42807.0</v>
      </c>
      <c r="E57" s="10">
        <f t="shared" si="1"/>
        <v>3</v>
      </c>
      <c r="F57" s="10" t="str">
        <f t="shared" si="2"/>
        <v>Mar</v>
      </c>
      <c r="G57" s="11">
        <f t="shared" si="3"/>
        <v>13</v>
      </c>
      <c r="H57" s="7">
        <f t="shared" si="4"/>
        <v>2017</v>
      </c>
      <c r="I57" s="9">
        <v>42838.0</v>
      </c>
      <c r="J57" s="11">
        <f t="shared" si="5"/>
        <v>31</v>
      </c>
      <c r="K57" s="7" t="s">
        <v>198</v>
      </c>
      <c r="L57" s="7" t="s">
        <v>286</v>
      </c>
      <c r="M57" s="7" t="str">
        <f>VLOOKUP(L57,countries, 2,false)</f>
        <v>France</v>
      </c>
      <c r="N57" s="7" t="str">
        <f>VLOOKUP(L57,countries, 4,false)</f>
        <v>Europe</v>
      </c>
      <c r="O57" s="7" t="str">
        <f>VLOOKUP(L57,countries, 5,false)</f>
        <v>Western Europe</v>
      </c>
      <c r="P57" s="7" t="s">
        <v>212</v>
      </c>
      <c r="Q57" s="7">
        <v>7954.0</v>
      </c>
      <c r="R57" s="12">
        <v>81.73</v>
      </c>
      <c r="S57" s="12">
        <v>56.67</v>
      </c>
      <c r="T57" s="13">
        <f t="shared" si="6"/>
        <v>650080.42</v>
      </c>
      <c r="U57" s="13">
        <f t="shared" si="7"/>
        <v>68287.35</v>
      </c>
      <c r="V57" s="13">
        <f t="shared" si="8"/>
        <v>581793.07</v>
      </c>
      <c r="W57" s="14">
        <f>Q57/totals!B$2</f>
        <v>0.001209453505</v>
      </c>
      <c r="X57" s="14">
        <f t="shared" si="9"/>
        <v>0.04111472869</v>
      </c>
      <c r="Y57" s="14">
        <f>T57/totals!B$5</f>
        <v>0.0003819218544</v>
      </c>
      <c r="Z57" s="14">
        <f t="shared" si="10"/>
        <v>0.03143109926</v>
      </c>
      <c r="AA57" s="14">
        <f>V57/totals!B$4</f>
        <v>0.001160081347</v>
      </c>
      <c r="AB57" s="14">
        <f t="shared" si="11"/>
        <v>0.03343820308</v>
      </c>
    </row>
    <row r="58">
      <c r="A58" s="7">
        <v>3127.0</v>
      </c>
      <c r="B58" s="7" t="str">
        <f>VLOOKUP($A58,product_category,2, False)</f>
        <v>Personal Care</v>
      </c>
      <c r="C58" s="7">
        <v>1.32069671E8</v>
      </c>
      <c r="D58" s="9">
        <v>42925.0</v>
      </c>
      <c r="E58" s="10">
        <f t="shared" si="1"/>
        <v>7</v>
      </c>
      <c r="F58" s="10" t="str">
        <f t="shared" si="2"/>
        <v>Jul</v>
      </c>
      <c r="G58" s="11">
        <f t="shared" si="3"/>
        <v>9</v>
      </c>
      <c r="H58" s="7">
        <f t="shared" si="4"/>
        <v>2017</v>
      </c>
      <c r="I58" s="9">
        <v>42936.0</v>
      </c>
      <c r="J58" s="11">
        <f t="shared" si="5"/>
        <v>11</v>
      </c>
      <c r="K58" s="7" t="s">
        <v>110</v>
      </c>
      <c r="L58" s="7" t="s">
        <v>88</v>
      </c>
      <c r="M58" s="7" t="str">
        <f>VLOOKUP(L58,countries, 2,false)</f>
        <v>Austria</v>
      </c>
      <c r="N58" s="7" t="str">
        <f>VLOOKUP(L58,countries, 4,false)</f>
        <v>Europe</v>
      </c>
      <c r="O58" s="7" t="str">
        <f>VLOOKUP(L58,countries, 5,false)</f>
        <v>Western Europe</v>
      </c>
      <c r="P58" s="7" t="s">
        <v>129</v>
      </c>
      <c r="Q58" s="7">
        <v>1205.0</v>
      </c>
      <c r="R58" s="12">
        <v>81.73</v>
      </c>
      <c r="S58" s="12">
        <v>56.67</v>
      </c>
      <c r="T58" s="13">
        <f t="shared" si="6"/>
        <v>98484.65</v>
      </c>
      <c r="U58" s="13">
        <f t="shared" si="7"/>
        <v>2419476.04</v>
      </c>
      <c r="V58" s="13">
        <f t="shared" si="8"/>
        <v>-2320991.39</v>
      </c>
      <c r="W58" s="14">
        <f>Q58/totals!B$2</f>
        <v>0.0001832274922</v>
      </c>
      <c r="X58" s="14">
        <f t="shared" si="9"/>
        <v>0.04129795618</v>
      </c>
      <c r="Y58" s="14">
        <f>T58/totals!B$5</f>
        <v>0.00005785967243</v>
      </c>
      <c r="Z58" s="14">
        <f t="shared" si="10"/>
        <v>0.03148895894</v>
      </c>
      <c r="AA58" s="14">
        <f>V58/totals!B$4</f>
        <v>-0.004628000844</v>
      </c>
      <c r="AB58" s="14">
        <f t="shared" si="11"/>
        <v>0.02881020224</v>
      </c>
    </row>
    <row r="59">
      <c r="A59" s="7">
        <v>8293.0</v>
      </c>
      <c r="B59" s="7" t="str">
        <f>VLOOKUP($A59,product_category,2, False)</f>
        <v>Cosmetics</v>
      </c>
      <c r="C59" s="7">
        <v>1.32603538E8</v>
      </c>
      <c r="D59" s="9">
        <v>41172.0</v>
      </c>
      <c r="E59" s="10">
        <f t="shared" si="1"/>
        <v>9</v>
      </c>
      <c r="F59" s="10" t="str">
        <f t="shared" si="2"/>
        <v>Sep</v>
      </c>
      <c r="G59" s="11">
        <f t="shared" si="3"/>
        <v>20</v>
      </c>
      <c r="H59" s="7">
        <f t="shared" si="4"/>
        <v>2012</v>
      </c>
      <c r="I59" s="9">
        <v>41219.0</v>
      </c>
      <c r="J59" s="11">
        <f t="shared" si="5"/>
        <v>47</v>
      </c>
      <c r="K59" s="7" t="s">
        <v>110</v>
      </c>
      <c r="L59" s="7" t="s">
        <v>364</v>
      </c>
      <c r="M59" s="7" t="str">
        <f>VLOOKUP(L59,countries, 2,false)</f>
        <v>Hungary</v>
      </c>
      <c r="N59" s="7" t="str">
        <f>VLOOKUP(L59,countries, 4,false)</f>
        <v>Europe</v>
      </c>
      <c r="O59" s="7" t="str">
        <f>VLOOKUP(L59,countries, 5,false)</f>
        <v>Eastern Europe</v>
      </c>
      <c r="P59" s="7" t="s">
        <v>129</v>
      </c>
      <c r="Q59" s="7">
        <v>9188.0</v>
      </c>
      <c r="R59" s="12">
        <v>437.2</v>
      </c>
      <c r="S59" s="12">
        <v>263.33</v>
      </c>
      <c r="T59" s="13">
        <f t="shared" si="6"/>
        <v>4016993.6</v>
      </c>
      <c r="U59" s="13">
        <f t="shared" si="7"/>
        <v>471381.06</v>
      </c>
      <c r="V59" s="13">
        <f t="shared" si="8"/>
        <v>3545612.54</v>
      </c>
      <c r="W59" s="14">
        <f>Q59/totals!B$2</f>
        <v>0.001397090621</v>
      </c>
      <c r="X59" s="14">
        <f t="shared" si="9"/>
        <v>0.04269504681</v>
      </c>
      <c r="Y59" s="14">
        <f>T59/totals!B$5</f>
        <v>0.002359981316</v>
      </c>
      <c r="Z59" s="14">
        <f t="shared" si="10"/>
        <v>0.03384894025</v>
      </c>
      <c r="AA59" s="14">
        <f>V59/totals!B$4</f>
        <v>0.007069865877</v>
      </c>
      <c r="AB59" s="14">
        <f t="shared" si="11"/>
        <v>0.03588006812</v>
      </c>
    </row>
    <row r="60">
      <c r="A60" s="7">
        <v>3127.0</v>
      </c>
      <c r="B60" s="7" t="str">
        <f>VLOOKUP($A60,product_category,2, False)</f>
        <v>Personal Care</v>
      </c>
      <c r="C60" s="7">
        <v>1.3327645E8</v>
      </c>
      <c r="D60" s="9">
        <v>42396.0</v>
      </c>
      <c r="E60" s="10">
        <f t="shared" si="1"/>
        <v>1</v>
      </c>
      <c r="F60" s="10" t="str">
        <f t="shared" si="2"/>
        <v>Jan</v>
      </c>
      <c r="G60" s="11">
        <f t="shared" si="3"/>
        <v>27</v>
      </c>
      <c r="H60" s="7">
        <f t="shared" si="4"/>
        <v>2016</v>
      </c>
      <c r="I60" s="9">
        <v>42444.0</v>
      </c>
      <c r="J60" s="11">
        <f t="shared" si="5"/>
        <v>48</v>
      </c>
      <c r="K60" s="7" t="s">
        <v>382</v>
      </c>
      <c r="L60" s="7" t="e">
        <v>#N/A</v>
      </c>
      <c r="M60" s="7"/>
      <c r="N60" s="7"/>
      <c r="O60" s="7"/>
      <c r="P60" s="7" t="s">
        <v>129</v>
      </c>
      <c r="Q60" s="7">
        <v>8318.0</v>
      </c>
      <c r="R60" s="12">
        <v>81.73</v>
      </c>
      <c r="S60" s="12">
        <v>56.67</v>
      </c>
      <c r="T60" s="13">
        <f t="shared" si="6"/>
        <v>679830.14</v>
      </c>
      <c r="U60" s="13">
        <f t="shared" si="7"/>
        <v>749808.78</v>
      </c>
      <c r="V60" s="13">
        <f t="shared" si="8"/>
        <v>-69978.64</v>
      </c>
      <c r="W60" s="14">
        <f>Q60/totals!B$2</f>
        <v>0.001264801892</v>
      </c>
      <c r="X60" s="14">
        <f t="shared" si="9"/>
        <v>0.0439598487</v>
      </c>
      <c r="Y60" s="14">
        <f>T60/totals!B$5</f>
        <v>0.0003993997969</v>
      </c>
      <c r="Z60" s="14">
        <f t="shared" si="10"/>
        <v>0.03424834005</v>
      </c>
      <c r="AA60" s="14">
        <f>V60/totals!B$4</f>
        <v>-0.0001395357201</v>
      </c>
      <c r="AB60" s="14">
        <f t="shared" si="11"/>
        <v>0.0357405324</v>
      </c>
    </row>
    <row r="61">
      <c r="A61" s="7">
        <v>5988.0</v>
      </c>
      <c r="B61" s="7" t="str">
        <f>VLOOKUP($A61,product_category,2, False)</f>
        <v>Vegetables</v>
      </c>
      <c r="C61" s="7">
        <v>1.34121024E8</v>
      </c>
      <c r="D61" s="9">
        <v>40602.0</v>
      </c>
      <c r="E61" s="10">
        <f t="shared" si="1"/>
        <v>2</v>
      </c>
      <c r="F61" s="10" t="str">
        <f t="shared" si="2"/>
        <v>Feb</v>
      </c>
      <c r="G61" s="11">
        <f t="shared" si="3"/>
        <v>28</v>
      </c>
      <c r="H61" s="7">
        <f t="shared" si="4"/>
        <v>2011</v>
      </c>
      <c r="I61" s="9">
        <v>40641.0</v>
      </c>
      <c r="J61" s="11">
        <f t="shared" si="5"/>
        <v>39</v>
      </c>
      <c r="K61" s="7" t="s">
        <v>322</v>
      </c>
      <c r="L61" s="7" t="s">
        <v>264</v>
      </c>
      <c r="M61" s="7" t="str">
        <f>VLOOKUP(L61,countries, 2,false)</f>
        <v>Estonia</v>
      </c>
      <c r="N61" s="7" t="str">
        <f>VLOOKUP(L61,countries, 4,false)</f>
        <v>Europe</v>
      </c>
      <c r="O61" s="7" t="str">
        <f>VLOOKUP(L61,countries, 5,false)</f>
        <v>Northern Europe</v>
      </c>
      <c r="P61" s="7" t="s">
        <v>129</v>
      </c>
      <c r="Q61" s="7">
        <v>8246.0</v>
      </c>
      <c r="R61" s="12">
        <v>154.06</v>
      </c>
      <c r="S61" s="12">
        <v>90.93</v>
      </c>
      <c r="T61" s="13">
        <f t="shared" si="6"/>
        <v>1270378.76</v>
      </c>
      <c r="U61" s="13">
        <f t="shared" si="7"/>
        <v>227942.4</v>
      </c>
      <c r="V61" s="13">
        <f t="shared" si="8"/>
        <v>1042436.36</v>
      </c>
      <c r="W61" s="14">
        <f>Q61/totals!B$2</f>
        <v>0.00125385386</v>
      </c>
      <c r="X61" s="14">
        <f t="shared" si="9"/>
        <v>0.04521370256</v>
      </c>
      <c r="Y61" s="14">
        <f>T61/totals!B$5</f>
        <v>0.0007463467548</v>
      </c>
      <c r="Z61" s="14">
        <f t="shared" si="10"/>
        <v>0.0349946868</v>
      </c>
      <c r="AA61" s="14">
        <f>V61/totals!B$4</f>
        <v>0.002078592956</v>
      </c>
      <c r="AB61" s="14">
        <f t="shared" si="11"/>
        <v>0.03781912535</v>
      </c>
    </row>
    <row r="62">
      <c r="A62" s="7">
        <v>2455.0</v>
      </c>
      <c r="B62" s="7" t="str">
        <f>VLOOKUP($A62,product_category,2, False)</f>
        <v>Clothes</v>
      </c>
      <c r="C62" s="7">
        <v>1.34790503E8</v>
      </c>
      <c r="D62" s="9">
        <v>41001.0</v>
      </c>
      <c r="E62" s="10">
        <f t="shared" si="1"/>
        <v>4</v>
      </c>
      <c r="F62" s="10" t="str">
        <f t="shared" si="2"/>
        <v>Apr</v>
      </c>
      <c r="G62" s="11">
        <f t="shared" si="3"/>
        <v>2</v>
      </c>
      <c r="H62" s="7">
        <f t="shared" si="4"/>
        <v>2012</v>
      </c>
      <c r="I62" s="9">
        <v>41025.0</v>
      </c>
      <c r="J62" s="11">
        <f t="shared" si="5"/>
        <v>24</v>
      </c>
      <c r="K62" s="7" t="s">
        <v>110</v>
      </c>
      <c r="L62" s="7" t="s">
        <v>392</v>
      </c>
      <c r="M62" s="7" t="str">
        <f>VLOOKUP(L62,countries, 2,false)</f>
        <v>Italy</v>
      </c>
      <c r="N62" s="7" t="str">
        <f>VLOOKUP(L62,countries, 4,false)</f>
        <v>Europe</v>
      </c>
      <c r="O62" s="7" t="str">
        <f>VLOOKUP(L62,countries, 5,false)</f>
        <v>Southern Europe</v>
      </c>
      <c r="P62" s="7" t="s">
        <v>129</v>
      </c>
      <c r="Q62" s="7">
        <v>6360.0</v>
      </c>
      <c r="R62" s="12">
        <v>109.28</v>
      </c>
      <c r="S62" s="12">
        <v>35.84</v>
      </c>
      <c r="T62" s="13">
        <f t="shared" si="6"/>
        <v>695020.8</v>
      </c>
      <c r="U62" s="13">
        <f t="shared" si="7"/>
        <v>286555.06</v>
      </c>
      <c r="V62" s="13">
        <f t="shared" si="8"/>
        <v>408465.74</v>
      </c>
      <c r="W62" s="14">
        <f>Q62/totals!B$2</f>
        <v>0.0009670762245</v>
      </c>
      <c r="X62" s="14">
        <f t="shared" si="9"/>
        <v>0.04618077878</v>
      </c>
      <c r="Y62" s="14">
        <f>T62/totals!B$5</f>
        <v>0.0004083243005</v>
      </c>
      <c r="Z62" s="14">
        <f t="shared" si="10"/>
        <v>0.0354030111</v>
      </c>
      <c r="AA62" s="14">
        <f>V62/totals!B$4</f>
        <v>0.0008144708325</v>
      </c>
      <c r="AB62" s="14">
        <f t="shared" si="11"/>
        <v>0.03863359619</v>
      </c>
    </row>
    <row r="63">
      <c r="A63" s="7">
        <v>1270.0</v>
      </c>
      <c r="B63" s="7" t="str">
        <f>VLOOKUP($A63,product_category,2, False)</f>
        <v>Beverages</v>
      </c>
      <c r="C63" s="7">
        <v>1.36624276E8</v>
      </c>
      <c r="D63" s="9">
        <v>42420.0</v>
      </c>
      <c r="E63" s="10">
        <f t="shared" si="1"/>
        <v>2</v>
      </c>
      <c r="F63" s="10" t="str">
        <f t="shared" si="2"/>
        <v>Feb</v>
      </c>
      <c r="G63" s="11">
        <f t="shared" si="3"/>
        <v>20</v>
      </c>
      <c r="H63" s="7">
        <f t="shared" si="4"/>
        <v>2016</v>
      </c>
      <c r="I63" s="9">
        <v>42437.0</v>
      </c>
      <c r="J63" s="11">
        <f t="shared" si="5"/>
        <v>17</v>
      </c>
      <c r="K63" s="7" t="s">
        <v>322</v>
      </c>
      <c r="L63" s="7" t="s">
        <v>432</v>
      </c>
      <c r="M63" s="7" t="str">
        <f>VLOOKUP(L63,countries, 2,false)</f>
        <v>Latvia</v>
      </c>
      <c r="N63" s="7" t="str">
        <f>VLOOKUP(L63,countries, 4,false)</f>
        <v>Europe</v>
      </c>
      <c r="O63" s="7" t="str">
        <f>VLOOKUP(L63,countries, 5,false)</f>
        <v>Northern Europe</v>
      </c>
      <c r="P63" s="7" t="s">
        <v>212</v>
      </c>
      <c r="Q63" s="7">
        <v>9014.0</v>
      </c>
      <c r="R63" s="12">
        <v>47.45</v>
      </c>
      <c r="S63" s="12">
        <v>31.79</v>
      </c>
      <c r="T63" s="13">
        <f t="shared" si="6"/>
        <v>427714.3</v>
      </c>
      <c r="U63" s="13">
        <f t="shared" si="7"/>
        <v>343865.76</v>
      </c>
      <c r="V63" s="13">
        <f t="shared" si="8"/>
        <v>83848.54</v>
      </c>
      <c r="W63" s="14">
        <f>Q63/totals!B$2</f>
        <v>0.001370632875</v>
      </c>
      <c r="X63" s="14">
        <f t="shared" si="9"/>
        <v>0.04755141166</v>
      </c>
      <c r="Y63" s="14">
        <f>T63/totals!B$5</f>
        <v>0.0002512818931</v>
      </c>
      <c r="Z63" s="14">
        <f t="shared" si="10"/>
        <v>0.035654293</v>
      </c>
      <c r="AA63" s="14">
        <f>V63/totals!B$4</f>
        <v>0.0001671919662</v>
      </c>
      <c r="AB63" s="14">
        <f t="shared" si="11"/>
        <v>0.03880078815</v>
      </c>
    </row>
    <row r="64">
      <c r="A64" s="7">
        <v>8969.0</v>
      </c>
      <c r="B64" s="7" t="str">
        <f>VLOOKUP($A64,product_category,2, False)</f>
        <v>Snacks</v>
      </c>
      <c r="C64" s="7">
        <v>1.38025033E8</v>
      </c>
      <c r="D64" s="9">
        <v>41468.0</v>
      </c>
      <c r="E64" s="10">
        <f t="shared" si="1"/>
        <v>7</v>
      </c>
      <c r="F64" s="10" t="str">
        <f t="shared" si="2"/>
        <v>Jul</v>
      </c>
      <c r="G64" s="11">
        <f t="shared" si="3"/>
        <v>13</v>
      </c>
      <c r="H64" s="7">
        <f t="shared" si="4"/>
        <v>2013</v>
      </c>
      <c r="I64" s="9">
        <v>41489.0</v>
      </c>
      <c r="J64" s="11">
        <f t="shared" si="5"/>
        <v>21</v>
      </c>
      <c r="K64" s="7" t="s">
        <v>322</v>
      </c>
      <c r="L64" s="7" t="s">
        <v>762</v>
      </c>
      <c r="M64" s="7" t="str">
        <f>VLOOKUP(L64,countries, 2,false)</f>
        <v>United Kingdom</v>
      </c>
      <c r="N64" s="7" t="str">
        <f>VLOOKUP(L64,countries, 4,false)</f>
        <v>Europe</v>
      </c>
      <c r="O64" s="7" t="str">
        <f>VLOOKUP(L64,countries, 5,false)</f>
        <v>Northern Europe</v>
      </c>
      <c r="P64" s="7" t="s">
        <v>129</v>
      </c>
      <c r="Q64" s="7">
        <v>3529.0</v>
      </c>
      <c r="R64" s="12">
        <v>152.58</v>
      </c>
      <c r="S64" s="12">
        <v>97.44</v>
      </c>
      <c r="T64" s="13">
        <f t="shared" si="6"/>
        <v>538454.82</v>
      </c>
      <c r="U64" s="13">
        <f t="shared" si="7"/>
        <v>5249.6</v>
      </c>
      <c r="V64" s="13">
        <f t="shared" si="8"/>
        <v>533205.22</v>
      </c>
      <c r="W64" s="14">
        <f>Q64/totals!B$2</f>
        <v>0.0005366056598</v>
      </c>
      <c r="X64" s="14">
        <f t="shared" si="9"/>
        <v>0.04808801732</v>
      </c>
      <c r="Y64" s="14">
        <f>T64/totals!B$5</f>
        <v>0.0003163418818</v>
      </c>
      <c r="Z64" s="14">
        <f t="shared" si="10"/>
        <v>0.03597063488</v>
      </c>
      <c r="AA64" s="14">
        <f>V64/totals!B$4</f>
        <v>0.001063198347</v>
      </c>
      <c r="AB64" s="14">
        <f t="shared" si="11"/>
        <v>0.0398639865</v>
      </c>
    </row>
    <row r="65">
      <c r="A65" s="7">
        <v>8681.0</v>
      </c>
      <c r="B65" s="7" t="str">
        <f>VLOOKUP($A65,product_category,2, False)</f>
        <v>Office Supplies</v>
      </c>
      <c r="C65" s="7">
        <v>1.38182103E8</v>
      </c>
      <c r="D65" s="9">
        <v>41860.0</v>
      </c>
      <c r="E65" s="10">
        <f t="shared" si="1"/>
        <v>8</v>
      </c>
      <c r="F65" s="10" t="str">
        <f t="shared" si="2"/>
        <v>Aug</v>
      </c>
      <c r="G65" s="11">
        <f t="shared" si="3"/>
        <v>9</v>
      </c>
      <c r="H65" s="7">
        <f t="shared" si="4"/>
        <v>2014</v>
      </c>
      <c r="I65" s="9">
        <v>41867.0</v>
      </c>
      <c r="J65" s="11">
        <f t="shared" si="5"/>
        <v>7</v>
      </c>
      <c r="K65" s="7" t="s">
        <v>198</v>
      </c>
      <c r="L65" s="7" t="s">
        <v>534</v>
      </c>
      <c r="M65" s="7" t="str">
        <f>VLOOKUP(L65,countries, 2,false)</f>
        <v>Netherlands</v>
      </c>
      <c r="N65" s="7" t="str">
        <f>VLOOKUP(L65,countries, 4,false)</f>
        <v>Europe</v>
      </c>
      <c r="O65" s="7" t="str">
        <f>VLOOKUP(L65,countries, 5,false)</f>
        <v>Western Europe</v>
      </c>
      <c r="P65" s="7" t="s">
        <v>129</v>
      </c>
      <c r="Q65" s="7">
        <v>10.0</v>
      </c>
      <c r="R65" s="12">
        <v>651.21</v>
      </c>
      <c r="S65" s="12">
        <v>524.96</v>
      </c>
      <c r="T65" s="13">
        <f t="shared" si="6"/>
        <v>6512.1</v>
      </c>
      <c r="U65" s="13">
        <f t="shared" si="7"/>
        <v>321843.2</v>
      </c>
      <c r="V65" s="13">
        <f t="shared" si="8"/>
        <v>-315331.1</v>
      </c>
      <c r="W65" s="14">
        <f>Q65/totals!B$2</f>
        <v>0.000001520560101</v>
      </c>
      <c r="X65" s="14">
        <f t="shared" si="9"/>
        <v>0.04808953788</v>
      </c>
      <c r="Y65" s="14">
        <f>T65/totals!B$5</f>
        <v>0.00000382585482</v>
      </c>
      <c r="Z65" s="14">
        <f t="shared" si="10"/>
        <v>0.03597446073</v>
      </c>
      <c r="AA65" s="14">
        <f>V65/totals!B$4</f>
        <v>-0.0006287626069</v>
      </c>
      <c r="AB65" s="14">
        <f t="shared" si="11"/>
        <v>0.03923522389</v>
      </c>
    </row>
    <row r="66">
      <c r="A66" s="7">
        <v>2455.0</v>
      </c>
      <c r="B66" s="7" t="str">
        <f>VLOOKUP($A66,product_category,2, False)</f>
        <v>Clothes</v>
      </c>
      <c r="C66" s="7">
        <v>1.38820683E8</v>
      </c>
      <c r="D66" s="9">
        <v>40368.0</v>
      </c>
      <c r="E66" s="10">
        <f t="shared" si="1"/>
        <v>7</v>
      </c>
      <c r="F66" s="10" t="str">
        <f t="shared" si="2"/>
        <v>Jul</v>
      </c>
      <c r="G66" s="11">
        <f t="shared" si="3"/>
        <v>9</v>
      </c>
      <c r="H66" s="7">
        <f t="shared" si="4"/>
        <v>2010</v>
      </c>
      <c r="I66" s="9">
        <v>40368.0</v>
      </c>
      <c r="J66" s="11">
        <f t="shared" si="5"/>
        <v>0</v>
      </c>
      <c r="K66" s="7" t="s">
        <v>322</v>
      </c>
      <c r="L66" s="7" t="s">
        <v>612</v>
      </c>
      <c r="M66" s="7" t="str">
        <f>VLOOKUP(L66,countries, 2,false)</f>
        <v>Russia</v>
      </c>
      <c r="N66" s="7" t="str">
        <f>VLOOKUP(L66,countries, 4,false)</f>
        <v>Europe</v>
      </c>
      <c r="O66" s="7" t="str">
        <f>VLOOKUP(L66,countries, 5,false)</f>
        <v>Eastern Europe</v>
      </c>
      <c r="P66" s="7" t="s">
        <v>212</v>
      </c>
      <c r="Q66" s="7">
        <v>8980.0</v>
      </c>
      <c r="R66" s="12">
        <v>109.28</v>
      </c>
      <c r="S66" s="12">
        <v>35.84</v>
      </c>
      <c r="T66" s="13">
        <f t="shared" si="6"/>
        <v>981334.4</v>
      </c>
      <c r="U66" s="13">
        <f t="shared" si="7"/>
        <v>427911.25</v>
      </c>
      <c r="V66" s="13">
        <f t="shared" si="8"/>
        <v>553423.15</v>
      </c>
      <c r="W66" s="14">
        <f>Q66/totals!B$2</f>
        <v>0.001365462971</v>
      </c>
      <c r="X66" s="14">
        <f t="shared" si="9"/>
        <v>0.04945500085</v>
      </c>
      <c r="Y66" s="14">
        <f>T66/totals!B$5</f>
        <v>0.0005765333677</v>
      </c>
      <c r="Z66" s="14">
        <f t="shared" si="10"/>
        <v>0.0365509941</v>
      </c>
      <c r="AA66" s="14">
        <f>V66/totals!B$4</f>
        <v>0.001103512411</v>
      </c>
      <c r="AB66" s="14">
        <f t="shared" si="11"/>
        <v>0.0403387363</v>
      </c>
    </row>
    <row r="67">
      <c r="A67" s="7">
        <v>8293.0</v>
      </c>
      <c r="B67" s="7" t="str">
        <f>VLOOKUP($A67,product_category,2, False)</f>
        <v>Cosmetics</v>
      </c>
      <c r="C67" s="7">
        <v>1.39201343E8</v>
      </c>
      <c r="D67" s="9">
        <v>42609.0</v>
      </c>
      <c r="E67" s="10">
        <f t="shared" si="1"/>
        <v>8</v>
      </c>
      <c r="F67" s="10" t="str">
        <f t="shared" si="2"/>
        <v>Aug</v>
      </c>
      <c r="G67" s="11">
        <f t="shared" si="3"/>
        <v>27</v>
      </c>
      <c r="H67" s="7">
        <f t="shared" si="4"/>
        <v>2016</v>
      </c>
      <c r="I67" s="9">
        <v>42619.0</v>
      </c>
      <c r="J67" s="11">
        <f t="shared" si="5"/>
        <v>10</v>
      </c>
      <c r="K67" s="7" t="s">
        <v>382</v>
      </c>
      <c r="L67" s="7" t="s">
        <v>383</v>
      </c>
      <c r="M67" s="7" t="str">
        <f>VLOOKUP(L67,countries, 2,false)</f>
        <v>Ireland</v>
      </c>
      <c r="N67" s="7" t="str">
        <f>VLOOKUP(L67,countries, 4,false)</f>
        <v>Europe</v>
      </c>
      <c r="O67" s="7" t="str">
        <f>VLOOKUP(L67,countries, 5,false)</f>
        <v>Northern Europe</v>
      </c>
      <c r="P67" s="7" t="s">
        <v>212</v>
      </c>
      <c r="Q67" s="7">
        <v>1625.0</v>
      </c>
      <c r="R67" s="12">
        <v>437.2</v>
      </c>
      <c r="S67" s="12">
        <v>263.33</v>
      </c>
      <c r="T67" s="13">
        <f t="shared" si="6"/>
        <v>710450</v>
      </c>
      <c r="U67" s="13">
        <f t="shared" si="7"/>
        <v>270971.4</v>
      </c>
      <c r="V67" s="13">
        <f t="shared" si="8"/>
        <v>439478.6</v>
      </c>
      <c r="W67" s="14">
        <f>Q67/totals!B$2</f>
        <v>0.0002470910165</v>
      </c>
      <c r="X67" s="14">
        <f t="shared" si="9"/>
        <v>0.04970209186</v>
      </c>
      <c r="Y67" s="14">
        <f>T67/totals!B$5</f>
        <v>0.0004173889462</v>
      </c>
      <c r="Z67" s="14">
        <f t="shared" si="10"/>
        <v>0.03696838305</v>
      </c>
      <c r="AA67" s="14">
        <f>V67/totals!B$4</f>
        <v>0.0008763097272</v>
      </c>
      <c r="AB67" s="14">
        <f t="shared" si="11"/>
        <v>0.04121504603</v>
      </c>
    </row>
    <row r="68">
      <c r="A68" s="7">
        <v>5988.0</v>
      </c>
      <c r="B68" s="7" t="str">
        <f>VLOOKUP($A68,product_category,2, False)</f>
        <v>Vegetables</v>
      </c>
      <c r="C68" s="7">
        <v>1.39949357E8</v>
      </c>
      <c r="D68" s="9">
        <v>41821.0</v>
      </c>
      <c r="E68" s="10">
        <f t="shared" si="1"/>
        <v>7</v>
      </c>
      <c r="F68" s="10" t="str">
        <f t="shared" si="2"/>
        <v>Jul</v>
      </c>
      <c r="G68" s="11">
        <f t="shared" si="3"/>
        <v>1</v>
      </c>
      <c r="H68" s="7">
        <f t="shared" si="4"/>
        <v>2014</v>
      </c>
      <c r="I68" s="9">
        <v>41834.0</v>
      </c>
      <c r="J68" s="11">
        <f t="shared" si="5"/>
        <v>13</v>
      </c>
      <c r="K68" s="7" t="s">
        <v>382</v>
      </c>
      <c r="L68" s="7" t="e">
        <v>#N/A</v>
      </c>
      <c r="M68" s="7"/>
      <c r="N68" s="7"/>
      <c r="O68" s="7"/>
      <c r="P68" s="7" t="s">
        <v>129</v>
      </c>
      <c r="Q68" s="7">
        <v>2980.0</v>
      </c>
      <c r="R68" s="12">
        <v>154.06</v>
      </c>
      <c r="S68" s="12">
        <v>90.93</v>
      </c>
      <c r="T68" s="13">
        <f t="shared" si="6"/>
        <v>459098.8</v>
      </c>
      <c r="U68" s="13">
        <f t="shared" si="7"/>
        <v>1214741.29</v>
      </c>
      <c r="V68" s="13">
        <f t="shared" si="8"/>
        <v>-755642.49</v>
      </c>
      <c r="W68" s="14">
        <f>Q68/totals!B$2</f>
        <v>0.0004531269102</v>
      </c>
      <c r="X68" s="14">
        <f t="shared" si="9"/>
        <v>0.05015521878</v>
      </c>
      <c r="Y68" s="14">
        <f>T68/totals!B$5</f>
        <v>0.0002697202679</v>
      </c>
      <c r="Z68" s="14">
        <f t="shared" si="10"/>
        <v>0.03723810332</v>
      </c>
      <c r="AA68" s="14">
        <f>V68/totals!B$4</f>
        <v>-0.001506732897</v>
      </c>
      <c r="AB68" s="14">
        <f t="shared" si="11"/>
        <v>0.03970831313</v>
      </c>
    </row>
    <row r="69">
      <c r="A69" s="7">
        <v>8293.0</v>
      </c>
      <c r="B69" s="7" t="str">
        <f>VLOOKUP($A69,product_category,2, False)</f>
        <v>Cosmetics</v>
      </c>
      <c r="C69" s="7">
        <v>1.40461766E8</v>
      </c>
      <c r="D69" s="9">
        <v>41828.0</v>
      </c>
      <c r="E69" s="10">
        <f t="shared" si="1"/>
        <v>7</v>
      </c>
      <c r="F69" s="10" t="str">
        <f t="shared" si="2"/>
        <v>Jul</v>
      </c>
      <c r="G69" s="11">
        <f t="shared" si="3"/>
        <v>8</v>
      </c>
      <c r="H69" s="7">
        <f t="shared" si="4"/>
        <v>2014</v>
      </c>
      <c r="I69" s="9">
        <v>41840.0</v>
      </c>
      <c r="J69" s="11">
        <f t="shared" si="5"/>
        <v>12</v>
      </c>
      <c r="K69" s="7" t="s">
        <v>198</v>
      </c>
      <c r="L69" s="7" t="s">
        <v>756</v>
      </c>
      <c r="M69" s="7" t="str">
        <f>VLOOKUP(L69,countries, 2,false)</f>
        <v>Ukraine</v>
      </c>
      <c r="N69" s="7" t="str">
        <f>VLOOKUP(L69,countries, 4,false)</f>
        <v>Europe</v>
      </c>
      <c r="O69" s="7" t="str">
        <f>VLOOKUP(L69,countries, 5,false)</f>
        <v>Eastern Europe</v>
      </c>
      <c r="P69" s="7" t="s">
        <v>129</v>
      </c>
      <c r="Q69" s="7">
        <v>4613.0</v>
      </c>
      <c r="R69" s="12">
        <v>437.2</v>
      </c>
      <c r="S69" s="12">
        <v>263.33</v>
      </c>
      <c r="T69" s="13">
        <f t="shared" si="6"/>
        <v>2016803.6</v>
      </c>
      <c r="U69" s="13">
        <f t="shared" si="7"/>
        <v>335203.05</v>
      </c>
      <c r="V69" s="13">
        <f t="shared" si="8"/>
        <v>1681600.55</v>
      </c>
      <c r="W69" s="14">
        <f>Q69/totals!B$2</f>
        <v>0.0007014343748</v>
      </c>
      <c r="X69" s="14">
        <f t="shared" si="9"/>
        <v>0.05085665315</v>
      </c>
      <c r="Y69" s="14">
        <f>T69/totals!B$5</f>
        <v>0.001184870898</v>
      </c>
      <c r="Z69" s="14">
        <f t="shared" si="10"/>
        <v>0.03842297421</v>
      </c>
      <c r="AA69" s="14">
        <f>V69/totals!B$4</f>
        <v>0.003353070933</v>
      </c>
      <c r="AB69" s="14">
        <f t="shared" si="11"/>
        <v>0.04306138407</v>
      </c>
    </row>
    <row r="70">
      <c r="A70" s="7">
        <v>3127.0</v>
      </c>
      <c r="B70" s="7" t="str">
        <f>VLOOKUP($A70,product_category,2, False)</f>
        <v>Personal Care</v>
      </c>
      <c r="C70" s="7">
        <v>1.40499961E8</v>
      </c>
      <c r="D70" s="9">
        <v>40631.0</v>
      </c>
      <c r="E70" s="10">
        <f t="shared" si="1"/>
        <v>3</v>
      </c>
      <c r="F70" s="10" t="str">
        <f t="shared" si="2"/>
        <v>Mar</v>
      </c>
      <c r="G70" s="11">
        <f t="shared" si="3"/>
        <v>29</v>
      </c>
      <c r="H70" s="7">
        <f t="shared" si="4"/>
        <v>2011</v>
      </c>
      <c r="I70" s="9">
        <v>40663.0</v>
      </c>
      <c r="J70" s="11">
        <f t="shared" si="5"/>
        <v>32</v>
      </c>
      <c r="K70" s="7" t="s">
        <v>322</v>
      </c>
      <c r="L70" s="7" t="s">
        <v>432</v>
      </c>
      <c r="M70" s="7" t="str">
        <f>VLOOKUP(L70,countries, 2,false)</f>
        <v>Latvia</v>
      </c>
      <c r="N70" s="7" t="str">
        <f>VLOOKUP(L70,countries, 4,false)</f>
        <v>Europe</v>
      </c>
      <c r="O70" s="7" t="str">
        <f>VLOOKUP(L70,countries, 5,false)</f>
        <v>Northern Europe</v>
      </c>
      <c r="P70" s="7" t="s">
        <v>129</v>
      </c>
      <c r="Q70" s="7">
        <v>5915.0</v>
      </c>
      <c r="R70" s="12">
        <v>81.73</v>
      </c>
      <c r="S70" s="12">
        <v>56.67</v>
      </c>
      <c r="T70" s="13">
        <f t="shared" si="6"/>
        <v>483432.95</v>
      </c>
      <c r="U70" s="13">
        <f t="shared" si="7"/>
        <v>7333.32</v>
      </c>
      <c r="V70" s="13">
        <f t="shared" si="8"/>
        <v>476099.63</v>
      </c>
      <c r="W70" s="14">
        <f>Q70/totals!B$2</f>
        <v>0.0008994113</v>
      </c>
      <c r="X70" s="14">
        <f t="shared" si="9"/>
        <v>0.05175606445</v>
      </c>
      <c r="Y70" s="14">
        <f>T70/totals!B$5</f>
        <v>0.0002840165663</v>
      </c>
      <c r="Z70" s="14">
        <f t="shared" si="10"/>
        <v>0.03870699078</v>
      </c>
      <c r="AA70" s="14">
        <f>V70/totals!B$4</f>
        <v>0.0009493311777</v>
      </c>
      <c r="AB70" s="14">
        <f t="shared" si="11"/>
        <v>0.04401071524</v>
      </c>
    </row>
    <row r="71">
      <c r="A71" s="7">
        <v>7331.0</v>
      </c>
      <c r="B71" s="7" t="str">
        <f>VLOOKUP($A71,product_category,2, False)</f>
        <v>Baby Food</v>
      </c>
      <c r="C71" s="7">
        <v>1.41764247E8</v>
      </c>
      <c r="D71" s="9">
        <v>41470.0</v>
      </c>
      <c r="E71" s="10">
        <f t="shared" si="1"/>
        <v>7</v>
      </c>
      <c r="F71" s="10" t="str">
        <f t="shared" si="2"/>
        <v>Jul</v>
      </c>
      <c r="G71" s="11">
        <f t="shared" si="3"/>
        <v>15</v>
      </c>
      <c r="H71" s="7">
        <f t="shared" si="4"/>
        <v>2013</v>
      </c>
      <c r="I71" s="9">
        <v>41515.0</v>
      </c>
      <c r="J71" s="11">
        <f t="shared" si="5"/>
        <v>45</v>
      </c>
      <c r="K71" s="7" t="s">
        <v>382</v>
      </c>
      <c r="L71" s="7" t="s">
        <v>56</v>
      </c>
      <c r="M71" s="7" t="str">
        <f>VLOOKUP(L71,countries, 2,false)</f>
        <v>Andorra</v>
      </c>
      <c r="N71" s="7" t="str">
        <f>VLOOKUP(L71,countries, 4,false)</f>
        <v>Europe</v>
      </c>
      <c r="O71" s="7" t="str">
        <f>VLOOKUP(L71,countries, 5,false)</f>
        <v>Southern Europe</v>
      </c>
      <c r="P71" s="7" t="s">
        <v>212</v>
      </c>
      <c r="Q71" s="7">
        <v>46.0</v>
      </c>
      <c r="R71" s="12">
        <v>255.28</v>
      </c>
      <c r="S71" s="12">
        <v>159.42</v>
      </c>
      <c r="T71" s="13">
        <f t="shared" si="6"/>
        <v>11742.88</v>
      </c>
      <c r="U71" s="13">
        <f t="shared" si="7"/>
        <v>154183.68</v>
      </c>
      <c r="V71" s="13">
        <f t="shared" si="8"/>
        <v>-142440.8</v>
      </c>
      <c r="W71" s="14">
        <f>Q71/totals!B$2</f>
        <v>0.000006994576466</v>
      </c>
      <c r="X71" s="14">
        <f t="shared" si="9"/>
        <v>0.05176305903</v>
      </c>
      <c r="Y71" s="14">
        <f>T71/totals!B$5</f>
        <v>0.000006898934913</v>
      </c>
      <c r="Z71" s="14">
        <f t="shared" si="10"/>
        <v>0.03871388971</v>
      </c>
      <c r="AA71" s="14">
        <f>V71/totals!B$4</f>
        <v>-0.0002840235192</v>
      </c>
      <c r="AB71" s="14">
        <f t="shared" si="11"/>
        <v>0.04372669172</v>
      </c>
    </row>
    <row r="72">
      <c r="A72" s="7">
        <v>2455.0</v>
      </c>
      <c r="B72" s="7" t="str">
        <f>VLOOKUP($A72,product_category,2, False)</f>
        <v>Clothes</v>
      </c>
      <c r="C72" s="7">
        <v>1.41846215E8</v>
      </c>
      <c r="D72" s="9">
        <v>41108.0</v>
      </c>
      <c r="E72" s="10">
        <f t="shared" si="1"/>
        <v>7</v>
      </c>
      <c r="F72" s="10" t="str">
        <f t="shared" si="2"/>
        <v>Jul</v>
      </c>
      <c r="G72" s="11">
        <f t="shared" si="3"/>
        <v>18</v>
      </c>
      <c r="H72" s="7">
        <f t="shared" si="4"/>
        <v>2012</v>
      </c>
      <c r="I72" s="9">
        <v>41137.0</v>
      </c>
      <c r="J72" s="11">
        <f t="shared" si="5"/>
        <v>29</v>
      </c>
      <c r="K72" s="7" t="s">
        <v>382</v>
      </c>
      <c r="L72" s="7" t="s">
        <v>304</v>
      </c>
      <c r="M72" s="7" t="str">
        <f>VLOOKUP(L72,countries, 2,false)</f>
        <v>Georgia</v>
      </c>
      <c r="N72" s="7" t="str">
        <f>VLOOKUP(L72,countries, 4,false)</f>
        <v>Asia</v>
      </c>
      <c r="O72" s="7" t="str">
        <f>VLOOKUP(L72,countries, 5,false)</f>
        <v>Western Asia</v>
      </c>
      <c r="P72" s="7" t="s">
        <v>129</v>
      </c>
      <c r="Q72" s="7">
        <v>4302.0</v>
      </c>
      <c r="R72" s="12">
        <v>109.28</v>
      </c>
      <c r="S72" s="12">
        <v>35.84</v>
      </c>
      <c r="T72" s="13">
        <f t="shared" si="6"/>
        <v>470122.56</v>
      </c>
      <c r="U72" s="13">
        <f t="shared" si="7"/>
        <v>1540285.1</v>
      </c>
      <c r="V72" s="13">
        <f t="shared" si="8"/>
        <v>-1070162.54</v>
      </c>
      <c r="W72" s="14">
        <f>Q72/totals!B$2</f>
        <v>0.0006541449556</v>
      </c>
      <c r="X72" s="14">
        <f t="shared" si="9"/>
        <v>0.05241720398</v>
      </c>
      <c r="Y72" s="14">
        <f>T72/totals!B$5</f>
        <v>0.0002761967203</v>
      </c>
      <c r="Z72" s="14">
        <f t="shared" si="10"/>
        <v>0.03899008644</v>
      </c>
      <c r="AA72" s="14">
        <f>V72/totals!B$4</f>
        <v>-0.00213387829</v>
      </c>
      <c r="AB72" s="14">
        <f t="shared" si="11"/>
        <v>0.04159281343</v>
      </c>
    </row>
    <row r="73">
      <c r="A73" s="7">
        <v>7940.0</v>
      </c>
      <c r="B73" s="7" t="str">
        <f>VLOOKUP($A73,product_category,2, False)</f>
        <v>Household</v>
      </c>
      <c r="C73" s="7">
        <v>1.41875827E8</v>
      </c>
      <c r="D73" s="9">
        <v>40615.0</v>
      </c>
      <c r="E73" s="10">
        <f t="shared" si="1"/>
        <v>3</v>
      </c>
      <c r="F73" s="10" t="str">
        <f t="shared" si="2"/>
        <v>Mar</v>
      </c>
      <c r="G73" s="11">
        <f t="shared" si="3"/>
        <v>13</v>
      </c>
      <c r="H73" s="7">
        <f t="shared" si="4"/>
        <v>2011</v>
      </c>
      <c r="I73" s="9">
        <v>40649.0</v>
      </c>
      <c r="J73" s="11">
        <f t="shared" si="5"/>
        <v>34</v>
      </c>
      <c r="K73" s="7" t="s">
        <v>198</v>
      </c>
      <c r="L73" s="7" t="s">
        <v>594</v>
      </c>
      <c r="M73" s="7" t="str">
        <f>VLOOKUP(L73,countries, 2,false)</f>
        <v>Poland</v>
      </c>
      <c r="N73" s="7" t="str">
        <f>VLOOKUP(L73,countries, 4,false)</f>
        <v>Europe</v>
      </c>
      <c r="O73" s="7" t="str">
        <f>VLOOKUP(L73,countries, 5,false)</f>
        <v>Eastern Europe</v>
      </c>
      <c r="P73" s="7" t="s">
        <v>129</v>
      </c>
      <c r="Q73" s="7">
        <v>3065.0</v>
      </c>
      <c r="R73" s="12">
        <v>668.27</v>
      </c>
      <c r="S73" s="12">
        <v>502.54</v>
      </c>
      <c r="T73" s="13">
        <f t="shared" si="6"/>
        <v>2048247.55</v>
      </c>
      <c r="U73" s="13">
        <f t="shared" si="7"/>
        <v>6144.96</v>
      </c>
      <c r="V73" s="13">
        <f t="shared" si="8"/>
        <v>2042102.59</v>
      </c>
      <c r="W73" s="14">
        <f>Q73/totals!B$2</f>
        <v>0.0004660516711</v>
      </c>
      <c r="X73" s="14">
        <f t="shared" si="9"/>
        <v>0.05288325565</v>
      </c>
      <c r="Y73" s="14">
        <f>T73/totals!B$5</f>
        <v>0.001203344199</v>
      </c>
      <c r="Z73" s="14">
        <f t="shared" si="10"/>
        <v>0.04019343063</v>
      </c>
      <c r="AA73" s="14">
        <f>V73/totals!B$4</f>
        <v>0.004071903305</v>
      </c>
      <c r="AB73" s="14">
        <f t="shared" si="11"/>
        <v>0.04566471674</v>
      </c>
    </row>
    <row r="74">
      <c r="A74" s="7">
        <v>4594.0</v>
      </c>
      <c r="B74" s="7" t="str">
        <f>VLOOKUP($A74,product_category,2, False)</f>
        <v>Fruits</v>
      </c>
      <c r="C74" s="7">
        <v>1.42375361E8</v>
      </c>
      <c r="D74" s="9">
        <v>41678.0</v>
      </c>
      <c r="E74" s="10">
        <f t="shared" si="1"/>
        <v>2</v>
      </c>
      <c r="F74" s="10" t="str">
        <f t="shared" si="2"/>
        <v>Feb</v>
      </c>
      <c r="G74" s="11">
        <f t="shared" si="3"/>
        <v>8</v>
      </c>
      <c r="H74" s="7">
        <f t="shared" si="4"/>
        <v>2014</v>
      </c>
      <c r="I74" s="9">
        <v>41689.0</v>
      </c>
      <c r="J74" s="11">
        <f t="shared" si="5"/>
        <v>11</v>
      </c>
      <c r="K74" s="7" t="s">
        <v>322</v>
      </c>
      <c r="L74" s="7" t="s">
        <v>448</v>
      </c>
      <c r="M74" s="7" t="str">
        <f>VLOOKUP(L74,countries, 2,false)</f>
        <v>Liechtenstein</v>
      </c>
      <c r="N74" s="7" t="str">
        <f>VLOOKUP(L74,countries, 4,false)</f>
        <v>Europe</v>
      </c>
      <c r="O74" s="7" t="str">
        <f>VLOOKUP(L74,countries, 5,false)</f>
        <v>Western Europe</v>
      </c>
      <c r="P74" s="7" t="s">
        <v>129</v>
      </c>
      <c r="Q74" s="7">
        <v>888.0</v>
      </c>
      <c r="R74" s="12">
        <v>9.33</v>
      </c>
      <c r="S74" s="12">
        <v>6.92</v>
      </c>
      <c r="T74" s="13">
        <f t="shared" si="6"/>
        <v>8285.04</v>
      </c>
      <c r="U74" s="13">
        <f t="shared" si="7"/>
        <v>1061364.48</v>
      </c>
      <c r="V74" s="13">
        <f t="shared" si="8"/>
        <v>-1053079.44</v>
      </c>
      <c r="W74" s="14">
        <f>Q74/totals!B$2</f>
        <v>0.000135025737</v>
      </c>
      <c r="X74" s="14">
        <f t="shared" si="9"/>
        <v>0.05301828139</v>
      </c>
      <c r="Y74" s="14">
        <f>T74/totals!B$5</f>
        <v>0.000004867456</v>
      </c>
      <c r="Z74" s="14">
        <f t="shared" si="10"/>
        <v>0.04019829809</v>
      </c>
      <c r="AA74" s="14">
        <f>V74/totals!B$4</f>
        <v>-0.002099815001</v>
      </c>
      <c r="AB74" s="14">
        <f t="shared" si="11"/>
        <v>0.04356490174</v>
      </c>
    </row>
    <row r="75">
      <c r="A75" s="7">
        <v>7940.0</v>
      </c>
      <c r="B75" s="7" t="str">
        <f>VLOOKUP($A75,product_category,2, False)</f>
        <v>Household</v>
      </c>
      <c r="C75" s="7">
        <v>1.42987763E8</v>
      </c>
      <c r="D75" s="9">
        <v>41504.0</v>
      </c>
      <c r="E75" s="10">
        <f t="shared" si="1"/>
        <v>8</v>
      </c>
      <c r="F75" s="10" t="str">
        <f t="shared" si="2"/>
        <v>Aug</v>
      </c>
      <c r="G75" s="11">
        <f t="shared" si="3"/>
        <v>18</v>
      </c>
      <c r="H75" s="7">
        <f t="shared" si="4"/>
        <v>2013</v>
      </c>
      <c r="I75" s="9">
        <v>41518.0</v>
      </c>
      <c r="J75" s="11">
        <f t="shared" si="5"/>
        <v>14</v>
      </c>
      <c r="K75" s="7" t="s">
        <v>322</v>
      </c>
      <c r="L75" s="7" t="s">
        <v>534</v>
      </c>
      <c r="M75" s="7" t="str">
        <f>VLOOKUP(L75,countries, 2,false)</f>
        <v>Netherlands</v>
      </c>
      <c r="N75" s="7" t="str">
        <f>VLOOKUP(L75,countries, 4,false)</f>
        <v>Europe</v>
      </c>
      <c r="O75" s="7" t="str">
        <f>VLOOKUP(L75,countries, 5,false)</f>
        <v>Western Europe</v>
      </c>
      <c r="P75" s="7" t="s">
        <v>212</v>
      </c>
      <c r="Q75" s="7">
        <v>2112.0</v>
      </c>
      <c r="R75" s="12">
        <v>668.27</v>
      </c>
      <c r="S75" s="12">
        <v>502.54</v>
      </c>
      <c r="T75" s="13">
        <f t="shared" si="6"/>
        <v>1411386.24</v>
      </c>
      <c r="U75" s="13">
        <f t="shared" si="7"/>
        <v>4258021.42</v>
      </c>
      <c r="V75" s="13">
        <f t="shared" si="8"/>
        <v>-2846635.18</v>
      </c>
      <c r="W75" s="14">
        <f>Q75/totals!B$2</f>
        <v>0.0003211422934</v>
      </c>
      <c r="X75" s="14">
        <f t="shared" si="9"/>
        <v>0.05333942368</v>
      </c>
      <c r="Y75" s="14">
        <f>T75/totals!B$5</f>
        <v>0.0008291885642</v>
      </c>
      <c r="Z75" s="14">
        <f t="shared" si="10"/>
        <v>0.04102748665</v>
      </c>
      <c r="AA75" s="14">
        <f>V75/totals!B$4</f>
        <v>-0.005676121882</v>
      </c>
      <c r="AB75" s="14">
        <f t="shared" si="11"/>
        <v>0.03788877986</v>
      </c>
    </row>
    <row r="76">
      <c r="A76" s="7">
        <v>7940.0</v>
      </c>
      <c r="B76" s="7" t="str">
        <f>VLOOKUP($A76,product_category,2, False)</f>
        <v>Household</v>
      </c>
      <c r="C76" s="7">
        <v>1.43414771E8</v>
      </c>
      <c r="D76" s="9">
        <v>41050.0</v>
      </c>
      <c r="E76" s="10">
        <f t="shared" si="1"/>
        <v>5</v>
      </c>
      <c r="F76" s="10" t="str">
        <f t="shared" si="2"/>
        <v>May</v>
      </c>
      <c r="G76" s="11">
        <f t="shared" si="3"/>
        <v>21</v>
      </c>
      <c r="H76" s="7">
        <f t="shared" si="4"/>
        <v>2012</v>
      </c>
      <c r="I76" s="9">
        <v>41063.0</v>
      </c>
      <c r="J76" s="11">
        <f t="shared" si="5"/>
        <v>13</v>
      </c>
      <c r="K76" s="7" t="s">
        <v>382</v>
      </c>
      <c r="L76" s="7" t="s">
        <v>383</v>
      </c>
      <c r="M76" s="7" t="str">
        <f>VLOOKUP(L76,countries, 2,false)</f>
        <v>Ireland</v>
      </c>
      <c r="N76" s="7" t="str">
        <f>VLOOKUP(L76,countries, 4,false)</f>
        <v>Europe</v>
      </c>
      <c r="O76" s="7" t="str">
        <f>VLOOKUP(L76,countries, 5,false)</f>
        <v>Northern Europe</v>
      </c>
      <c r="P76" s="7" t="s">
        <v>212</v>
      </c>
      <c r="Q76" s="7">
        <v>8473.0</v>
      </c>
      <c r="R76" s="12">
        <v>668.27</v>
      </c>
      <c r="S76" s="12">
        <v>502.54</v>
      </c>
      <c r="T76" s="13">
        <f t="shared" si="6"/>
        <v>5662251.71</v>
      </c>
      <c r="U76" s="13">
        <f t="shared" si="7"/>
        <v>630754.46</v>
      </c>
      <c r="V76" s="13">
        <f t="shared" si="8"/>
        <v>5031497.25</v>
      </c>
      <c r="W76" s="14">
        <f>Q76/totals!B$2</f>
        <v>0.001288370574</v>
      </c>
      <c r="X76" s="14">
        <f t="shared" si="9"/>
        <v>0.05462779426</v>
      </c>
      <c r="Y76" s="14">
        <f>T76/totals!B$5</f>
        <v>0.003326569462</v>
      </c>
      <c r="Z76" s="14">
        <f t="shared" si="10"/>
        <v>0.04435405612</v>
      </c>
      <c r="AA76" s="14">
        <f>V76/totals!B$4</f>
        <v>0.01003268415</v>
      </c>
      <c r="AB76" s="14">
        <f t="shared" si="11"/>
        <v>0.047921464</v>
      </c>
    </row>
    <row r="77">
      <c r="A77" s="7">
        <v>2103.0</v>
      </c>
      <c r="B77" s="7" t="str">
        <f>VLOOKUP($A77,product_category,2, False)</f>
        <v>Cereal</v>
      </c>
      <c r="C77" s="7">
        <v>1.44282948E8</v>
      </c>
      <c r="D77" s="9">
        <v>41468.0</v>
      </c>
      <c r="E77" s="10">
        <f t="shared" si="1"/>
        <v>7</v>
      </c>
      <c r="F77" s="10" t="str">
        <f t="shared" si="2"/>
        <v>Jul</v>
      </c>
      <c r="G77" s="11">
        <f t="shared" si="3"/>
        <v>13</v>
      </c>
      <c r="H77" s="7">
        <f t="shared" si="4"/>
        <v>2013</v>
      </c>
      <c r="I77" s="9">
        <v>41487.0</v>
      </c>
      <c r="J77" s="11">
        <f t="shared" si="5"/>
        <v>19</v>
      </c>
      <c r="K77" s="7" t="s">
        <v>382</v>
      </c>
      <c r="L77" s="7" t="s">
        <v>283</v>
      </c>
      <c r="M77" s="7" t="str">
        <f>VLOOKUP(L77,countries, 2,false)</f>
        <v>Finland</v>
      </c>
      <c r="N77" s="7" t="str">
        <f>VLOOKUP(L77,countries, 4,false)</f>
        <v>Europe</v>
      </c>
      <c r="O77" s="7" t="str">
        <f>VLOOKUP(L77,countries, 5,false)</f>
        <v>Northern Europe</v>
      </c>
      <c r="P77" s="7" t="s">
        <v>129</v>
      </c>
      <c r="Q77" s="7">
        <v>5386.0</v>
      </c>
      <c r="R77" s="12">
        <v>205.7</v>
      </c>
      <c r="S77" s="12">
        <v>117.11</v>
      </c>
      <c r="T77" s="13">
        <f t="shared" si="6"/>
        <v>1107900.2</v>
      </c>
      <c r="U77" s="13">
        <f t="shared" si="7"/>
        <v>243115.5</v>
      </c>
      <c r="V77" s="13">
        <f t="shared" si="8"/>
        <v>864784.7</v>
      </c>
      <c r="W77" s="14">
        <f>Q77/totals!B$2</f>
        <v>0.0008189736706</v>
      </c>
      <c r="X77" s="14">
        <f t="shared" si="9"/>
        <v>0.05544676793</v>
      </c>
      <c r="Y77" s="14">
        <f>T77/totals!B$5</f>
        <v>0.0006508906988</v>
      </c>
      <c r="Z77" s="14">
        <f t="shared" si="10"/>
        <v>0.04500494682</v>
      </c>
      <c r="AA77" s="14">
        <f>V77/totals!B$4</f>
        <v>0.001724359831</v>
      </c>
      <c r="AB77" s="14">
        <f t="shared" si="11"/>
        <v>0.04964582383</v>
      </c>
    </row>
    <row r="78">
      <c r="A78" s="7">
        <v>7331.0</v>
      </c>
      <c r="B78" s="7" t="str">
        <f>VLOOKUP($A78,product_category,2, False)</f>
        <v>Baby Food</v>
      </c>
      <c r="C78" s="7">
        <v>1.44743001E8</v>
      </c>
      <c r="D78" s="9">
        <v>41345.0</v>
      </c>
      <c r="E78" s="10">
        <f t="shared" si="1"/>
        <v>3</v>
      </c>
      <c r="F78" s="10" t="str">
        <f t="shared" si="2"/>
        <v>Mar</v>
      </c>
      <c r="G78" s="11">
        <f t="shared" si="3"/>
        <v>12</v>
      </c>
      <c r="H78" s="7">
        <f t="shared" si="4"/>
        <v>2013</v>
      </c>
      <c r="I78" s="9">
        <v>41385.0</v>
      </c>
      <c r="J78" s="11">
        <f t="shared" si="5"/>
        <v>40</v>
      </c>
      <c r="K78" s="7" t="s">
        <v>110</v>
      </c>
      <c r="L78" s="7" t="s">
        <v>670</v>
      </c>
      <c r="M78" s="7" t="str">
        <f>VLOOKUP(L78,countries, 2,false)</f>
        <v>Slovenia</v>
      </c>
      <c r="N78" s="7" t="str">
        <f>VLOOKUP(L78,countries, 4,false)</f>
        <v>Europe</v>
      </c>
      <c r="O78" s="7" t="str">
        <f>VLOOKUP(L78,countries, 5,false)</f>
        <v>Southern Europe</v>
      </c>
      <c r="P78" s="7" t="s">
        <v>212</v>
      </c>
      <c r="Q78" s="7">
        <v>1525.0</v>
      </c>
      <c r="R78" s="12">
        <v>255.28</v>
      </c>
      <c r="S78" s="12">
        <v>159.42</v>
      </c>
      <c r="T78" s="13">
        <f t="shared" si="6"/>
        <v>389302</v>
      </c>
      <c r="U78" s="13">
        <f t="shared" si="7"/>
        <v>654100.16</v>
      </c>
      <c r="V78" s="13">
        <f t="shared" si="8"/>
        <v>-264798.16</v>
      </c>
      <c r="W78" s="14">
        <f>Q78/totals!B$2</f>
        <v>0.0002318854155</v>
      </c>
      <c r="X78" s="14">
        <f t="shared" si="9"/>
        <v>0.05567865334</v>
      </c>
      <c r="Y78" s="14">
        <f>T78/totals!B$5</f>
        <v>0.00022871469</v>
      </c>
      <c r="Z78" s="14">
        <f t="shared" si="10"/>
        <v>0.04523366151</v>
      </c>
      <c r="AA78" s="14">
        <f>V78/totals!B$4</f>
        <v>-0.0005280011435</v>
      </c>
      <c r="AB78" s="14">
        <f t="shared" si="11"/>
        <v>0.04911782269</v>
      </c>
    </row>
    <row r="79">
      <c r="A79" s="7">
        <v>8681.0</v>
      </c>
      <c r="B79" s="7" t="str">
        <f>VLOOKUP($A79,product_category,2, False)</f>
        <v>Office Supplies</v>
      </c>
      <c r="C79" s="7">
        <v>1.44978606E8</v>
      </c>
      <c r="D79" s="9">
        <v>40549.0</v>
      </c>
      <c r="E79" s="10">
        <f t="shared" si="1"/>
        <v>1</v>
      </c>
      <c r="F79" s="10" t="str">
        <f t="shared" si="2"/>
        <v>Jan</v>
      </c>
      <c r="G79" s="11">
        <f t="shared" si="3"/>
        <v>6</v>
      </c>
      <c r="H79" s="7">
        <f t="shared" si="4"/>
        <v>2011</v>
      </c>
      <c r="I79" s="9">
        <v>40593.0</v>
      </c>
      <c r="J79" s="11">
        <f t="shared" si="5"/>
        <v>44</v>
      </c>
      <c r="K79" s="7" t="s">
        <v>198</v>
      </c>
      <c r="L79" s="7" t="s">
        <v>383</v>
      </c>
      <c r="M79" s="7" t="str">
        <f>VLOOKUP(L79,countries, 2,false)</f>
        <v>Ireland</v>
      </c>
      <c r="N79" s="7" t="str">
        <f>VLOOKUP(L79,countries, 4,false)</f>
        <v>Europe</v>
      </c>
      <c r="O79" s="7" t="str">
        <f>VLOOKUP(L79,countries, 5,false)</f>
        <v>Northern Europe</v>
      </c>
      <c r="P79" s="7" t="s">
        <v>129</v>
      </c>
      <c r="Q79" s="7">
        <v>1246.0</v>
      </c>
      <c r="R79" s="12">
        <v>651.21</v>
      </c>
      <c r="S79" s="12">
        <v>524.96</v>
      </c>
      <c r="T79" s="13">
        <f t="shared" si="6"/>
        <v>811407.66</v>
      </c>
      <c r="U79" s="13">
        <f t="shared" si="7"/>
        <v>636419.07</v>
      </c>
      <c r="V79" s="13">
        <f t="shared" si="8"/>
        <v>174988.59</v>
      </c>
      <c r="W79" s="14">
        <f>Q79/totals!B$2</f>
        <v>0.0001894617886</v>
      </c>
      <c r="X79" s="14">
        <f t="shared" si="9"/>
        <v>0.05586811513</v>
      </c>
      <c r="Y79" s="14">
        <f>T79/totals!B$5</f>
        <v>0.0004767015105</v>
      </c>
      <c r="Z79" s="14">
        <f t="shared" si="10"/>
        <v>0.04571036302</v>
      </c>
      <c r="AA79" s="14">
        <f>V79/totals!B$4</f>
        <v>0.0003489230274</v>
      </c>
      <c r="AB79" s="14">
        <f t="shared" si="11"/>
        <v>0.04946674572</v>
      </c>
    </row>
    <row r="80">
      <c r="A80" s="7">
        <v>5988.0</v>
      </c>
      <c r="B80" s="7" t="str">
        <f>VLOOKUP($A80,product_category,2, False)</f>
        <v>Vegetables</v>
      </c>
      <c r="C80" s="7">
        <v>1.46349751E8</v>
      </c>
      <c r="D80" s="9">
        <v>42856.0</v>
      </c>
      <c r="E80" s="10">
        <f t="shared" si="1"/>
        <v>5</v>
      </c>
      <c r="F80" s="10" t="str">
        <f t="shared" si="2"/>
        <v>May</v>
      </c>
      <c r="G80" s="11">
        <f t="shared" si="3"/>
        <v>1</v>
      </c>
      <c r="H80" s="7">
        <f t="shared" si="4"/>
        <v>2017</v>
      </c>
      <c r="I80" s="9">
        <v>42899.0</v>
      </c>
      <c r="J80" s="11">
        <f t="shared" si="5"/>
        <v>43</v>
      </c>
      <c r="K80" s="7" t="s">
        <v>110</v>
      </c>
      <c r="L80" s="7" t="s">
        <v>451</v>
      </c>
      <c r="M80" s="7" t="str">
        <f>VLOOKUP(L80,countries, 2,false)</f>
        <v>Lithuania</v>
      </c>
      <c r="N80" s="7" t="str">
        <f>VLOOKUP(L80,countries, 4,false)</f>
        <v>Europe</v>
      </c>
      <c r="O80" s="7" t="str">
        <f>VLOOKUP(L80,countries, 5,false)</f>
        <v>Northern Europe</v>
      </c>
      <c r="P80" s="7" t="s">
        <v>129</v>
      </c>
      <c r="Q80" s="7">
        <v>6999.0</v>
      </c>
      <c r="R80" s="12">
        <v>154.06</v>
      </c>
      <c r="S80" s="12">
        <v>90.93</v>
      </c>
      <c r="T80" s="13">
        <f t="shared" si="6"/>
        <v>1078265.94</v>
      </c>
      <c r="U80" s="13">
        <f t="shared" si="7"/>
        <v>1326129.88</v>
      </c>
      <c r="V80" s="13">
        <f t="shared" si="8"/>
        <v>-247863.94</v>
      </c>
      <c r="W80" s="14">
        <f>Q80/totals!B$2</f>
        <v>0.001064240015</v>
      </c>
      <c r="X80" s="14">
        <f t="shared" si="9"/>
        <v>0.05693235515</v>
      </c>
      <c r="Y80" s="14">
        <f>T80/totals!B$5</f>
        <v>0.000633480589</v>
      </c>
      <c r="Z80" s="14">
        <f t="shared" si="10"/>
        <v>0.04634384361</v>
      </c>
      <c r="AA80" s="14">
        <f>V80/totals!B$4</f>
        <v>-0.0004942347173</v>
      </c>
      <c r="AB80" s="14">
        <f t="shared" si="11"/>
        <v>0.048972511</v>
      </c>
    </row>
    <row r="81">
      <c r="A81" s="7">
        <v>8293.0</v>
      </c>
      <c r="B81" s="7" t="str">
        <f>VLOOKUP($A81,product_category,2, False)</f>
        <v>Cosmetics</v>
      </c>
      <c r="C81" s="7">
        <v>1.46545875E8</v>
      </c>
      <c r="D81" s="9">
        <v>40874.0</v>
      </c>
      <c r="E81" s="10">
        <f t="shared" si="1"/>
        <v>11</v>
      </c>
      <c r="F81" s="10" t="str">
        <f t="shared" si="2"/>
        <v>Nov</v>
      </c>
      <c r="G81" s="11">
        <f t="shared" si="3"/>
        <v>27</v>
      </c>
      <c r="H81" s="7">
        <f t="shared" si="4"/>
        <v>2011</v>
      </c>
      <c r="I81" s="9">
        <v>40915.0</v>
      </c>
      <c r="J81" s="11">
        <f t="shared" si="5"/>
        <v>41</v>
      </c>
      <c r="K81" s="7" t="s">
        <v>110</v>
      </c>
      <c r="L81" s="7" t="s">
        <v>439</v>
      </c>
      <c r="M81" s="7" t="str">
        <f>VLOOKUP(L81,countries, 2,false)</f>
        <v>Slovakia</v>
      </c>
      <c r="N81" s="7" t="str">
        <f>VLOOKUP(L81,countries, 4,false)</f>
        <v>Europe</v>
      </c>
      <c r="O81" s="7" t="str">
        <f>VLOOKUP(L81,countries, 5,false)</f>
        <v>Eastern Europe</v>
      </c>
      <c r="P81" s="7" t="s">
        <v>212</v>
      </c>
      <c r="Q81" s="7">
        <v>5036.0</v>
      </c>
      <c r="R81" s="12">
        <v>437.2</v>
      </c>
      <c r="S81" s="12">
        <v>263.33</v>
      </c>
      <c r="T81" s="13">
        <f t="shared" si="6"/>
        <v>2201739.2</v>
      </c>
      <c r="U81" s="13">
        <f t="shared" si="7"/>
        <v>1084656.27</v>
      </c>
      <c r="V81" s="13">
        <f t="shared" si="8"/>
        <v>1117082.93</v>
      </c>
      <c r="W81" s="14">
        <f>Q81/totals!B$2</f>
        <v>0.000765754067</v>
      </c>
      <c r="X81" s="14">
        <f t="shared" si="9"/>
        <v>0.05769810921</v>
      </c>
      <c r="Y81" s="14">
        <f>T81/totals!B$5</f>
        <v>0.001293520451</v>
      </c>
      <c r="Z81" s="14">
        <f t="shared" si="10"/>
        <v>0.04763736406</v>
      </c>
      <c r="AA81" s="14">
        <f>V81/totals!B$4</f>
        <v>0.002227436416</v>
      </c>
      <c r="AB81" s="14">
        <f t="shared" si="11"/>
        <v>0.05119994742</v>
      </c>
    </row>
    <row r="82">
      <c r="A82" s="7">
        <v>8293.0</v>
      </c>
      <c r="B82" s="7" t="str">
        <f>VLOOKUP($A82,product_category,2, False)</f>
        <v>Cosmetics</v>
      </c>
      <c r="C82" s="7">
        <v>1.47826898E8</v>
      </c>
      <c r="D82" s="9">
        <v>42276.0</v>
      </c>
      <c r="E82" s="10">
        <f t="shared" si="1"/>
        <v>9</v>
      </c>
      <c r="F82" s="10" t="str">
        <f t="shared" si="2"/>
        <v>Sep</v>
      </c>
      <c r="G82" s="11">
        <f t="shared" si="3"/>
        <v>29</v>
      </c>
      <c r="H82" s="7">
        <f t="shared" si="4"/>
        <v>2015</v>
      </c>
      <c r="I82" s="9">
        <v>42313.0</v>
      </c>
      <c r="J82" s="11">
        <f t="shared" si="5"/>
        <v>37</v>
      </c>
      <c r="K82" s="7" t="s">
        <v>110</v>
      </c>
      <c r="L82" s="7" t="s">
        <v>113</v>
      </c>
      <c r="M82" s="7" t="str">
        <f>VLOOKUP(L82,countries, 2,false)</f>
        <v>Belgium</v>
      </c>
      <c r="N82" s="7" t="str">
        <f>VLOOKUP(L82,countries, 4,false)</f>
        <v>Europe</v>
      </c>
      <c r="O82" s="7" t="str">
        <f>VLOOKUP(L82,countries, 5,false)</f>
        <v>Western Europe</v>
      </c>
      <c r="P82" s="7" t="s">
        <v>129</v>
      </c>
      <c r="Q82" s="7">
        <v>4119.0</v>
      </c>
      <c r="R82" s="12">
        <v>437.2</v>
      </c>
      <c r="S82" s="12">
        <v>263.33</v>
      </c>
      <c r="T82" s="13">
        <f t="shared" si="6"/>
        <v>1800826.8</v>
      </c>
      <c r="U82" s="13">
        <f t="shared" si="7"/>
        <v>44621.6</v>
      </c>
      <c r="V82" s="13">
        <f t="shared" si="8"/>
        <v>1756205.2</v>
      </c>
      <c r="W82" s="14">
        <f>Q82/totals!B$2</f>
        <v>0.0006263187057</v>
      </c>
      <c r="X82" s="14">
        <f t="shared" si="9"/>
        <v>0.05832442792</v>
      </c>
      <c r="Y82" s="14">
        <f>T82/totals!B$5</f>
        <v>0.001057984658</v>
      </c>
      <c r="Z82" s="14">
        <f t="shared" si="10"/>
        <v>0.04869534871</v>
      </c>
      <c r="AA82" s="14">
        <f>V82/totals!B$4</f>
        <v>0.003501830805</v>
      </c>
      <c r="AB82" s="14">
        <f t="shared" si="11"/>
        <v>0.05470177822</v>
      </c>
    </row>
    <row r="83">
      <c r="A83" s="7">
        <v>8681.0</v>
      </c>
      <c r="B83" s="7" t="str">
        <f>VLOOKUP($A83,product_category,2, False)</f>
        <v>Office Supplies</v>
      </c>
      <c r="C83" s="7">
        <v>1.48894631E8</v>
      </c>
      <c r="D83" s="9">
        <v>41536.0</v>
      </c>
      <c r="E83" s="10">
        <f t="shared" si="1"/>
        <v>9</v>
      </c>
      <c r="F83" s="10" t="str">
        <f t="shared" si="2"/>
        <v>Sep</v>
      </c>
      <c r="G83" s="11">
        <f t="shared" si="3"/>
        <v>19</v>
      </c>
      <c r="H83" s="7">
        <f t="shared" si="4"/>
        <v>2013</v>
      </c>
      <c r="I83" s="9">
        <v>41542.0</v>
      </c>
      <c r="J83" s="11">
        <f t="shared" si="5"/>
        <v>6</v>
      </c>
      <c r="K83" s="7" t="s">
        <v>382</v>
      </c>
      <c r="L83" s="7" t="s">
        <v>594</v>
      </c>
      <c r="M83" s="7" t="str">
        <f>VLOOKUP(L83,countries, 2,false)</f>
        <v>Poland</v>
      </c>
      <c r="N83" s="7" t="str">
        <f>VLOOKUP(L83,countries, 4,false)</f>
        <v>Europe</v>
      </c>
      <c r="O83" s="7" t="str">
        <f>VLOOKUP(L83,countries, 5,false)</f>
        <v>Eastern Europe</v>
      </c>
      <c r="P83" s="7" t="s">
        <v>129</v>
      </c>
      <c r="Q83" s="7">
        <v>85.0</v>
      </c>
      <c r="R83" s="12">
        <v>651.21</v>
      </c>
      <c r="S83" s="12">
        <v>524.96</v>
      </c>
      <c r="T83" s="13">
        <f t="shared" si="6"/>
        <v>55352.85</v>
      </c>
      <c r="U83" s="13">
        <f t="shared" si="7"/>
        <v>1180969</v>
      </c>
      <c r="V83" s="13">
        <f t="shared" si="8"/>
        <v>-1125616.15</v>
      </c>
      <c r="W83" s="14">
        <f>Q83/totals!B$2</f>
        <v>0.00001292476086</v>
      </c>
      <c r="X83" s="14">
        <f t="shared" si="9"/>
        <v>0.05833735268</v>
      </c>
      <c r="Y83" s="14">
        <f>T83/totals!B$5</f>
        <v>0.00003251976597</v>
      </c>
      <c r="Z83" s="14">
        <f t="shared" si="10"/>
        <v>0.04872786848</v>
      </c>
      <c r="AA83" s="14">
        <f>V83/totals!B$4</f>
        <v>-0.002244451451</v>
      </c>
      <c r="AB83" s="14">
        <f t="shared" si="11"/>
        <v>0.05245732677</v>
      </c>
    </row>
    <row r="84">
      <c r="A84" s="7">
        <v>7940.0</v>
      </c>
      <c r="B84" s="7" t="str">
        <f>VLOOKUP($A84,product_category,2, False)</f>
        <v>Household</v>
      </c>
      <c r="C84" s="7">
        <v>1.49274003E8</v>
      </c>
      <c r="D84" s="9">
        <v>41393.0</v>
      </c>
      <c r="E84" s="10">
        <f t="shared" si="1"/>
        <v>4</v>
      </c>
      <c r="F84" s="10" t="str">
        <f t="shared" si="2"/>
        <v>Apr</v>
      </c>
      <c r="G84" s="11">
        <f t="shared" si="3"/>
        <v>29</v>
      </c>
      <c r="H84" s="7">
        <f t="shared" si="4"/>
        <v>2013</v>
      </c>
      <c r="I84" s="9">
        <v>41423.0</v>
      </c>
      <c r="J84" s="11">
        <f t="shared" si="5"/>
        <v>30</v>
      </c>
      <c r="K84" s="7" t="s">
        <v>198</v>
      </c>
      <c r="L84" s="7" t="s">
        <v>111</v>
      </c>
      <c r="M84" s="7" t="str">
        <f>VLOOKUP(L84,countries, 2,false)</f>
        <v>Norway</v>
      </c>
      <c r="N84" s="7" t="str">
        <f>VLOOKUP(L84,countries, 4,false)</f>
        <v>Europe</v>
      </c>
      <c r="O84" s="7" t="str">
        <f>VLOOKUP(L84,countries, 5,false)</f>
        <v>Northern Europe</v>
      </c>
      <c r="P84" s="7" t="s">
        <v>212</v>
      </c>
      <c r="Q84" s="7">
        <v>2350.0</v>
      </c>
      <c r="R84" s="12">
        <v>668.27</v>
      </c>
      <c r="S84" s="12">
        <v>502.54</v>
      </c>
      <c r="T84" s="13">
        <f t="shared" si="6"/>
        <v>1570434.5</v>
      </c>
      <c r="U84" s="13">
        <f t="shared" si="7"/>
        <v>2081466.4</v>
      </c>
      <c r="V84" s="13">
        <f t="shared" si="8"/>
        <v>-511031.9</v>
      </c>
      <c r="W84" s="14">
        <f>Q84/totals!B$2</f>
        <v>0.0003573316238</v>
      </c>
      <c r="X84" s="14">
        <f t="shared" si="9"/>
        <v>0.0586946843</v>
      </c>
      <c r="Y84" s="14">
        <f>T84/totals!B$5</f>
        <v>0.0009226293209</v>
      </c>
      <c r="Z84" s="14">
        <f t="shared" si="10"/>
        <v>0.0496504978</v>
      </c>
      <c r="AA84" s="14">
        <f>V84/totals!B$4</f>
        <v>-0.001018985281</v>
      </c>
      <c r="AB84" s="14">
        <f t="shared" si="11"/>
        <v>0.05143834149</v>
      </c>
    </row>
    <row r="85">
      <c r="A85" s="7">
        <v>8681.0</v>
      </c>
      <c r="B85" s="7" t="str">
        <f>VLOOKUP($A85,product_category,2, False)</f>
        <v>Office Supplies</v>
      </c>
      <c r="C85" s="7">
        <v>1.50293242E8</v>
      </c>
      <c r="D85" s="9">
        <v>42143.0</v>
      </c>
      <c r="E85" s="10">
        <f t="shared" si="1"/>
        <v>5</v>
      </c>
      <c r="F85" s="10" t="str">
        <f t="shared" si="2"/>
        <v>May</v>
      </c>
      <c r="G85" s="11">
        <f t="shared" si="3"/>
        <v>19</v>
      </c>
      <c r="H85" s="7">
        <f t="shared" si="4"/>
        <v>2015</v>
      </c>
      <c r="I85" s="9">
        <v>42176.0</v>
      </c>
      <c r="J85" s="11">
        <f t="shared" si="5"/>
        <v>33</v>
      </c>
      <c r="K85" s="7" t="s">
        <v>382</v>
      </c>
      <c r="L85" s="7" t="e">
        <v>#N/A</v>
      </c>
      <c r="M85" s="7"/>
      <c r="N85" s="7"/>
      <c r="O85" s="7"/>
      <c r="P85" s="7" t="s">
        <v>212</v>
      </c>
      <c r="Q85" s="7">
        <v>3965.0</v>
      </c>
      <c r="R85" s="12">
        <v>651.21</v>
      </c>
      <c r="S85" s="12">
        <v>524.96</v>
      </c>
      <c r="T85" s="13">
        <f t="shared" si="6"/>
        <v>2582047.65</v>
      </c>
      <c r="U85" s="13">
        <f t="shared" si="7"/>
        <v>1469644.73</v>
      </c>
      <c r="V85" s="13">
        <f t="shared" si="8"/>
        <v>1112402.92</v>
      </c>
      <c r="W85" s="14">
        <f>Q85/totals!B$2</f>
        <v>0.0006029020802</v>
      </c>
      <c r="X85" s="14">
        <f t="shared" si="9"/>
        <v>0.05929758638</v>
      </c>
      <c r="Y85" s="14">
        <f>T85/totals!B$5</f>
        <v>0.001516951436</v>
      </c>
      <c r="Z85" s="14">
        <f t="shared" si="10"/>
        <v>0.05116744924</v>
      </c>
      <c r="AA85" s="14">
        <f>V85/totals!B$4</f>
        <v>0.002218104589</v>
      </c>
      <c r="AB85" s="14">
        <f t="shared" si="11"/>
        <v>0.05365644608</v>
      </c>
    </row>
    <row r="86">
      <c r="A86" s="7">
        <v>8293.0</v>
      </c>
      <c r="B86" s="7" t="str">
        <f>VLOOKUP($A86,product_category,2, False)</f>
        <v>Cosmetics</v>
      </c>
      <c r="C86" s="7">
        <v>1.51312482E8</v>
      </c>
      <c r="D86" s="9">
        <v>42892.0</v>
      </c>
      <c r="E86" s="10">
        <f t="shared" si="1"/>
        <v>6</v>
      </c>
      <c r="F86" s="10" t="str">
        <f t="shared" si="2"/>
        <v>Jun</v>
      </c>
      <c r="G86" s="11">
        <f t="shared" si="3"/>
        <v>6</v>
      </c>
      <c r="H86" s="7">
        <f t="shared" si="4"/>
        <v>2017</v>
      </c>
      <c r="I86" s="9">
        <v>42928.0</v>
      </c>
      <c r="J86" s="11">
        <f t="shared" si="5"/>
        <v>36</v>
      </c>
      <c r="K86" s="7" t="s">
        <v>382</v>
      </c>
      <c r="L86" s="7" t="s">
        <v>234</v>
      </c>
      <c r="M86" s="7" t="str">
        <f>VLOOKUP(L86,countries, 2,false)</f>
        <v>Czech Republic</v>
      </c>
      <c r="N86" s="7" t="str">
        <f>VLOOKUP(L86,countries, 4,false)</f>
        <v>Europe</v>
      </c>
      <c r="O86" s="7" t="str">
        <f>VLOOKUP(L86,countries, 5,false)</f>
        <v>Eastern Europe</v>
      </c>
      <c r="P86" s="7" t="s">
        <v>129</v>
      </c>
      <c r="Q86" s="7">
        <v>5581.0</v>
      </c>
      <c r="R86" s="12">
        <v>437.2</v>
      </c>
      <c r="S86" s="12">
        <v>263.33</v>
      </c>
      <c r="T86" s="13">
        <f t="shared" si="6"/>
        <v>2440013.2</v>
      </c>
      <c r="U86" s="13">
        <f t="shared" si="7"/>
        <v>903751.98</v>
      </c>
      <c r="V86" s="13">
        <f t="shared" si="8"/>
        <v>1536261.22</v>
      </c>
      <c r="W86" s="14">
        <f>Q86/totals!B$2</f>
        <v>0.0008486245926</v>
      </c>
      <c r="X86" s="14">
        <f t="shared" si="9"/>
        <v>0.06014621098</v>
      </c>
      <c r="Y86" s="14">
        <f>T86/totals!B$5</f>
        <v>0.001433506282</v>
      </c>
      <c r="Z86" s="14">
        <f t="shared" si="10"/>
        <v>0.05260095552</v>
      </c>
      <c r="AA86" s="14">
        <f>V86/totals!B$4</f>
        <v>0.003063267815</v>
      </c>
      <c r="AB86" s="14">
        <f t="shared" si="11"/>
        <v>0.05671971389</v>
      </c>
    </row>
    <row r="87">
      <c r="A87" s="7">
        <v>7331.0</v>
      </c>
      <c r="B87" s="7" t="str">
        <f>VLOOKUP($A87,product_category,2, False)</f>
        <v>Baby Food</v>
      </c>
      <c r="C87" s="7">
        <v>1.52191388E8</v>
      </c>
      <c r="D87" s="9">
        <v>41047.0</v>
      </c>
      <c r="E87" s="10">
        <f t="shared" si="1"/>
        <v>5</v>
      </c>
      <c r="F87" s="10" t="str">
        <f t="shared" si="2"/>
        <v>May</v>
      </c>
      <c r="G87" s="11">
        <f t="shared" si="3"/>
        <v>18</v>
      </c>
      <c r="H87" s="7">
        <f t="shared" si="4"/>
        <v>2012</v>
      </c>
      <c r="I87" s="9">
        <v>41082.0</v>
      </c>
      <c r="J87" s="11">
        <f t="shared" si="5"/>
        <v>35</v>
      </c>
      <c r="K87" s="7" t="s">
        <v>322</v>
      </c>
      <c r="L87" s="7" t="s">
        <v>28</v>
      </c>
      <c r="M87" s="7" t="str">
        <f>VLOOKUP(L87,countries, 2,false)</f>
        <v>Albania</v>
      </c>
      <c r="N87" s="7" t="str">
        <f>VLOOKUP(L87,countries, 4,false)</f>
        <v>Europe</v>
      </c>
      <c r="O87" s="7" t="str">
        <f>VLOOKUP(L87,countries, 5,false)</f>
        <v>Southern Europe</v>
      </c>
      <c r="P87" s="7" t="s">
        <v>212</v>
      </c>
      <c r="Q87" s="7">
        <v>5669.0</v>
      </c>
      <c r="R87" s="12">
        <v>255.28</v>
      </c>
      <c r="S87" s="12">
        <v>159.42</v>
      </c>
      <c r="T87" s="13">
        <f t="shared" si="6"/>
        <v>1447182.32</v>
      </c>
      <c r="U87" s="13">
        <f t="shared" si="7"/>
        <v>252000.79</v>
      </c>
      <c r="V87" s="13">
        <f t="shared" si="8"/>
        <v>1195181.53</v>
      </c>
      <c r="W87" s="14">
        <f>Q87/totals!B$2</f>
        <v>0.0008620055215</v>
      </c>
      <c r="X87" s="14">
        <f t="shared" si="9"/>
        <v>0.0610082165</v>
      </c>
      <c r="Y87" s="14">
        <f>T87/totals!B$5</f>
        <v>0.0008502187396</v>
      </c>
      <c r="Z87" s="14">
        <f t="shared" si="10"/>
        <v>0.05345117426</v>
      </c>
      <c r="AA87" s="14">
        <f>V87/totals!B$4</f>
        <v>0.00238316314</v>
      </c>
      <c r="AB87" s="14">
        <f t="shared" si="11"/>
        <v>0.05910287703</v>
      </c>
    </row>
    <row r="88">
      <c r="A88" s="7">
        <v>8875.0</v>
      </c>
      <c r="B88" s="7" t="str">
        <f>VLOOKUP($A88,product_category,2, False)</f>
        <v>Meat</v>
      </c>
      <c r="C88" s="7">
        <v>1.52411115E8</v>
      </c>
      <c r="D88" s="9">
        <v>41278.0</v>
      </c>
      <c r="E88" s="10">
        <f t="shared" si="1"/>
        <v>1</v>
      </c>
      <c r="F88" s="10" t="str">
        <f t="shared" si="2"/>
        <v>Jan</v>
      </c>
      <c r="G88" s="11">
        <f t="shared" si="3"/>
        <v>4</v>
      </c>
      <c r="H88" s="7">
        <f t="shared" si="4"/>
        <v>2013</v>
      </c>
      <c r="I88" s="9">
        <v>41326.0</v>
      </c>
      <c r="J88" s="11">
        <f t="shared" si="5"/>
        <v>48</v>
      </c>
      <c r="K88" s="7" t="s">
        <v>382</v>
      </c>
      <c r="L88" s="7" t="s">
        <v>702</v>
      </c>
      <c r="M88" s="7" t="str">
        <f>VLOOKUP(L88,countries, 2,false)</f>
        <v>Sweden</v>
      </c>
      <c r="N88" s="7" t="str">
        <f>VLOOKUP(L88,countries, 4,false)</f>
        <v>Europe</v>
      </c>
      <c r="O88" s="7" t="str">
        <f>VLOOKUP(L88,countries, 5,false)</f>
        <v>Northern Europe</v>
      </c>
      <c r="P88" s="7" t="s">
        <v>129</v>
      </c>
      <c r="Q88" s="7">
        <v>691.0</v>
      </c>
      <c r="R88" s="12">
        <v>421.89</v>
      </c>
      <c r="S88" s="12">
        <v>364.69</v>
      </c>
      <c r="T88" s="13">
        <f t="shared" si="6"/>
        <v>291525.99</v>
      </c>
      <c r="U88" s="13">
        <f t="shared" si="7"/>
        <v>304747.52</v>
      </c>
      <c r="V88" s="13">
        <f t="shared" si="8"/>
        <v>-13221.53</v>
      </c>
      <c r="W88" s="14">
        <f>Q88/totals!B$2</f>
        <v>0.000105070703</v>
      </c>
      <c r="X88" s="14">
        <f t="shared" si="9"/>
        <v>0.0611132872</v>
      </c>
      <c r="Y88" s="14">
        <f>T88/totals!B$5</f>
        <v>0.0001712713432</v>
      </c>
      <c r="Z88" s="14">
        <f t="shared" si="10"/>
        <v>0.0536224456</v>
      </c>
      <c r="AA88" s="14">
        <f>V88/totals!B$4</f>
        <v>-0.00002636341189</v>
      </c>
      <c r="AB88" s="14">
        <f t="shared" si="11"/>
        <v>0.05907651362</v>
      </c>
    </row>
    <row r="89">
      <c r="A89" s="7">
        <v>2455.0</v>
      </c>
      <c r="B89" s="7" t="str">
        <f>VLOOKUP($A89,product_category,2, False)</f>
        <v>Clothes</v>
      </c>
      <c r="C89" s="7">
        <v>1.52505099E8</v>
      </c>
      <c r="D89" s="9">
        <v>41036.0</v>
      </c>
      <c r="E89" s="10">
        <f t="shared" si="1"/>
        <v>5</v>
      </c>
      <c r="F89" s="10" t="str">
        <f t="shared" si="2"/>
        <v>May</v>
      </c>
      <c r="G89" s="11">
        <f t="shared" si="3"/>
        <v>7</v>
      </c>
      <c r="H89" s="7">
        <f t="shared" si="4"/>
        <v>2012</v>
      </c>
      <c r="I89" s="9">
        <v>41048.0</v>
      </c>
      <c r="J89" s="11">
        <f t="shared" si="5"/>
        <v>12</v>
      </c>
      <c r="K89" s="7" t="s">
        <v>110</v>
      </c>
      <c r="L89" s="7" t="s">
        <v>642</v>
      </c>
      <c r="M89" s="7" t="str">
        <f>VLOOKUP(L89,countries, 2,false)</f>
        <v>San Marino</v>
      </c>
      <c r="N89" s="7" t="str">
        <f>VLOOKUP(L89,countries, 4,false)</f>
        <v>Europe</v>
      </c>
      <c r="O89" s="7" t="str">
        <f>VLOOKUP(L89,countries, 5,false)</f>
        <v>Southern Europe</v>
      </c>
      <c r="P89" s="7" t="s">
        <v>212</v>
      </c>
      <c r="Q89" s="7">
        <v>8503.0</v>
      </c>
      <c r="R89" s="12">
        <v>109.28</v>
      </c>
      <c r="S89" s="12">
        <v>35.84</v>
      </c>
      <c r="T89" s="13">
        <f t="shared" si="6"/>
        <v>929207.84</v>
      </c>
      <c r="U89" s="13">
        <f t="shared" si="7"/>
        <v>1049.92</v>
      </c>
      <c r="V89" s="13">
        <f t="shared" si="8"/>
        <v>928157.92</v>
      </c>
      <c r="W89" s="14">
        <f>Q89/totals!B$2</f>
        <v>0.001292932254</v>
      </c>
      <c r="X89" s="14">
        <f t="shared" si="9"/>
        <v>0.06240621946</v>
      </c>
      <c r="Y89" s="14">
        <f>T89/totals!B$5</f>
        <v>0.0005459090452</v>
      </c>
      <c r="Z89" s="14">
        <f t="shared" si="10"/>
        <v>0.05416835465</v>
      </c>
      <c r="AA89" s="14">
        <f>V89/totals!B$4</f>
        <v>0.001850724503</v>
      </c>
      <c r="AB89" s="14">
        <f t="shared" si="11"/>
        <v>0.06092723812</v>
      </c>
    </row>
    <row r="90">
      <c r="A90" s="7">
        <v>8681.0</v>
      </c>
      <c r="B90" s="7" t="str">
        <f>VLOOKUP($A90,product_category,2, False)</f>
        <v>Office Supplies</v>
      </c>
      <c r="C90" s="7">
        <v>1.52746713E8</v>
      </c>
      <c r="D90" s="9">
        <v>40300.0</v>
      </c>
      <c r="E90" s="10">
        <f t="shared" si="1"/>
        <v>5</v>
      </c>
      <c r="F90" s="10" t="str">
        <f t="shared" si="2"/>
        <v>May</v>
      </c>
      <c r="G90" s="11">
        <f t="shared" si="3"/>
        <v>2</v>
      </c>
      <c r="H90" s="7">
        <f t="shared" si="4"/>
        <v>2010</v>
      </c>
      <c r="I90" s="9">
        <v>40306.0</v>
      </c>
      <c r="J90" s="11">
        <f t="shared" si="5"/>
        <v>6</v>
      </c>
      <c r="K90" s="7" t="s">
        <v>198</v>
      </c>
      <c r="L90" s="7" t="s">
        <v>136</v>
      </c>
      <c r="M90" s="7" t="str">
        <f>VLOOKUP(L90,countries, 2,false)</f>
        <v>Bosnia and Herzegovina</v>
      </c>
      <c r="N90" s="7" t="str">
        <f>VLOOKUP(L90,countries, 4,false)</f>
        <v>Europe</v>
      </c>
      <c r="O90" s="7" t="str">
        <f>VLOOKUP(L90,countries, 5,false)</f>
        <v>Southern Europe</v>
      </c>
      <c r="P90" s="7" t="s">
        <v>212</v>
      </c>
      <c r="Q90" s="7">
        <v>2.0</v>
      </c>
      <c r="R90" s="12">
        <v>651.21</v>
      </c>
      <c r="S90" s="12">
        <v>524.96</v>
      </c>
      <c r="T90" s="13">
        <f t="shared" si="6"/>
        <v>1302.42</v>
      </c>
      <c r="U90" s="13">
        <f t="shared" si="7"/>
        <v>23970.88</v>
      </c>
      <c r="V90" s="13">
        <f t="shared" si="8"/>
        <v>-22668.46</v>
      </c>
      <c r="W90" s="14">
        <f>Q90/totals!B$2</f>
        <v>0.0000003041120203</v>
      </c>
      <c r="X90" s="14">
        <f t="shared" si="9"/>
        <v>0.06240652357</v>
      </c>
      <c r="Y90" s="14">
        <f>T90/totals!B$5</f>
        <v>0.0000007651709639</v>
      </c>
      <c r="Z90" s="14">
        <f t="shared" si="10"/>
        <v>0.05416911982</v>
      </c>
      <c r="AA90" s="14">
        <f>V90/totals!B$4</f>
        <v>-0.00004520036243</v>
      </c>
      <c r="AB90" s="14">
        <f t="shared" si="11"/>
        <v>0.06088203776</v>
      </c>
    </row>
    <row r="91">
      <c r="A91" s="7">
        <v>4594.0</v>
      </c>
      <c r="B91" s="7" t="str">
        <f>VLOOKUP($A91,product_category,2, False)</f>
        <v>Fruits</v>
      </c>
      <c r="C91" s="7">
        <v>1.5397495E8</v>
      </c>
      <c r="D91" s="9">
        <v>40777.0</v>
      </c>
      <c r="E91" s="10">
        <f t="shared" si="1"/>
        <v>8</v>
      </c>
      <c r="F91" s="10" t="str">
        <f t="shared" si="2"/>
        <v>Aug</v>
      </c>
      <c r="G91" s="11">
        <f t="shared" si="3"/>
        <v>22</v>
      </c>
      <c r="H91" s="7">
        <f t="shared" si="4"/>
        <v>2011</v>
      </c>
      <c r="I91" s="9">
        <v>40806.0</v>
      </c>
      <c r="J91" s="11">
        <f t="shared" si="5"/>
        <v>29</v>
      </c>
      <c r="K91" s="7" t="s">
        <v>322</v>
      </c>
      <c r="L91" s="7" t="s">
        <v>702</v>
      </c>
      <c r="M91" s="7" t="str">
        <f>VLOOKUP(L91,countries, 2,false)</f>
        <v>Sweden</v>
      </c>
      <c r="N91" s="7" t="str">
        <f>VLOOKUP(L91,countries, 4,false)</f>
        <v>Europe</v>
      </c>
      <c r="O91" s="7" t="str">
        <f>VLOOKUP(L91,countries, 5,false)</f>
        <v>Northern Europe</v>
      </c>
      <c r="P91" s="7" t="s">
        <v>212</v>
      </c>
      <c r="Q91" s="7">
        <v>3464.0</v>
      </c>
      <c r="R91" s="12">
        <v>9.33</v>
      </c>
      <c r="S91" s="12">
        <v>6.92</v>
      </c>
      <c r="T91" s="13">
        <f t="shared" si="6"/>
        <v>32319.12</v>
      </c>
      <c r="U91" s="13">
        <f t="shared" si="7"/>
        <v>661221.63</v>
      </c>
      <c r="V91" s="13">
        <f t="shared" si="8"/>
        <v>-628902.51</v>
      </c>
      <c r="W91" s="14">
        <f>Q91/totals!B$2</f>
        <v>0.0005267220191</v>
      </c>
      <c r="X91" s="14">
        <f t="shared" si="9"/>
        <v>0.06293324559</v>
      </c>
      <c r="Y91" s="14">
        <f>T91/totals!B$5</f>
        <v>0.00001898746349</v>
      </c>
      <c r="Z91" s="14">
        <f t="shared" si="10"/>
        <v>0.05418810728</v>
      </c>
      <c r="AA91" s="14">
        <f>V91/totals!B$4</f>
        <v>-0.001254016434</v>
      </c>
      <c r="AB91" s="14">
        <f t="shared" si="11"/>
        <v>0.05962802133</v>
      </c>
    </row>
    <row r="92">
      <c r="A92" s="7">
        <v>8293.0</v>
      </c>
      <c r="B92" s="7" t="str">
        <f>VLOOKUP($A92,product_category,2, False)</f>
        <v>Cosmetics</v>
      </c>
      <c r="C92" s="7">
        <v>1.55086886E8</v>
      </c>
      <c r="D92" s="9">
        <v>41667.0</v>
      </c>
      <c r="E92" s="10">
        <f t="shared" si="1"/>
        <v>1</v>
      </c>
      <c r="F92" s="10" t="str">
        <f t="shared" si="2"/>
        <v>Jan</v>
      </c>
      <c r="G92" s="11">
        <f t="shared" si="3"/>
        <v>28</v>
      </c>
      <c r="H92" s="7">
        <f t="shared" si="4"/>
        <v>2014</v>
      </c>
      <c r="I92" s="9">
        <v>41675.0</v>
      </c>
      <c r="J92" s="11">
        <f t="shared" si="5"/>
        <v>8</v>
      </c>
      <c r="K92" s="7" t="s">
        <v>110</v>
      </c>
      <c r="L92" s="7" t="s">
        <v>670</v>
      </c>
      <c r="M92" s="7" t="str">
        <f>VLOOKUP(L92,countries, 2,false)</f>
        <v>Slovenia</v>
      </c>
      <c r="N92" s="7" t="str">
        <f>VLOOKUP(L92,countries, 4,false)</f>
        <v>Europe</v>
      </c>
      <c r="O92" s="7" t="str">
        <f>VLOOKUP(L92,countries, 5,false)</f>
        <v>Southern Europe</v>
      </c>
      <c r="P92" s="7" t="s">
        <v>212</v>
      </c>
      <c r="Q92" s="7">
        <v>2511.0</v>
      </c>
      <c r="R92" s="12">
        <v>437.2</v>
      </c>
      <c r="S92" s="12">
        <v>263.33</v>
      </c>
      <c r="T92" s="13">
        <f t="shared" si="6"/>
        <v>1097809.2</v>
      </c>
      <c r="U92" s="13">
        <f t="shared" si="7"/>
        <v>51803.12</v>
      </c>
      <c r="V92" s="13">
        <f t="shared" si="8"/>
        <v>1046006.08</v>
      </c>
      <c r="W92" s="14">
        <f>Q92/totals!B$2</f>
        <v>0.0003818126415</v>
      </c>
      <c r="X92" s="14">
        <f t="shared" si="9"/>
        <v>0.06331505823</v>
      </c>
      <c r="Y92" s="14">
        <f>T92/totals!B$5</f>
        <v>0.0006449622424</v>
      </c>
      <c r="Z92" s="14">
        <f t="shared" si="10"/>
        <v>0.05483306952</v>
      </c>
      <c r="AA92" s="14">
        <f>V92/totals!B$4</f>
        <v>0.002085710892</v>
      </c>
      <c r="AB92" s="14">
        <f t="shared" si="11"/>
        <v>0.06171373222</v>
      </c>
    </row>
    <row r="93">
      <c r="A93" s="7">
        <v>4594.0</v>
      </c>
      <c r="B93" s="7" t="str">
        <f>VLOOKUP($A93,product_category,2, False)</f>
        <v>Fruits</v>
      </c>
      <c r="C93" s="7">
        <v>1.55914723E8</v>
      </c>
      <c r="D93" s="9">
        <v>42075.0</v>
      </c>
      <c r="E93" s="10">
        <f t="shared" si="1"/>
        <v>3</v>
      </c>
      <c r="F93" s="10" t="str">
        <f t="shared" si="2"/>
        <v>Mar</v>
      </c>
      <c r="G93" s="11">
        <f t="shared" si="3"/>
        <v>12</v>
      </c>
      <c r="H93" s="7">
        <f t="shared" si="4"/>
        <v>2015</v>
      </c>
      <c r="I93" s="9">
        <v>42092.0</v>
      </c>
      <c r="J93" s="11">
        <f t="shared" si="5"/>
        <v>17</v>
      </c>
      <c r="K93" s="7" t="s">
        <v>382</v>
      </c>
      <c r="L93" s="7" t="s">
        <v>383</v>
      </c>
      <c r="M93" s="7" t="str">
        <f>VLOOKUP(L93,countries, 2,false)</f>
        <v>Ireland</v>
      </c>
      <c r="N93" s="7" t="str">
        <f>VLOOKUP(L93,countries, 4,false)</f>
        <v>Europe</v>
      </c>
      <c r="O93" s="7" t="str">
        <f>VLOOKUP(L93,countries, 5,false)</f>
        <v>Northern Europe</v>
      </c>
      <c r="P93" s="7" t="s">
        <v>212</v>
      </c>
      <c r="Q93" s="7">
        <v>7486.0</v>
      </c>
      <c r="R93" s="12">
        <v>9.33</v>
      </c>
      <c r="S93" s="12">
        <v>6.92</v>
      </c>
      <c r="T93" s="13">
        <f t="shared" si="6"/>
        <v>69844.38</v>
      </c>
      <c r="U93" s="13">
        <f t="shared" si="7"/>
        <v>344780.8</v>
      </c>
      <c r="V93" s="13">
        <f t="shared" si="8"/>
        <v>-274936.42</v>
      </c>
      <c r="W93" s="14">
        <f>Q93/totals!B$2</f>
        <v>0.001138291292</v>
      </c>
      <c r="X93" s="14">
        <f t="shared" si="9"/>
        <v>0.06445334952</v>
      </c>
      <c r="Y93" s="14">
        <f>T93/totals!B$5</f>
        <v>0.0000410335311</v>
      </c>
      <c r="Z93" s="14">
        <f t="shared" si="10"/>
        <v>0.05487410306</v>
      </c>
      <c r="AA93" s="14">
        <f>V93/totals!B$4</f>
        <v>-0.0005482165894</v>
      </c>
      <c r="AB93" s="14">
        <f t="shared" si="11"/>
        <v>0.06116551563</v>
      </c>
    </row>
    <row r="94">
      <c r="A94" s="7">
        <v>2455.0</v>
      </c>
      <c r="B94" s="7" t="str">
        <f>VLOOKUP($A94,product_category,2, False)</f>
        <v>Clothes</v>
      </c>
      <c r="C94" s="7">
        <v>1.56158483E8</v>
      </c>
      <c r="D94" s="9">
        <v>42547.0</v>
      </c>
      <c r="E94" s="10">
        <f t="shared" si="1"/>
        <v>6</v>
      </c>
      <c r="F94" s="10" t="str">
        <f t="shared" si="2"/>
        <v>Jun</v>
      </c>
      <c r="G94" s="11">
        <f t="shared" si="3"/>
        <v>26</v>
      </c>
      <c r="H94" s="7">
        <f t="shared" si="4"/>
        <v>2016</v>
      </c>
      <c r="I94" s="9">
        <v>42587.0</v>
      </c>
      <c r="J94" s="11">
        <f t="shared" si="5"/>
        <v>40</v>
      </c>
      <c r="K94" s="7" t="s">
        <v>198</v>
      </c>
      <c r="L94" s="7" t="s">
        <v>451</v>
      </c>
      <c r="M94" s="7" t="str">
        <f>VLOOKUP(L94,countries, 2,false)</f>
        <v>Lithuania</v>
      </c>
      <c r="N94" s="7" t="str">
        <f>VLOOKUP(L94,countries, 4,false)</f>
        <v>Europe</v>
      </c>
      <c r="O94" s="7" t="str">
        <f>VLOOKUP(L94,countries, 5,false)</f>
        <v>Northern Europe</v>
      </c>
      <c r="P94" s="7" t="s">
        <v>212</v>
      </c>
      <c r="Q94" s="7">
        <v>9620.0</v>
      </c>
      <c r="R94" s="12">
        <v>109.28</v>
      </c>
      <c r="S94" s="12">
        <v>35.84</v>
      </c>
      <c r="T94" s="13">
        <f t="shared" si="6"/>
        <v>1051273.6</v>
      </c>
      <c r="U94" s="13">
        <f t="shared" si="7"/>
        <v>1042925.64</v>
      </c>
      <c r="V94" s="13">
        <f t="shared" si="8"/>
        <v>8347.96</v>
      </c>
      <c r="W94" s="14">
        <f>Q94/totals!B$2</f>
        <v>0.001462778818</v>
      </c>
      <c r="X94" s="14">
        <f t="shared" si="9"/>
        <v>0.06591612834</v>
      </c>
      <c r="Y94" s="14">
        <f>T94/totals!B$5</f>
        <v>0.0006176226055</v>
      </c>
      <c r="Z94" s="14">
        <f t="shared" si="10"/>
        <v>0.05549172566</v>
      </c>
      <c r="AA94" s="14">
        <f>V94/totals!B$4</f>
        <v>0.00001664563087</v>
      </c>
      <c r="AB94" s="14">
        <f t="shared" si="11"/>
        <v>0.06118216126</v>
      </c>
    </row>
    <row r="95">
      <c r="A95" s="7">
        <v>7331.0</v>
      </c>
      <c r="B95" s="7" t="str">
        <f>VLOOKUP($A95,product_category,2, False)</f>
        <v>Baby Food</v>
      </c>
      <c r="C95" s="7">
        <v>1.58479773E8</v>
      </c>
      <c r="D95" s="9">
        <v>42143.0</v>
      </c>
      <c r="E95" s="10">
        <f t="shared" si="1"/>
        <v>5</v>
      </c>
      <c r="F95" s="10" t="str">
        <f t="shared" si="2"/>
        <v>May</v>
      </c>
      <c r="G95" s="11">
        <f t="shared" si="3"/>
        <v>19</v>
      </c>
      <c r="H95" s="7">
        <f t="shared" si="4"/>
        <v>2015</v>
      </c>
      <c r="I95" s="9">
        <v>42173.0</v>
      </c>
      <c r="J95" s="11">
        <f t="shared" si="5"/>
        <v>30</v>
      </c>
      <c r="K95" s="7" t="s">
        <v>322</v>
      </c>
      <c r="L95" s="7" t="s">
        <v>612</v>
      </c>
      <c r="M95" s="7" t="str">
        <f>VLOOKUP(L95,countries, 2,false)</f>
        <v>Russia</v>
      </c>
      <c r="N95" s="7" t="str">
        <f>VLOOKUP(L95,countries, 4,false)</f>
        <v>Europe</v>
      </c>
      <c r="O95" s="7" t="str">
        <f>VLOOKUP(L95,countries, 5,false)</f>
        <v>Eastern Europe</v>
      </c>
      <c r="P95" s="7" t="s">
        <v>212</v>
      </c>
      <c r="Q95" s="7">
        <v>6542.0</v>
      </c>
      <c r="R95" s="12">
        <v>255.28</v>
      </c>
      <c r="S95" s="12">
        <v>159.42</v>
      </c>
      <c r="T95" s="13">
        <f t="shared" si="6"/>
        <v>1670041.76</v>
      </c>
      <c r="U95" s="13">
        <f t="shared" si="7"/>
        <v>384303.36</v>
      </c>
      <c r="V95" s="13">
        <f t="shared" si="8"/>
        <v>1285738.4</v>
      </c>
      <c r="W95" s="14">
        <f>Q95/totals!B$2</f>
        <v>0.0009947504183</v>
      </c>
      <c r="X95" s="14">
        <f t="shared" si="9"/>
        <v>0.06691087876</v>
      </c>
      <c r="Y95" s="14">
        <f>T95/totals!B$5</f>
        <v>0.000981148526</v>
      </c>
      <c r="Z95" s="14">
        <f t="shared" si="10"/>
        <v>0.05647287419</v>
      </c>
      <c r="AA95" s="14">
        <f>V95/totals!B$4</f>
        <v>0.002563731355</v>
      </c>
      <c r="AB95" s="14">
        <f t="shared" si="11"/>
        <v>0.06374589262</v>
      </c>
    </row>
    <row r="96">
      <c r="A96" s="7">
        <v>8969.0</v>
      </c>
      <c r="B96" s="7" t="str">
        <f>VLOOKUP($A96,product_category,2, False)</f>
        <v>Snacks</v>
      </c>
      <c r="C96" s="7">
        <v>1.58673751E8</v>
      </c>
      <c r="D96" s="9">
        <v>41720.0</v>
      </c>
      <c r="E96" s="10">
        <f t="shared" si="1"/>
        <v>3</v>
      </c>
      <c r="F96" s="10" t="str">
        <f t="shared" si="2"/>
        <v>Mar</v>
      </c>
      <c r="G96" s="11">
        <f t="shared" si="3"/>
        <v>22</v>
      </c>
      <c r="H96" s="7">
        <f t="shared" si="4"/>
        <v>2014</v>
      </c>
      <c r="I96" s="9">
        <v>41769.0</v>
      </c>
      <c r="J96" s="11">
        <f t="shared" si="5"/>
        <v>49</v>
      </c>
      <c r="K96" s="7" t="s">
        <v>382</v>
      </c>
      <c r="L96" s="7" t="s">
        <v>307</v>
      </c>
      <c r="M96" s="7" t="str">
        <f>VLOOKUP(L96,countries, 2,false)</f>
        <v>Germany</v>
      </c>
      <c r="N96" s="7" t="str">
        <f>VLOOKUP(L96,countries, 4,false)</f>
        <v>Europe</v>
      </c>
      <c r="O96" s="7" t="str">
        <f>VLOOKUP(L96,countries, 5,false)</f>
        <v>Western Europe</v>
      </c>
      <c r="P96" s="7" t="s">
        <v>129</v>
      </c>
      <c r="Q96" s="7">
        <v>3944.0</v>
      </c>
      <c r="R96" s="12">
        <v>152.58</v>
      </c>
      <c r="S96" s="12">
        <v>97.44</v>
      </c>
      <c r="T96" s="13">
        <f t="shared" si="6"/>
        <v>601775.52</v>
      </c>
      <c r="U96" s="13">
        <f t="shared" si="7"/>
        <v>64307.56</v>
      </c>
      <c r="V96" s="13">
        <f t="shared" si="8"/>
        <v>537467.96</v>
      </c>
      <c r="W96" s="14">
        <f>Q96/totals!B$2</f>
        <v>0.000599708904</v>
      </c>
      <c r="X96" s="14">
        <f t="shared" si="9"/>
        <v>0.06751058766</v>
      </c>
      <c r="Y96" s="14">
        <f>T96/totals!B$5</f>
        <v>0.0003535427548</v>
      </c>
      <c r="Z96" s="14">
        <f t="shared" si="10"/>
        <v>0.05682641694</v>
      </c>
      <c r="AA96" s="14">
        <f>V96/totals!B$4</f>
        <v>0.001071698147</v>
      </c>
      <c r="AB96" s="14">
        <f t="shared" si="11"/>
        <v>0.06481759076</v>
      </c>
    </row>
    <row r="97">
      <c r="A97" s="7">
        <v>4594.0</v>
      </c>
      <c r="B97" s="7" t="str">
        <f>VLOOKUP($A97,product_category,2, False)</f>
        <v>Fruits</v>
      </c>
      <c r="C97" s="7">
        <v>1.59232509E8</v>
      </c>
      <c r="D97" s="9">
        <v>41798.0</v>
      </c>
      <c r="E97" s="10">
        <f t="shared" si="1"/>
        <v>6</v>
      </c>
      <c r="F97" s="10" t="str">
        <f t="shared" si="2"/>
        <v>Jun</v>
      </c>
      <c r="G97" s="11">
        <f t="shared" si="3"/>
        <v>8</v>
      </c>
      <c r="H97" s="7">
        <f t="shared" si="4"/>
        <v>2014</v>
      </c>
      <c r="I97" s="9">
        <v>41834.0</v>
      </c>
      <c r="J97" s="11">
        <f t="shared" si="5"/>
        <v>36</v>
      </c>
      <c r="K97" s="7" t="s">
        <v>382</v>
      </c>
      <c r="L97" s="7" t="s">
        <v>705</v>
      </c>
      <c r="M97" s="7" t="str">
        <f>VLOOKUP(L97,countries, 2,false)</f>
        <v>Switzerland</v>
      </c>
      <c r="N97" s="7" t="str">
        <f>VLOOKUP(L97,countries, 4,false)</f>
        <v>Europe</v>
      </c>
      <c r="O97" s="7" t="str">
        <f>VLOOKUP(L97,countries, 5,false)</f>
        <v>Western Europe</v>
      </c>
      <c r="P97" s="7" t="s">
        <v>129</v>
      </c>
      <c r="Q97" s="7">
        <v>9293.0</v>
      </c>
      <c r="R97" s="12">
        <v>9.33</v>
      </c>
      <c r="S97" s="12">
        <v>6.92</v>
      </c>
      <c r="T97" s="13">
        <f t="shared" si="6"/>
        <v>86703.69</v>
      </c>
      <c r="U97" s="13">
        <f t="shared" si="7"/>
        <v>3267257.71</v>
      </c>
      <c r="V97" s="13">
        <f t="shared" si="8"/>
        <v>-3180554.02</v>
      </c>
      <c r="W97" s="14">
        <f>Q97/totals!B$2</f>
        <v>0.001413056502</v>
      </c>
      <c r="X97" s="14">
        <f t="shared" si="9"/>
        <v>0.06892364416</v>
      </c>
      <c r="Y97" s="14">
        <f>T97/totals!B$5</f>
        <v>0.00005093836554</v>
      </c>
      <c r="Z97" s="14">
        <f t="shared" si="10"/>
        <v>0.05687735531</v>
      </c>
      <c r="AA97" s="14">
        <f>V97/totals!B$4</f>
        <v>-0.006341947994</v>
      </c>
      <c r="AB97" s="14">
        <f t="shared" si="11"/>
        <v>0.05847564277</v>
      </c>
    </row>
    <row r="98">
      <c r="A98" s="7">
        <v>8875.0</v>
      </c>
      <c r="B98" s="7" t="str">
        <f>VLOOKUP($A98,product_category,2, False)</f>
        <v>Meat</v>
      </c>
      <c r="C98" s="7">
        <v>1.59805858E8</v>
      </c>
      <c r="D98" s="9">
        <v>41232.0</v>
      </c>
      <c r="E98" s="10">
        <f t="shared" si="1"/>
        <v>11</v>
      </c>
      <c r="F98" s="10" t="str">
        <f t="shared" si="2"/>
        <v>Nov</v>
      </c>
      <c r="G98" s="11">
        <f t="shared" si="3"/>
        <v>19</v>
      </c>
      <c r="H98" s="7">
        <f t="shared" si="4"/>
        <v>2012</v>
      </c>
      <c r="I98" s="9">
        <v>41260.0</v>
      </c>
      <c r="J98" s="11">
        <f t="shared" si="5"/>
        <v>28</v>
      </c>
      <c r="K98" s="7" t="s">
        <v>110</v>
      </c>
      <c r="L98" s="7" t="e">
        <v>#N/A</v>
      </c>
      <c r="M98" s="7"/>
      <c r="N98" s="7"/>
      <c r="O98" s="7"/>
      <c r="P98" s="7" t="s">
        <v>212</v>
      </c>
      <c r="Q98" s="7">
        <v>8959.0</v>
      </c>
      <c r="R98" s="12">
        <v>421.89</v>
      </c>
      <c r="S98" s="12">
        <v>364.69</v>
      </c>
      <c r="T98" s="13">
        <f t="shared" si="6"/>
        <v>3779712.51</v>
      </c>
      <c r="U98" s="13">
        <f t="shared" si="7"/>
        <v>4031167.84</v>
      </c>
      <c r="V98" s="13">
        <f t="shared" si="8"/>
        <v>-251455.33</v>
      </c>
      <c r="W98" s="14">
        <f>Q98/totals!B$2</f>
        <v>0.001362269795</v>
      </c>
      <c r="X98" s="14">
        <f t="shared" si="9"/>
        <v>0.07028591396</v>
      </c>
      <c r="Y98" s="14">
        <f>T98/totals!B$5</f>
        <v>0.002220578818</v>
      </c>
      <c r="Z98" s="14">
        <f t="shared" si="10"/>
        <v>0.05909793413</v>
      </c>
      <c r="AA98" s="14">
        <f>V98/totals!B$4</f>
        <v>-0.0005013958624</v>
      </c>
      <c r="AB98" s="14">
        <f t="shared" si="11"/>
        <v>0.05797424691</v>
      </c>
    </row>
    <row r="99">
      <c r="A99" s="7">
        <v>8681.0</v>
      </c>
      <c r="B99" s="7" t="str">
        <f>VLOOKUP($A99,product_category,2, False)</f>
        <v>Office Supplies</v>
      </c>
      <c r="C99" s="7">
        <v>1.60578763E8</v>
      </c>
      <c r="D99" s="9">
        <v>42274.0</v>
      </c>
      <c r="E99" s="10">
        <f t="shared" si="1"/>
        <v>9</v>
      </c>
      <c r="F99" s="10" t="str">
        <f t="shared" si="2"/>
        <v>Sep</v>
      </c>
      <c r="G99" s="11">
        <f t="shared" si="3"/>
        <v>27</v>
      </c>
      <c r="H99" s="7">
        <f t="shared" si="4"/>
        <v>2015</v>
      </c>
      <c r="I99" s="9">
        <v>42307.0</v>
      </c>
      <c r="J99" s="11">
        <f t="shared" si="5"/>
        <v>33</v>
      </c>
      <c r="K99" s="7" t="s">
        <v>322</v>
      </c>
      <c r="L99" s="7" t="s">
        <v>609</v>
      </c>
      <c r="M99" s="7" t="str">
        <f>VLOOKUP(L99,countries, 2,false)</f>
        <v>Romania</v>
      </c>
      <c r="N99" s="7" t="str">
        <f>VLOOKUP(L99,countries, 4,false)</f>
        <v>Europe</v>
      </c>
      <c r="O99" s="7" t="str">
        <f>VLOOKUP(L99,countries, 5,false)</f>
        <v>Eastern Europe</v>
      </c>
      <c r="P99" s="7" t="s">
        <v>129</v>
      </c>
      <c r="Q99" s="7">
        <v>7679.0</v>
      </c>
      <c r="R99" s="12">
        <v>651.21</v>
      </c>
      <c r="S99" s="12">
        <v>524.96</v>
      </c>
      <c r="T99" s="13">
        <f t="shared" si="6"/>
        <v>5000641.59</v>
      </c>
      <c r="U99" s="13">
        <f t="shared" si="7"/>
        <v>494842.44</v>
      </c>
      <c r="V99" s="13">
        <f t="shared" si="8"/>
        <v>4505799.15</v>
      </c>
      <c r="W99" s="14">
        <f>Q99/totals!B$2</f>
        <v>0.001167638102</v>
      </c>
      <c r="X99" s="14">
        <f t="shared" si="9"/>
        <v>0.07145355206</v>
      </c>
      <c r="Y99" s="14">
        <f>T99/totals!B$5</f>
        <v>0.002937873916</v>
      </c>
      <c r="Z99" s="14">
        <f t="shared" si="10"/>
        <v>0.06203580804</v>
      </c>
      <c r="AA99" s="14">
        <f>V99/totals!B$4</f>
        <v>0.008984454816</v>
      </c>
      <c r="AB99" s="14">
        <f t="shared" si="11"/>
        <v>0.06695870172</v>
      </c>
    </row>
    <row r="100">
      <c r="A100" s="7">
        <v>3127.0</v>
      </c>
      <c r="B100" s="7" t="str">
        <f>VLOOKUP($A100,product_category,2, False)</f>
        <v>Personal Care</v>
      </c>
      <c r="C100" s="7">
        <v>1.60751283E8</v>
      </c>
      <c r="D100" s="9">
        <v>40845.0</v>
      </c>
      <c r="E100" s="10">
        <f t="shared" si="1"/>
        <v>10</v>
      </c>
      <c r="F100" s="10" t="str">
        <f t="shared" si="2"/>
        <v>Oct</v>
      </c>
      <c r="G100" s="11">
        <f t="shared" si="3"/>
        <v>29</v>
      </c>
      <c r="H100" s="7">
        <f t="shared" si="4"/>
        <v>2011</v>
      </c>
      <c r="I100" s="9">
        <v>40860.0</v>
      </c>
      <c r="J100" s="11">
        <f t="shared" si="5"/>
        <v>15</v>
      </c>
      <c r="K100" s="7" t="s">
        <v>198</v>
      </c>
      <c r="L100" s="7" t="s">
        <v>432</v>
      </c>
      <c r="M100" s="7" t="str">
        <f>VLOOKUP(L100,countries, 2,false)</f>
        <v>Latvia</v>
      </c>
      <c r="N100" s="7" t="str">
        <f>VLOOKUP(L100,countries, 4,false)</f>
        <v>Europe</v>
      </c>
      <c r="O100" s="7" t="str">
        <f>VLOOKUP(L100,countries, 5,false)</f>
        <v>Northern Europe</v>
      </c>
      <c r="P100" s="7" t="s">
        <v>212</v>
      </c>
      <c r="Q100" s="7">
        <v>8732.0</v>
      </c>
      <c r="R100" s="12">
        <v>81.73</v>
      </c>
      <c r="S100" s="12">
        <v>56.67</v>
      </c>
      <c r="T100" s="13">
        <f t="shared" si="6"/>
        <v>713666.36</v>
      </c>
      <c r="U100" s="13">
        <f t="shared" si="7"/>
        <v>130611.68</v>
      </c>
      <c r="V100" s="13">
        <f t="shared" si="8"/>
        <v>583054.68</v>
      </c>
      <c r="W100" s="14">
        <f>Q100/totals!B$2</f>
        <v>0.001327753081</v>
      </c>
      <c r="X100" s="14">
        <f t="shared" si="9"/>
        <v>0.07278130514</v>
      </c>
      <c r="Y100" s="14">
        <f>T100/totals!B$5</f>
        <v>0.0004192785558</v>
      </c>
      <c r="Z100" s="14">
        <f t="shared" si="10"/>
        <v>0.0624550866</v>
      </c>
      <c r="AA100" s="14">
        <f>V100/totals!B$4</f>
        <v>0.001162596967</v>
      </c>
      <c r="AB100" s="14">
        <f t="shared" si="11"/>
        <v>0.06812129869</v>
      </c>
    </row>
    <row r="101">
      <c r="A101" s="7">
        <v>8293.0</v>
      </c>
      <c r="B101" s="7" t="str">
        <f>VLOOKUP($A101,product_category,2, False)</f>
        <v>Cosmetics</v>
      </c>
      <c r="C101" s="7">
        <v>1.61399304E8</v>
      </c>
      <c r="D101" s="9">
        <v>40238.0</v>
      </c>
      <c r="E101" s="10">
        <f t="shared" si="1"/>
        <v>3</v>
      </c>
      <c r="F101" s="10" t="str">
        <f t="shared" si="2"/>
        <v>Mar</v>
      </c>
      <c r="G101" s="11">
        <f t="shared" si="3"/>
        <v>1</v>
      </c>
      <c r="H101" s="7">
        <f t="shared" si="4"/>
        <v>2010</v>
      </c>
      <c r="I101" s="9">
        <v>40252.0</v>
      </c>
      <c r="J101" s="11">
        <f t="shared" si="5"/>
        <v>14</v>
      </c>
      <c r="K101" s="7" t="s">
        <v>322</v>
      </c>
      <c r="L101" s="7" t="s">
        <v>439</v>
      </c>
      <c r="M101" s="7" t="str">
        <f>VLOOKUP(L101,countries, 2,false)</f>
        <v>Slovakia</v>
      </c>
      <c r="N101" s="7" t="str">
        <f>VLOOKUP(L101,countries, 4,false)</f>
        <v>Europe</v>
      </c>
      <c r="O101" s="7" t="str">
        <f>VLOOKUP(L101,countries, 5,false)</f>
        <v>Eastern Europe</v>
      </c>
      <c r="P101" s="7" t="s">
        <v>830</v>
      </c>
      <c r="Q101" s="7">
        <v>496.0</v>
      </c>
      <c r="R101" s="12">
        <v>437.2</v>
      </c>
      <c r="S101" s="12">
        <v>263.33</v>
      </c>
      <c r="T101" s="13">
        <f t="shared" si="6"/>
        <v>216851.2</v>
      </c>
      <c r="U101" s="13">
        <f t="shared" si="7"/>
        <v>761837.41</v>
      </c>
      <c r="V101" s="13">
        <f t="shared" si="8"/>
        <v>-544986.21</v>
      </c>
      <c r="W101" s="14">
        <f>Q101/totals!B$2</f>
        <v>0.00007541978103</v>
      </c>
      <c r="X101" s="14">
        <f t="shared" si="9"/>
        <v>0.07285672492</v>
      </c>
      <c r="Y101" s="14">
        <f>T101/totals!B$5</f>
        <v>0.0001273999491</v>
      </c>
      <c r="Z101" s="14">
        <f t="shared" si="10"/>
        <v>0.06258248655</v>
      </c>
      <c r="AA101" s="14">
        <f>V101/totals!B$4</f>
        <v>-0.001086689356</v>
      </c>
      <c r="AB101" s="14">
        <f t="shared" si="11"/>
        <v>0.06703460933</v>
      </c>
    </row>
    <row r="102">
      <c r="A102" s="7">
        <v>8875.0</v>
      </c>
      <c r="B102" s="7" t="str">
        <f>VLOOKUP($A102,product_category,2, False)</f>
        <v>Meat</v>
      </c>
      <c r="C102" s="7">
        <v>1.61607444E8</v>
      </c>
      <c r="D102" s="9">
        <v>41143.0</v>
      </c>
      <c r="E102" s="10">
        <f t="shared" si="1"/>
        <v>8</v>
      </c>
      <c r="F102" s="10" t="str">
        <f t="shared" si="2"/>
        <v>Aug</v>
      </c>
      <c r="G102" s="11">
        <f t="shared" si="3"/>
        <v>22</v>
      </c>
      <c r="H102" s="7">
        <f t="shared" si="4"/>
        <v>2012</v>
      </c>
      <c r="I102" s="9">
        <v>41185.0</v>
      </c>
      <c r="J102" s="11">
        <f t="shared" si="5"/>
        <v>42</v>
      </c>
      <c r="K102" s="7" t="s">
        <v>322</v>
      </c>
      <c r="L102" s="7" t="s">
        <v>609</v>
      </c>
      <c r="M102" s="7" t="str">
        <f>VLOOKUP(L102,countries, 2,false)</f>
        <v>Romania</v>
      </c>
      <c r="N102" s="7" t="str">
        <f>VLOOKUP(L102,countries, 4,false)</f>
        <v>Europe</v>
      </c>
      <c r="O102" s="7" t="str">
        <f>VLOOKUP(L102,countries, 5,false)</f>
        <v>Eastern Europe</v>
      </c>
      <c r="P102" s="7" t="s">
        <v>212</v>
      </c>
      <c r="Q102" s="7">
        <v>2089.0</v>
      </c>
      <c r="R102" s="12">
        <v>421.89</v>
      </c>
      <c r="S102" s="12">
        <v>364.69</v>
      </c>
      <c r="T102" s="13">
        <f t="shared" si="6"/>
        <v>881328.21</v>
      </c>
      <c r="U102" s="13">
        <f t="shared" si="7"/>
        <v>95549.44</v>
      </c>
      <c r="V102" s="13">
        <f t="shared" si="8"/>
        <v>785778.77</v>
      </c>
      <c r="W102" s="14">
        <f>Q102/totals!B$2</f>
        <v>0.0003176450052</v>
      </c>
      <c r="X102" s="14">
        <f t="shared" si="9"/>
        <v>0.07317436993</v>
      </c>
      <c r="Y102" s="14">
        <f>T102/totals!B$5</f>
        <v>0.0005177797914</v>
      </c>
      <c r="Z102" s="14">
        <f t="shared" si="10"/>
        <v>0.06310026634</v>
      </c>
      <c r="AA102" s="14">
        <f>V102/totals!B$4</f>
        <v>0.001566823913</v>
      </c>
      <c r="AB102" s="14">
        <f t="shared" si="11"/>
        <v>0.06860143325</v>
      </c>
    </row>
    <row r="103">
      <c r="A103" s="7">
        <v>2455.0</v>
      </c>
      <c r="B103" s="7" t="str">
        <f>VLOOKUP($A103,product_category,2, False)</f>
        <v>Clothes</v>
      </c>
      <c r="C103" s="7">
        <v>1.6181215E8</v>
      </c>
      <c r="D103" s="9">
        <v>41222.0</v>
      </c>
      <c r="E103" s="10">
        <f t="shared" si="1"/>
        <v>11</v>
      </c>
      <c r="F103" s="10" t="str">
        <f t="shared" si="2"/>
        <v>Nov</v>
      </c>
      <c r="G103" s="11">
        <f t="shared" si="3"/>
        <v>9</v>
      </c>
      <c r="H103" s="7">
        <f t="shared" si="4"/>
        <v>2012</v>
      </c>
      <c r="I103" s="9">
        <v>41225.0</v>
      </c>
      <c r="J103" s="11">
        <f t="shared" si="5"/>
        <v>3</v>
      </c>
      <c r="K103" s="7" t="s">
        <v>198</v>
      </c>
      <c r="L103" s="7" t="s">
        <v>237</v>
      </c>
      <c r="M103" s="7" t="str">
        <f>VLOOKUP(L103,countries, 2,false)</f>
        <v>Denmark</v>
      </c>
      <c r="N103" s="7" t="str">
        <f>VLOOKUP(L103,countries, 4,false)</f>
        <v>Europe</v>
      </c>
      <c r="O103" s="7" t="str">
        <f>VLOOKUP(L103,countries, 5,false)</f>
        <v>Northern Europe</v>
      </c>
      <c r="P103" s="7" t="s">
        <v>129</v>
      </c>
      <c r="Q103" s="7">
        <v>2666.0</v>
      </c>
      <c r="R103" s="12">
        <v>109.28</v>
      </c>
      <c r="S103" s="12">
        <v>35.84</v>
      </c>
      <c r="T103" s="13">
        <f t="shared" si="6"/>
        <v>291340.48</v>
      </c>
      <c r="U103" s="13">
        <f t="shared" si="7"/>
        <v>82590.42</v>
      </c>
      <c r="V103" s="13">
        <f t="shared" si="8"/>
        <v>208750.06</v>
      </c>
      <c r="W103" s="14">
        <f>Q103/totals!B$2</f>
        <v>0.000405381323</v>
      </c>
      <c r="X103" s="14">
        <f t="shared" si="9"/>
        <v>0.07357975125</v>
      </c>
      <c r="Y103" s="14">
        <f>T103/totals!B$5</f>
        <v>0.0001711623562</v>
      </c>
      <c r="Z103" s="14">
        <f t="shared" si="10"/>
        <v>0.06327142869</v>
      </c>
      <c r="AA103" s="14">
        <f>V103/totals!B$4</f>
        <v>0.0004162425841</v>
      </c>
      <c r="AB103" s="14">
        <f t="shared" si="11"/>
        <v>0.06901767583</v>
      </c>
    </row>
    <row r="104">
      <c r="A104" s="7">
        <v>1270.0</v>
      </c>
      <c r="B104" s="7" t="str">
        <f>VLOOKUP($A104,product_category,2, False)</f>
        <v>Beverages</v>
      </c>
      <c r="C104" s="7">
        <v>1.62791907E8</v>
      </c>
      <c r="D104" s="9">
        <v>40785.0</v>
      </c>
      <c r="E104" s="10">
        <f t="shared" si="1"/>
        <v>8</v>
      </c>
      <c r="F104" s="10" t="str">
        <f t="shared" si="2"/>
        <v>Aug</v>
      </c>
      <c r="G104" s="11">
        <f t="shared" si="3"/>
        <v>30</v>
      </c>
      <c r="H104" s="7">
        <f t="shared" si="4"/>
        <v>2011</v>
      </c>
      <c r="I104" s="9">
        <v>40835.0</v>
      </c>
      <c r="J104" s="11">
        <f t="shared" si="5"/>
        <v>50</v>
      </c>
      <c r="K104" s="7" t="s">
        <v>110</v>
      </c>
      <c r="L104" s="7" t="s">
        <v>612</v>
      </c>
      <c r="M104" s="7" t="str">
        <f>VLOOKUP(L104,countries, 2,false)</f>
        <v>Russia</v>
      </c>
      <c r="N104" s="7" t="str">
        <f>VLOOKUP(L104,countries, 4,false)</f>
        <v>Europe</v>
      </c>
      <c r="O104" s="7" t="str">
        <f>VLOOKUP(L104,countries, 5,false)</f>
        <v>Eastern Europe</v>
      </c>
      <c r="P104" s="7" t="s">
        <v>212</v>
      </c>
      <c r="Q104" s="7">
        <v>2598.0</v>
      </c>
      <c r="R104" s="12">
        <v>47.45</v>
      </c>
      <c r="S104" s="12">
        <v>31.79</v>
      </c>
      <c r="T104" s="13">
        <f t="shared" si="6"/>
        <v>123275.1</v>
      </c>
      <c r="U104" s="13">
        <f t="shared" si="7"/>
        <v>784197.12</v>
      </c>
      <c r="V104" s="13">
        <f t="shared" si="8"/>
        <v>-660922.02</v>
      </c>
      <c r="W104" s="14">
        <f>Q104/totals!B$2</f>
        <v>0.0003950415143</v>
      </c>
      <c r="X104" s="14">
        <f t="shared" si="9"/>
        <v>0.07397479276</v>
      </c>
      <c r="Y104" s="14">
        <f>T104/totals!B$5</f>
        <v>0.00007242404685</v>
      </c>
      <c r="Z104" s="14">
        <f t="shared" si="10"/>
        <v>0.06334385274</v>
      </c>
      <c r="AA104" s="14">
        <f>V104/totals!B$4</f>
        <v>-0.001317862565</v>
      </c>
      <c r="AB104" s="14">
        <f t="shared" si="11"/>
        <v>0.06769981326</v>
      </c>
    </row>
    <row r="105">
      <c r="A105" s="7">
        <v>8969.0</v>
      </c>
      <c r="B105" s="7" t="str">
        <f>VLOOKUP($A105,product_category,2, False)</f>
        <v>Snacks</v>
      </c>
      <c r="C105" s="7">
        <v>1.63587558E8</v>
      </c>
      <c r="D105" s="9">
        <v>42451.0</v>
      </c>
      <c r="E105" s="10">
        <f t="shared" si="1"/>
        <v>3</v>
      </c>
      <c r="F105" s="10" t="str">
        <f t="shared" si="2"/>
        <v>Mar</v>
      </c>
      <c r="G105" s="11">
        <f t="shared" si="3"/>
        <v>22</v>
      </c>
      <c r="H105" s="7">
        <f t="shared" si="4"/>
        <v>2016</v>
      </c>
      <c r="I105" s="9">
        <v>42479.0</v>
      </c>
      <c r="J105" s="11">
        <f t="shared" si="5"/>
        <v>28</v>
      </c>
      <c r="K105" s="7" t="s">
        <v>110</v>
      </c>
      <c r="L105" s="7" t="s">
        <v>460</v>
      </c>
      <c r="M105" s="7" t="str">
        <f>VLOOKUP(L105,countries, 2,false)</f>
        <v>Macedonia</v>
      </c>
      <c r="N105" s="7" t="str">
        <f>VLOOKUP(L105,countries, 4,false)</f>
        <v>Europe</v>
      </c>
      <c r="O105" s="7" t="str">
        <f>VLOOKUP(L105,countries, 5,false)</f>
        <v>Southern Europe</v>
      </c>
      <c r="P105" s="7" t="s">
        <v>212</v>
      </c>
      <c r="Q105" s="7">
        <v>8048.0</v>
      </c>
      <c r="R105" s="12">
        <v>152.58</v>
      </c>
      <c r="S105" s="12">
        <v>97.44</v>
      </c>
      <c r="T105" s="13">
        <f t="shared" si="6"/>
        <v>1227963.84</v>
      </c>
      <c r="U105" s="13">
        <f t="shared" si="7"/>
        <v>2377543.84</v>
      </c>
      <c r="V105" s="13">
        <f t="shared" si="8"/>
        <v>-1149580</v>
      </c>
      <c r="W105" s="14">
        <f>Q105/totals!B$2</f>
        <v>0.00122374677</v>
      </c>
      <c r="X105" s="14">
        <f t="shared" si="9"/>
        <v>0.07519853953</v>
      </c>
      <c r="Y105" s="14">
        <f>T105/totals!B$5</f>
        <v>0.0007214280149</v>
      </c>
      <c r="Z105" s="14">
        <f t="shared" si="10"/>
        <v>0.06406528076</v>
      </c>
      <c r="AA105" s="14">
        <f>V105/totals!B$4</f>
        <v>-0.00229223479</v>
      </c>
      <c r="AB105" s="14">
        <f t="shared" si="11"/>
        <v>0.06540757847</v>
      </c>
    </row>
    <row r="106">
      <c r="A106" s="7">
        <v>8681.0</v>
      </c>
      <c r="B106" s="7" t="str">
        <f>VLOOKUP($A106,product_category,2, False)</f>
        <v>Office Supplies</v>
      </c>
      <c r="C106" s="7">
        <v>1.63744628E8</v>
      </c>
      <c r="D106" s="9">
        <v>42842.0</v>
      </c>
      <c r="E106" s="10">
        <f t="shared" si="1"/>
        <v>4</v>
      </c>
      <c r="F106" s="10" t="str">
        <f t="shared" si="2"/>
        <v>Apr</v>
      </c>
      <c r="G106" s="11">
        <f t="shared" si="3"/>
        <v>17</v>
      </c>
      <c r="H106" s="7">
        <f t="shared" si="4"/>
        <v>2017</v>
      </c>
      <c r="I106" s="9">
        <v>42856.0</v>
      </c>
      <c r="J106" s="11">
        <f t="shared" si="5"/>
        <v>14</v>
      </c>
      <c r="K106" s="7" t="s">
        <v>322</v>
      </c>
      <c r="L106" s="7" t="s">
        <v>283</v>
      </c>
      <c r="M106" s="7" t="str">
        <f>VLOOKUP(L106,countries, 2,false)</f>
        <v>Finland</v>
      </c>
      <c r="N106" s="7" t="str">
        <f>VLOOKUP(L106,countries, 4,false)</f>
        <v>Europe</v>
      </c>
      <c r="O106" s="7" t="str">
        <f>VLOOKUP(L106,countries, 5,false)</f>
        <v>Northern Europe</v>
      </c>
      <c r="P106" s="7" t="s">
        <v>212</v>
      </c>
      <c r="Q106" s="7">
        <v>4529.0</v>
      </c>
      <c r="R106" s="12">
        <v>651.21</v>
      </c>
      <c r="S106" s="12">
        <v>524.96</v>
      </c>
      <c r="T106" s="13">
        <f t="shared" si="6"/>
        <v>2949330.09</v>
      </c>
      <c r="U106" s="13">
        <f t="shared" si="7"/>
        <v>2525113.56</v>
      </c>
      <c r="V106" s="13">
        <f t="shared" si="8"/>
        <v>424216.53</v>
      </c>
      <c r="W106" s="14">
        <f>Q106/totals!B$2</f>
        <v>0.0006886616699</v>
      </c>
      <c r="X106" s="14">
        <f t="shared" si="9"/>
        <v>0.0758872012</v>
      </c>
      <c r="Y106" s="14">
        <f>T106/totals!B$5</f>
        <v>0.001732729648</v>
      </c>
      <c r="Z106" s="14">
        <f t="shared" si="10"/>
        <v>0.0657980104</v>
      </c>
      <c r="AA106" s="14">
        <f>V106/totals!B$4</f>
        <v>0.0008458775278</v>
      </c>
      <c r="AB106" s="14">
        <f t="shared" si="11"/>
        <v>0.066253456</v>
      </c>
    </row>
    <row r="107">
      <c r="A107" s="7">
        <v>8875.0</v>
      </c>
      <c r="B107" s="7" t="str">
        <f>VLOOKUP($A107,product_category,2, False)</f>
        <v>Meat</v>
      </c>
      <c r="C107" s="7">
        <v>1.64259612E8</v>
      </c>
      <c r="D107" s="9">
        <v>42085.0</v>
      </c>
      <c r="E107" s="10">
        <f t="shared" si="1"/>
        <v>3</v>
      </c>
      <c r="F107" s="10" t="str">
        <f t="shared" si="2"/>
        <v>Mar</v>
      </c>
      <c r="G107" s="11">
        <f t="shared" si="3"/>
        <v>22</v>
      </c>
      <c r="H107" s="7">
        <f t="shared" si="4"/>
        <v>2015</v>
      </c>
      <c r="I107" s="9">
        <v>42123.0</v>
      </c>
      <c r="J107" s="11">
        <f t="shared" si="5"/>
        <v>38</v>
      </c>
      <c r="K107" s="7" t="s">
        <v>110</v>
      </c>
      <c r="L107" s="7" t="s">
        <v>113</v>
      </c>
      <c r="M107" s="7" t="str">
        <f>VLOOKUP(L107,countries, 2,false)</f>
        <v>Belgium</v>
      </c>
      <c r="N107" s="7" t="str">
        <f>VLOOKUP(L107,countries, 4,false)</f>
        <v>Europe</v>
      </c>
      <c r="O107" s="7" t="str">
        <f>VLOOKUP(L107,countries, 5,false)</f>
        <v>Western Europe</v>
      </c>
      <c r="P107" s="7" t="s">
        <v>212</v>
      </c>
      <c r="Q107" s="7">
        <v>6924.0</v>
      </c>
      <c r="R107" s="12">
        <v>421.89</v>
      </c>
      <c r="S107" s="12">
        <v>364.69</v>
      </c>
      <c r="T107" s="13">
        <f t="shared" si="6"/>
        <v>2921166.36</v>
      </c>
      <c r="U107" s="13">
        <f t="shared" si="7"/>
        <v>64117.76</v>
      </c>
      <c r="V107" s="13">
        <f t="shared" si="8"/>
        <v>2857048.6</v>
      </c>
      <c r="W107" s="14">
        <f>Q107/totals!B$2</f>
        <v>0.001052835814</v>
      </c>
      <c r="X107" s="14">
        <f t="shared" si="9"/>
        <v>0.07694003702</v>
      </c>
      <c r="Y107" s="14">
        <f>T107/totals!B$5</f>
        <v>0.001716183473</v>
      </c>
      <c r="Z107" s="14">
        <f t="shared" si="10"/>
        <v>0.06751419388</v>
      </c>
      <c r="AA107" s="14">
        <f>V107/totals!B$4</f>
        <v>0.00569688599</v>
      </c>
      <c r="AB107" s="14">
        <f t="shared" si="11"/>
        <v>0.07195034199</v>
      </c>
    </row>
    <row r="108">
      <c r="A108" s="7">
        <v>2455.0</v>
      </c>
      <c r="B108" s="7" t="str">
        <f>VLOOKUP($A108,product_category,2, False)</f>
        <v>Clothes</v>
      </c>
      <c r="C108" s="7">
        <v>1.668105E8</v>
      </c>
      <c r="D108" s="9">
        <v>40826.0</v>
      </c>
      <c r="E108" s="10">
        <f t="shared" si="1"/>
        <v>10</v>
      </c>
      <c r="F108" s="10" t="str">
        <f t="shared" si="2"/>
        <v>Oct</v>
      </c>
      <c r="G108" s="11">
        <f t="shared" si="3"/>
        <v>10</v>
      </c>
      <c r="H108" s="7">
        <f t="shared" si="4"/>
        <v>2011</v>
      </c>
      <c r="I108" s="9">
        <v>40868.0</v>
      </c>
      <c r="J108" s="11">
        <f t="shared" si="5"/>
        <v>42</v>
      </c>
      <c r="K108" s="7" t="s">
        <v>110</v>
      </c>
      <c r="L108" s="7" t="s">
        <v>136</v>
      </c>
      <c r="M108" s="7" t="str">
        <f>VLOOKUP(L108,countries, 2,false)</f>
        <v>Bosnia and Herzegovina</v>
      </c>
      <c r="N108" s="7" t="str">
        <f>VLOOKUP(L108,countries, 4,false)</f>
        <v>Europe</v>
      </c>
      <c r="O108" s="7" t="str">
        <f>VLOOKUP(L108,countries, 5,false)</f>
        <v>Southern Europe</v>
      </c>
      <c r="P108" s="7" t="s">
        <v>129</v>
      </c>
      <c r="Q108" s="7">
        <v>1789.0</v>
      </c>
      <c r="R108" s="12">
        <v>109.28</v>
      </c>
      <c r="S108" s="12">
        <v>35.84</v>
      </c>
      <c r="T108" s="13">
        <f t="shared" si="6"/>
        <v>195501.92</v>
      </c>
      <c r="U108" s="13">
        <f t="shared" si="7"/>
        <v>4360842.72</v>
      </c>
      <c r="V108" s="13">
        <f t="shared" si="8"/>
        <v>-4165340.8</v>
      </c>
      <c r="W108" s="14">
        <f>Q108/totals!B$2</f>
        <v>0.0002720282021</v>
      </c>
      <c r="X108" s="14">
        <f t="shared" si="9"/>
        <v>0.07721206522</v>
      </c>
      <c r="Y108" s="14">
        <f>T108/totals!B$5</f>
        <v>0.00011485726</v>
      </c>
      <c r="Z108" s="14">
        <f t="shared" si="10"/>
        <v>0.06762905114</v>
      </c>
      <c r="AA108" s="14">
        <f>V108/totals!B$4</f>
        <v>-0.008305589078</v>
      </c>
      <c r="AB108" s="14">
        <f t="shared" si="11"/>
        <v>0.06364475291</v>
      </c>
    </row>
    <row r="109">
      <c r="A109" s="7">
        <v>8681.0</v>
      </c>
      <c r="B109" s="7" t="str">
        <f>VLOOKUP($A109,product_category,2, False)</f>
        <v>Office Supplies</v>
      </c>
      <c r="C109" s="7">
        <v>1.68319404E8</v>
      </c>
      <c r="D109" s="9">
        <v>40959.0</v>
      </c>
      <c r="E109" s="10">
        <f t="shared" si="1"/>
        <v>2</v>
      </c>
      <c r="F109" s="10" t="str">
        <f t="shared" si="2"/>
        <v>Feb</v>
      </c>
      <c r="G109" s="11">
        <f t="shared" si="3"/>
        <v>20</v>
      </c>
      <c r="H109" s="7">
        <f t="shared" si="4"/>
        <v>2012</v>
      </c>
      <c r="I109" s="9">
        <v>40978.0</v>
      </c>
      <c r="J109" s="11">
        <f t="shared" si="5"/>
        <v>19</v>
      </c>
      <c r="K109" s="7" t="s">
        <v>382</v>
      </c>
      <c r="L109" s="7" t="s">
        <v>439</v>
      </c>
      <c r="M109" s="7" t="str">
        <f>VLOOKUP(L109,countries, 2,false)</f>
        <v>Slovakia</v>
      </c>
      <c r="N109" s="7" t="str">
        <f>VLOOKUP(L109,countries, 4,false)</f>
        <v>Europe</v>
      </c>
      <c r="O109" s="7" t="str">
        <f>VLOOKUP(L109,countries, 5,false)</f>
        <v>Eastern Europe</v>
      </c>
      <c r="P109" s="7" t="s">
        <v>129</v>
      </c>
      <c r="Q109" s="7">
        <v>8307.0</v>
      </c>
      <c r="R109" s="12">
        <v>651.21</v>
      </c>
      <c r="S109" s="12">
        <v>524.96</v>
      </c>
      <c r="T109" s="13">
        <f t="shared" si="6"/>
        <v>5409601.47</v>
      </c>
      <c r="U109" s="13">
        <f t="shared" si="7"/>
        <v>4179731.52</v>
      </c>
      <c r="V109" s="13">
        <f t="shared" si="8"/>
        <v>1229869.95</v>
      </c>
      <c r="W109" s="14">
        <f>Q109/totals!B$2</f>
        <v>0.001263129276</v>
      </c>
      <c r="X109" s="14">
        <f t="shared" si="9"/>
        <v>0.07847519449</v>
      </c>
      <c r="Y109" s="14">
        <f>T109/totals!B$5</f>
        <v>0.003178137599</v>
      </c>
      <c r="Z109" s="14">
        <f t="shared" si="10"/>
        <v>0.07080718874</v>
      </c>
      <c r="AA109" s="14">
        <f>V109/totals!B$4</f>
        <v>0.002452331013</v>
      </c>
      <c r="AB109" s="14">
        <f t="shared" si="11"/>
        <v>0.06609708393</v>
      </c>
    </row>
    <row r="110">
      <c r="A110" s="7">
        <v>8681.0</v>
      </c>
      <c r="B110" s="7" t="str">
        <f>VLOOKUP($A110,product_category,2, False)</f>
        <v>Office Supplies</v>
      </c>
      <c r="C110" s="7">
        <v>1.68487203E8</v>
      </c>
      <c r="D110" s="9">
        <v>41854.0</v>
      </c>
      <c r="E110" s="10">
        <f t="shared" si="1"/>
        <v>8</v>
      </c>
      <c r="F110" s="10" t="str">
        <f t="shared" si="2"/>
        <v>Aug</v>
      </c>
      <c r="G110" s="11">
        <f t="shared" si="3"/>
        <v>3</v>
      </c>
      <c r="H110" s="7">
        <f t="shared" si="4"/>
        <v>2014</v>
      </c>
      <c r="I110" s="9">
        <v>41903.0</v>
      </c>
      <c r="J110" s="11">
        <f t="shared" si="5"/>
        <v>49</v>
      </c>
      <c r="K110" s="7" t="s">
        <v>382</v>
      </c>
      <c r="L110" s="7" t="e">
        <v>#N/A</v>
      </c>
      <c r="M110" s="7"/>
      <c r="N110" s="7"/>
      <c r="O110" s="7"/>
      <c r="P110" s="7" t="s">
        <v>212</v>
      </c>
      <c r="Q110" s="7">
        <v>7962.0</v>
      </c>
      <c r="R110" s="12">
        <v>651.21</v>
      </c>
      <c r="S110" s="12">
        <v>524.96</v>
      </c>
      <c r="T110" s="13">
        <f t="shared" si="6"/>
        <v>5184934.02</v>
      </c>
      <c r="U110" s="13">
        <f t="shared" si="7"/>
        <v>1281577.38</v>
      </c>
      <c r="V110" s="13">
        <f t="shared" si="8"/>
        <v>3903356.64</v>
      </c>
      <c r="W110" s="14">
        <f>Q110/totals!B$2</f>
        <v>0.001210669953</v>
      </c>
      <c r="X110" s="14">
        <f t="shared" si="9"/>
        <v>0.07968586445</v>
      </c>
      <c r="Y110" s="14">
        <f>T110/totals!B$5</f>
        <v>0.003046145607</v>
      </c>
      <c r="Z110" s="14">
        <f t="shared" si="10"/>
        <v>0.07385333434</v>
      </c>
      <c r="AA110" s="14">
        <f>V110/totals!B$4</f>
        <v>0.007783198983</v>
      </c>
      <c r="AB110" s="14">
        <f t="shared" si="11"/>
        <v>0.07388028291</v>
      </c>
    </row>
    <row r="111">
      <c r="A111" s="7">
        <v>7331.0</v>
      </c>
      <c r="B111" s="7" t="str">
        <f>VLOOKUP($A111,product_category,2, False)</f>
        <v>Baby Food</v>
      </c>
      <c r="C111" s="7">
        <v>1.68960559E8</v>
      </c>
      <c r="D111" s="9">
        <v>41469.0</v>
      </c>
      <c r="E111" s="10">
        <f t="shared" si="1"/>
        <v>7</v>
      </c>
      <c r="F111" s="10" t="str">
        <f t="shared" si="2"/>
        <v>Jul</v>
      </c>
      <c r="G111" s="11">
        <f t="shared" si="3"/>
        <v>14</v>
      </c>
      <c r="H111" s="7">
        <f t="shared" si="4"/>
        <v>2013</v>
      </c>
      <c r="I111" s="9">
        <v>41505.0</v>
      </c>
      <c r="J111" s="11">
        <f t="shared" si="5"/>
        <v>36</v>
      </c>
      <c r="K111" s="7" t="s">
        <v>382</v>
      </c>
      <c r="L111" s="7" t="s">
        <v>304</v>
      </c>
      <c r="M111" s="7" t="str">
        <f>VLOOKUP(L111,countries, 2,false)</f>
        <v>Georgia</v>
      </c>
      <c r="N111" s="7" t="str">
        <f>VLOOKUP(L111,countries, 4,false)</f>
        <v>Asia</v>
      </c>
      <c r="O111" s="7" t="str">
        <f>VLOOKUP(L111,countries, 5,false)</f>
        <v>Western Asia</v>
      </c>
      <c r="P111" s="7" t="s">
        <v>129</v>
      </c>
      <c r="Q111" s="7">
        <v>8039.0</v>
      </c>
      <c r="R111" s="12">
        <v>255.28</v>
      </c>
      <c r="S111" s="12">
        <v>159.42</v>
      </c>
      <c r="T111" s="13">
        <f t="shared" si="6"/>
        <v>2052195.92</v>
      </c>
      <c r="U111" s="13">
        <f t="shared" si="7"/>
        <v>1322730.63</v>
      </c>
      <c r="V111" s="13">
        <f t="shared" si="8"/>
        <v>729465.29</v>
      </c>
      <c r="W111" s="14">
        <f>Q111/totals!B$2</f>
        <v>0.001222378265</v>
      </c>
      <c r="X111" s="14">
        <f t="shared" si="9"/>
        <v>0.08090824271</v>
      </c>
      <c r="Y111" s="14">
        <f>T111/totals!B$5</f>
        <v>0.001205663864</v>
      </c>
      <c r="Z111" s="14">
        <f t="shared" si="10"/>
        <v>0.07505899821</v>
      </c>
      <c r="AA111" s="14">
        <f>V111/totals!B$4</f>
        <v>0.001454536192</v>
      </c>
      <c r="AB111" s="14">
        <f t="shared" si="11"/>
        <v>0.0753348191</v>
      </c>
    </row>
    <row r="112">
      <c r="A112" s="7">
        <v>8875.0</v>
      </c>
      <c r="B112" s="7" t="str">
        <f>VLOOKUP($A112,product_category,2, False)</f>
        <v>Meat</v>
      </c>
      <c r="C112" s="7">
        <v>1.68979442E8</v>
      </c>
      <c r="D112" s="9">
        <v>40473.0</v>
      </c>
      <c r="E112" s="10">
        <f t="shared" si="1"/>
        <v>10</v>
      </c>
      <c r="F112" s="10" t="str">
        <f t="shared" si="2"/>
        <v>Oct</v>
      </c>
      <c r="G112" s="11">
        <f t="shared" si="3"/>
        <v>22</v>
      </c>
      <c r="H112" s="7">
        <f t="shared" si="4"/>
        <v>2010</v>
      </c>
      <c r="I112" s="9">
        <v>40522.0</v>
      </c>
      <c r="J112" s="11">
        <f t="shared" si="5"/>
        <v>49</v>
      </c>
      <c r="K112" s="7" t="s">
        <v>382</v>
      </c>
      <c r="L112" s="7" t="s">
        <v>642</v>
      </c>
      <c r="M112" s="7" t="str">
        <f>VLOOKUP(L112,countries, 2,false)</f>
        <v>San Marino</v>
      </c>
      <c r="N112" s="7" t="str">
        <f>VLOOKUP(L112,countries, 4,false)</f>
        <v>Europe</v>
      </c>
      <c r="O112" s="7" t="str">
        <f>VLOOKUP(L112,countries, 5,false)</f>
        <v>Southern Europe</v>
      </c>
      <c r="P112" s="7" t="s">
        <v>129</v>
      </c>
      <c r="Q112" s="7">
        <v>3627.0</v>
      </c>
      <c r="R112" s="12">
        <v>421.89</v>
      </c>
      <c r="S112" s="12">
        <v>364.69</v>
      </c>
      <c r="T112" s="13">
        <f t="shared" si="6"/>
        <v>1530195.03</v>
      </c>
      <c r="U112" s="13">
        <f t="shared" si="7"/>
        <v>678323.4</v>
      </c>
      <c r="V112" s="13">
        <f t="shared" si="8"/>
        <v>851871.63</v>
      </c>
      <c r="W112" s="14">
        <f>Q112/totals!B$2</f>
        <v>0.0005515071488</v>
      </c>
      <c r="X112" s="14">
        <f t="shared" si="9"/>
        <v>0.08145974986</v>
      </c>
      <c r="Y112" s="14">
        <f>T112/totals!B$5</f>
        <v>0.0008989886566</v>
      </c>
      <c r="Z112" s="14">
        <f t="shared" si="10"/>
        <v>0.07595798686</v>
      </c>
      <c r="AA112" s="14">
        <f>V112/totals!B$4</f>
        <v>0.001698611481</v>
      </c>
      <c r="AB112" s="14">
        <f t="shared" si="11"/>
        <v>0.07703343058</v>
      </c>
    </row>
    <row r="113">
      <c r="A113" s="7">
        <v>8875.0</v>
      </c>
      <c r="B113" s="7" t="str">
        <f>VLOOKUP($A113,product_category,2, False)</f>
        <v>Meat</v>
      </c>
      <c r="C113" s="7">
        <v>1.69378983E8</v>
      </c>
      <c r="D113" s="9">
        <v>41719.0</v>
      </c>
      <c r="E113" s="10">
        <f t="shared" si="1"/>
        <v>3</v>
      </c>
      <c r="F113" s="10" t="str">
        <f t="shared" si="2"/>
        <v>Mar</v>
      </c>
      <c r="G113" s="11">
        <f t="shared" si="3"/>
        <v>21</v>
      </c>
      <c r="H113" s="7">
        <f t="shared" si="4"/>
        <v>2014</v>
      </c>
      <c r="I113" s="9">
        <v>41739.0</v>
      </c>
      <c r="J113" s="11">
        <f t="shared" si="5"/>
        <v>20</v>
      </c>
      <c r="K113" s="7" t="s">
        <v>322</v>
      </c>
      <c r="L113" s="7" t="s">
        <v>705</v>
      </c>
      <c r="M113" s="7" t="str">
        <f>VLOOKUP(L113,countries, 2,false)</f>
        <v>Switzerland</v>
      </c>
      <c r="N113" s="7" t="str">
        <f>VLOOKUP(L113,countries, 4,false)</f>
        <v>Europe</v>
      </c>
      <c r="O113" s="7" t="str">
        <f>VLOOKUP(L113,countries, 5,false)</f>
        <v>Western Europe</v>
      </c>
      <c r="P113" s="7" t="s">
        <v>129</v>
      </c>
      <c r="Q113" s="7">
        <v>1860.0</v>
      </c>
      <c r="R113" s="12">
        <v>421.89</v>
      </c>
      <c r="S113" s="12">
        <v>364.69</v>
      </c>
      <c r="T113" s="13">
        <f t="shared" si="6"/>
        <v>784715.4</v>
      </c>
      <c r="U113" s="13">
        <f t="shared" si="7"/>
        <v>44585.56</v>
      </c>
      <c r="V113" s="13">
        <f t="shared" si="8"/>
        <v>740129.84</v>
      </c>
      <c r="W113" s="14">
        <f>Q113/totals!B$2</f>
        <v>0.0002828241789</v>
      </c>
      <c r="X113" s="14">
        <f t="shared" si="9"/>
        <v>0.08174257404</v>
      </c>
      <c r="Y113" s="14">
        <f>T113/totals!B$5</f>
        <v>0.0004610198239</v>
      </c>
      <c r="Z113" s="14">
        <f t="shared" si="10"/>
        <v>0.07641900669</v>
      </c>
      <c r="AA113" s="14">
        <f>V113/totals!B$4</f>
        <v>0.001475801047</v>
      </c>
      <c r="AB113" s="14">
        <f t="shared" si="11"/>
        <v>0.07850923163</v>
      </c>
    </row>
    <row r="114">
      <c r="A114" s="7">
        <v>4594.0</v>
      </c>
      <c r="B114" s="7" t="str">
        <f>VLOOKUP($A114,product_category,2, False)</f>
        <v>Fruits</v>
      </c>
      <c r="C114" s="7">
        <v>1.69799983E8</v>
      </c>
      <c r="D114" s="9">
        <v>41204.0</v>
      </c>
      <c r="E114" s="10">
        <f t="shared" si="1"/>
        <v>10</v>
      </c>
      <c r="F114" s="10" t="str">
        <f t="shared" si="2"/>
        <v>Oct</v>
      </c>
      <c r="G114" s="11">
        <f t="shared" si="3"/>
        <v>22</v>
      </c>
      <c r="H114" s="7">
        <f t="shared" si="4"/>
        <v>2012</v>
      </c>
      <c r="I114" s="9">
        <v>41233.0</v>
      </c>
      <c r="J114" s="11">
        <f t="shared" si="5"/>
        <v>29</v>
      </c>
      <c r="K114" s="7" t="s">
        <v>382</v>
      </c>
      <c r="L114" s="7" t="s">
        <v>670</v>
      </c>
      <c r="M114" s="7" t="str">
        <f>VLOOKUP(L114,countries, 2,false)</f>
        <v>Slovenia</v>
      </c>
      <c r="N114" s="7" t="str">
        <f>VLOOKUP(L114,countries, 4,false)</f>
        <v>Europe</v>
      </c>
      <c r="O114" s="7" t="str">
        <f>VLOOKUP(L114,countries, 5,false)</f>
        <v>Southern Europe</v>
      </c>
      <c r="P114" s="7" t="s">
        <v>129</v>
      </c>
      <c r="Q114" s="7">
        <v>6443.0</v>
      </c>
      <c r="R114" s="12">
        <v>9.33</v>
      </c>
      <c r="S114" s="12">
        <v>6.92</v>
      </c>
      <c r="T114" s="13">
        <f t="shared" si="6"/>
        <v>60113.19</v>
      </c>
      <c r="U114" s="13">
        <f t="shared" si="7"/>
        <v>350264.32</v>
      </c>
      <c r="V114" s="13">
        <f t="shared" si="8"/>
        <v>-290151.13</v>
      </c>
      <c r="W114" s="14">
        <f>Q114/totals!B$2</f>
        <v>0.0009796968733</v>
      </c>
      <c r="X114" s="14">
        <f t="shared" si="9"/>
        <v>0.08272227091</v>
      </c>
      <c r="Y114" s="14">
        <f>T114/totals!B$5</f>
        <v>0.00003531646284</v>
      </c>
      <c r="Z114" s="14">
        <f t="shared" si="10"/>
        <v>0.07645432315</v>
      </c>
      <c r="AA114" s="14">
        <f>V114/totals!B$4</f>
        <v>-0.0005785543541</v>
      </c>
      <c r="AB114" s="14">
        <f t="shared" si="11"/>
        <v>0.07793067728</v>
      </c>
    </row>
    <row r="115">
      <c r="A115" s="7">
        <v>2455.0</v>
      </c>
      <c r="B115" s="7" t="str">
        <f>VLOOKUP($A115,product_category,2, False)</f>
        <v>Clothes</v>
      </c>
      <c r="C115" s="7">
        <v>1.73122918E8</v>
      </c>
      <c r="D115" s="9">
        <v>42163.0</v>
      </c>
      <c r="E115" s="10">
        <f t="shared" si="1"/>
        <v>6</v>
      </c>
      <c r="F115" s="10" t="str">
        <f t="shared" si="2"/>
        <v>Jun</v>
      </c>
      <c r="G115" s="11">
        <f t="shared" si="3"/>
        <v>8</v>
      </c>
      <c r="H115" s="7">
        <f t="shared" si="4"/>
        <v>2015</v>
      </c>
      <c r="I115" s="9">
        <v>42210.0</v>
      </c>
      <c r="J115" s="11">
        <f t="shared" si="5"/>
        <v>47</v>
      </c>
      <c r="K115" s="7" t="s">
        <v>110</v>
      </c>
      <c r="L115" s="7" t="s">
        <v>107</v>
      </c>
      <c r="M115" s="7" t="str">
        <f>VLOOKUP(L115,countries, 2,false)</f>
        <v>Belarus</v>
      </c>
      <c r="N115" s="7" t="str">
        <f>VLOOKUP(L115,countries, 4,false)</f>
        <v>Europe</v>
      </c>
      <c r="O115" s="7" t="str">
        <f>VLOOKUP(L115,countries, 5,false)</f>
        <v>Eastern Europe</v>
      </c>
      <c r="P115" s="7" t="s">
        <v>212</v>
      </c>
      <c r="Q115" s="7">
        <v>9773.0</v>
      </c>
      <c r="R115" s="12">
        <v>109.28</v>
      </c>
      <c r="S115" s="12">
        <v>35.84</v>
      </c>
      <c r="T115" s="13">
        <f t="shared" si="6"/>
        <v>1067993.44</v>
      </c>
      <c r="U115" s="13">
        <f t="shared" si="7"/>
        <v>452864.37</v>
      </c>
      <c r="V115" s="13">
        <f t="shared" si="8"/>
        <v>615129.07</v>
      </c>
      <c r="W115" s="14">
        <f>Q115/totals!B$2</f>
        <v>0.001486043387</v>
      </c>
      <c r="X115" s="14">
        <f t="shared" si="9"/>
        <v>0.0842083143</v>
      </c>
      <c r="Y115" s="14">
        <f>T115/totals!B$5</f>
        <v>0.0006274455014</v>
      </c>
      <c r="Z115" s="14">
        <f t="shared" si="10"/>
        <v>0.07708176865</v>
      </c>
      <c r="AA115" s="14">
        <f>V115/totals!B$4</f>
        <v>0.001226552527</v>
      </c>
      <c r="AB115" s="14">
        <f t="shared" si="11"/>
        <v>0.0791572298</v>
      </c>
    </row>
    <row r="116">
      <c r="A116" s="7">
        <v>2103.0</v>
      </c>
      <c r="B116" s="7" t="str">
        <f>VLOOKUP($A116,product_category,2, False)</f>
        <v>Cereal</v>
      </c>
      <c r="C116" s="7">
        <v>1.74218118E8</v>
      </c>
      <c r="D116" s="9">
        <v>42490.0</v>
      </c>
      <c r="E116" s="10">
        <f t="shared" si="1"/>
        <v>4</v>
      </c>
      <c r="F116" s="10" t="str">
        <f t="shared" si="2"/>
        <v>Apr</v>
      </c>
      <c r="G116" s="11">
        <f t="shared" si="3"/>
        <v>30</v>
      </c>
      <c r="H116" s="7">
        <f t="shared" si="4"/>
        <v>2016</v>
      </c>
      <c r="I116" s="9">
        <v>42534.0</v>
      </c>
      <c r="J116" s="11">
        <f t="shared" si="5"/>
        <v>44</v>
      </c>
      <c r="K116" s="7" t="s">
        <v>110</v>
      </c>
      <c r="L116" s="7" t="s">
        <v>307</v>
      </c>
      <c r="M116" s="7" t="str">
        <f>VLOOKUP(L116,countries, 2,false)</f>
        <v>Germany</v>
      </c>
      <c r="N116" s="7" t="str">
        <f>VLOOKUP(L116,countries, 4,false)</f>
        <v>Europe</v>
      </c>
      <c r="O116" s="7" t="str">
        <f>VLOOKUP(L116,countries, 5,false)</f>
        <v>Western Europe</v>
      </c>
      <c r="P116" s="7" t="s">
        <v>212</v>
      </c>
      <c r="Q116" s="7">
        <v>3867.0</v>
      </c>
      <c r="R116" s="12">
        <v>205.7</v>
      </c>
      <c r="S116" s="12">
        <v>117.11</v>
      </c>
      <c r="T116" s="13">
        <f t="shared" si="6"/>
        <v>795441.9</v>
      </c>
      <c r="U116" s="13">
        <f t="shared" si="7"/>
        <v>172970.7</v>
      </c>
      <c r="V116" s="13">
        <f t="shared" si="8"/>
        <v>622471.2</v>
      </c>
      <c r="W116" s="14">
        <f>Q116/totals!B$2</f>
        <v>0.0005880005912</v>
      </c>
      <c r="X116" s="14">
        <f t="shared" si="9"/>
        <v>0.08479631489</v>
      </c>
      <c r="Y116" s="14">
        <f>T116/totals!B$5</f>
        <v>0.0004673216362</v>
      </c>
      <c r="Z116" s="14">
        <f t="shared" si="10"/>
        <v>0.07754909029</v>
      </c>
      <c r="AA116" s="14">
        <f>V116/totals!B$4</f>
        <v>0.001241192557</v>
      </c>
      <c r="AB116" s="14">
        <f t="shared" si="11"/>
        <v>0.08039842236</v>
      </c>
    </row>
    <row r="117">
      <c r="A117" s="7">
        <v>7331.0</v>
      </c>
      <c r="B117" s="7" t="str">
        <f>VLOOKUP($A117,product_category,2, False)</f>
        <v>Baby Food</v>
      </c>
      <c r="C117" s="7">
        <v>1.74614226E8</v>
      </c>
      <c r="D117" s="9">
        <v>42910.0</v>
      </c>
      <c r="E117" s="10">
        <f t="shared" si="1"/>
        <v>6</v>
      </c>
      <c r="F117" s="10" t="str">
        <f t="shared" si="2"/>
        <v>Jun</v>
      </c>
      <c r="G117" s="11">
        <f t="shared" si="3"/>
        <v>24</v>
      </c>
      <c r="H117" s="7">
        <f t="shared" si="4"/>
        <v>2017</v>
      </c>
      <c r="I117" s="9">
        <v>42960.0</v>
      </c>
      <c r="J117" s="11">
        <f t="shared" si="5"/>
        <v>50</v>
      </c>
      <c r="K117" s="7" t="s">
        <v>198</v>
      </c>
      <c r="L117" s="7" t="s">
        <v>56</v>
      </c>
      <c r="M117" s="7" t="str">
        <f>VLOOKUP(L117,countries, 2,false)</f>
        <v>Andorra</v>
      </c>
      <c r="N117" s="7" t="str">
        <f>VLOOKUP(L117,countries, 4,false)</f>
        <v>Europe</v>
      </c>
      <c r="O117" s="7" t="str">
        <f>VLOOKUP(L117,countries, 5,false)</f>
        <v>Southern Europe</v>
      </c>
      <c r="P117" s="7" t="s">
        <v>212</v>
      </c>
      <c r="Q117" s="7">
        <v>1085.0</v>
      </c>
      <c r="R117" s="12">
        <v>255.28</v>
      </c>
      <c r="S117" s="12">
        <v>159.42</v>
      </c>
      <c r="T117" s="13">
        <f t="shared" si="6"/>
        <v>276978.8</v>
      </c>
      <c r="U117" s="13">
        <f t="shared" si="7"/>
        <v>1600519.74</v>
      </c>
      <c r="V117" s="13">
        <f t="shared" si="8"/>
        <v>-1323540.94</v>
      </c>
      <c r="W117" s="14">
        <f>Q117/totals!B$2</f>
        <v>0.000164980771</v>
      </c>
      <c r="X117" s="14">
        <f t="shared" si="9"/>
        <v>0.08496129566</v>
      </c>
      <c r="Y117" s="14">
        <f>T117/totals!B$5</f>
        <v>0.0001627248778</v>
      </c>
      <c r="Z117" s="14">
        <f t="shared" si="10"/>
        <v>0.07771181517</v>
      </c>
      <c r="AA117" s="14">
        <f>V117/totals!B$4</f>
        <v>-0.002639108708</v>
      </c>
      <c r="AB117" s="14">
        <f t="shared" si="11"/>
        <v>0.07775931365</v>
      </c>
    </row>
    <row r="118">
      <c r="A118" s="7">
        <v>8293.0</v>
      </c>
      <c r="B118" s="7" t="str">
        <f>VLOOKUP($A118,product_category,2, False)</f>
        <v>Cosmetics</v>
      </c>
      <c r="C118" s="7">
        <v>1.74935233E8</v>
      </c>
      <c r="D118" s="9">
        <v>42577.0</v>
      </c>
      <c r="E118" s="10">
        <f t="shared" si="1"/>
        <v>7</v>
      </c>
      <c r="F118" s="10" t="str">
        <f t="shared" si="2"/>
        <v>Jul</v>
      </c>
      <c r="G118" s="11">
        <f t="shared" si="3"/>
        <v>26</v>
      </c>
      <c r="H118" s="7">
        <f t="shared" si="4"/>
        <v>2016</v>
      </c>
      <c r="I118" s="9">
        <v>42580.0</v>
      </c>
      <c r="J118" s="11">
        <f t="shared" si="5"/>
        <v>3</v>
      </c>
      <c r="K118" s="7" t="s">
        <v>110</v>
      </c>
      <c r="L118" s="7" t="s">
        <v>286</v>
      </c>
      <c r="M118" s="7" t="str">
        <f>VLOOKUP(L118,countries, 2,false)</f>
        <v>France</v>
      </c>
      <c r="N118" s="7" t="str">
        <f>VLOOKUP(L118,countries, 4,false)</f>
        <v>Europe</v>
      </c>
      <c r="O118" s="7" t="str">
        <f>VLOOKUP(L118,countries, 5,false)</f>
        <v>Western Europe</v>
      </c>
      <c r="P118" s="7" t="s">
        <v>129</v>
      </c>
      <c r="Q118" s="7">
        <v>6078.0</v>
      </c>
      <c r="R118" s="12">
        <v>437.2</v>
      </c>
      <c r="S118" s="12">
        <v>263.33</v>
      </c>
      <c r="T118" s="13">
        <f t="shared" si="6"/>
        <v>2657301.6</v>
      </c>
      <c r="U118" s="13">
        <f t="shared" si="7"/>
        <v>4708799.8</v>
      </c>
      <c r="V118" s="13">
        <f t="shared" si="8"/>
        <v>-2051498.2</v>
      </c>
      <c r="W118" s="14">
        <f>Q118/totals!B$2</f>
        <v>0.0009241964296</v>
      </c>
      <c r="X118" s="14">
        <f t="shared" si="9"/>
        <v>0.08588549209</v>
      </c>
      <c r="Y118" s="14">
        <f>T118/totals!B$5</f>
        <v>0.001561163086</v>
      </c>
      <c r="Z118" s="14">
        <f t="shared" si="10"/>
        <v>0.07927297825</v>
      </c>
      <c r="AA118" s="14">
        <f>V118/totals!B$4</f>
        <v>-0.004090637924</v>
      </c>
      <c r="AB118" s="14">
        <f t="shared" si="11"/>
        <v>0.07366867573</v>
      </c>
    </row>
    <row r="119">
      <c r="A119" s="7">
        <v>7940.0</v>
      </c>
      <c r="B119" s="7" t="str">
        <f>VLOOKUP($A119,product_category,2, False)</f>
        <v>Household</v>
      </c>
      <c r="C119" s="7">
        <v>1.75723588E8</v>
      </c>
      <c r="D119" s="9">
        <v>41799.0</v>
      </c>
      <c r="E119" s="10">
        <f t="shared" si="1"/>
        <v>6</v>
      </c>
      <c r="F119" s="10" t="str">
        <f t="shared" si="2"/>
        <v>Jun</v>
      </c>
      <c r="G119" s="11">
        <f t="shared" si="3"/>
        <v>9</v>
      </c>
      <c r="H119" s="7">
        <f t="shared" si="4"/>
        <v>2014</v>
      </c>
      <c r="I119" s="9">
        <v>41804.0</v>
      </c>
      <c r="J119" s="11">
        <f t="shared" si="5"/>
        <v>5</v>
      </c>
      <c r="K119" s="7" t="s">
        <v>322</v>
      </c>
      <c r="L119" s="7" t="s">
        <v>505</v>
      </c>
      <c r="M119" s="7" t="str">
        <f>VLOOKUP(L119,countries, 2,false)</f>
        <v>Monaco</v>
      </c>
      <c r="N119" s="7" t="str">
        <f>VLOOKUP(L119,countries, 4,false)</f>
        <v>Europe</v>
      </c>
      <c r="O119" s="7" t="str">
        <f>VLOOKUP(L119,countries, 5,false)</f>
        <v>Western Europe</v>
      </c>
      <c r="P119" s="7" t="s">
        <v>129</v>
      </c>
      <c r="Q119" s="7">
        <v>9370.0</v>
      </c>
      <c r="R119" s="12">
        <v>668.27</v>
      </c>
      <c r="S119" s="12">
        <v>502.54</v>
      </c>
      <c r="T119" s="13">
        <f t="shared" si="6"/>
        <v>6261689.9</v>
      </c>
      <c r="U119" s="13">
        <f t="shared" si="7"/>
        <v>719055.4</v>
      </c>
      <c r="V119" s="13">
        <f t="shared" si="8"/>
        <v>5542634.5</v>
      </c>
      <c r="W119" s="14">
        <f>Q119/totals!B$2</f>
        <v>0.001424764815</v>
      </c>
      <c r="X119" s="14">
        <f t="shared" si="9"/>
        <v>0.08731025691</v>
      </c>
      <c r="Y119" s="14">
        <f>T119/totals!B$5</f>
        <v>0.003678739037</v>
      </c>
      <c r="Z119" s="14">
        <f t="shared" si="10"/>
        <v>0.08295171729</v>
      </c>
      <c r="AA119" s="14">
        <f>V119/totals!B$4</f>
        <v>0.01105187949</v>
      </c>
      <c r="AB119" s="14">
        <f t="shared" si="11"/>
        <v>0.08472055522</v>
      </c>
    </row>
    <row r="120">
      <c r="A120" s="7">
        <v>2103.0</v>
      </c>
      <c r="B120" s="7" t="str">
        <f>VLOOKUP($A120,product_category,2, False)</f>
        <v>Cereal</v>
      </c>
      <c r="C120" s="7">
        <v>1.76050603E8</v>
      </c>
      <c r="D120" s="9">
        <v>41525.0</v>
      </c>
      <c r="E120" s="10">
        <f t="shared" si="1"/>
        <v>9</v>
      </c>
      <c r="F120" s="10" t="str">
        <f t="shared" si="2"/>
        <v>Sep</v>
      </c>
      <c r="G120" s="11">
        <f t="shared" si="3"/>
        <v>8</v>
      </c>
      <c r="H120" s="7">
        <f t="shared" si="4"/>
        <v>2013</v>
      </c>
      <c r="I120" s="9">
        <v>41575.0</v>
      </c>
      <c r="J120" s="11">
        <f t="shared" si="5"/>
        <v>50</v>
      </c>
      <c r="K120" s="7" t="s">
        <v>198</v>
      </c>
      <c r="L120" s="7" t="s">
        <v>594</v>
      </c>
      <c r="M120" s="7" t="str">
        <f>VLOOKUP(L120,countries, 2,false)</f>
        <v>Poland</v>
      </c>
      <c r="N120" s="7" t="str">
        <f>VLOOKUP(L120,countries, 4,false)</f>
        <v>Europe</v>
      </c>
      <c r="O120" s="7" t="str">
        <f>VLOOKUP(L120,countries, 5,false)</f>
        <v>Eastern Europe</v>
      </c>
      <c r="P120" s="7" t="s">
        <v>129</v>
      </c>
      <c r="Q120" s="7">
        <v>6140.0</v>
      </c>
      <c r="R120" s="12">
        <v>205.7</v>
      </c>
      <c r="S120" s="12">
        <v>117.11</v>
      </c>
      <c r="T120" s="13">
        <f t="shared" si="6"/>
        <v>1262998</v>
      </c>
      <c r="U120" s="13">
        <f t="shared" si="7"/>
        <v>179773.44</v>
      </c>
      <c r="V120" s="13">
        <f t="shared" si="8"/>
        <v>1083224.56</v>
      </c>
      <c r="W120" s="14">
        <f>Q120/totals!B$2</f>
        <v>0.0009336239022</v>
      </c>
      <c r="X120" s="14">
        <f t="shared" si="9"/>
        <v>0.08824388081</v>
      </c>
      <c r="Y120" s="14">
        <f>T120/totals!B$5</f>
        <v>0.0007420105627</v>
      </c>
      <c r="Z120" s="14">
        <f t="shared" si="10"/>
        <v>0.08369372785</v>
      </c>
      <c r="AA120" s="14">
        <f>V120/totals!B$4</f>
        <v>0.002159923643</v>
      </c>
      <c r="AB120" s="14">
        <f t="shared" si="11"/>
        <v>0.08688047887</v>
      </c>
    </row>
    <row r="121">
      <c r="A121" s="7">
        <v>2455.0</v>
      </c>
      <c r="B121" s="7" t="str">
        <f>VLOOKUP($A121,product_category,2, False)</f>
        <v>Clothes</v>
      </c>
      <c r="C121" s="7">
        <v>1.76722657E8</v>
      </c>
      <c r="D121" s="9">
        <v>41160.0</v>
      </c>
      <c r="E121" s="10">
        <f t="shared" si="1"/>
        <v>9</v>
      </c>
      <c r="F121" s="10" t="str">
        <f t="shared" si="2"/>
        <v>Sep</v>
      </c>
      <c r="G121" s="11">
        <f t="shared" si="3"/>
        <v>8</v>
      </c>
      <c r="H121" s="7">
        <f t="shared" si="4"/>
        <v>2012</v>
      </c>
      <c r="I121" s="9">
        <v>41168.0</v>
      </c>
      <c r="J121" s="11">
        <f t="shared" si="5"/>
        <v>8</v>
      </c>
      <c r="K121" s="7" t="s">
        <v>382</v>
      </c>
      <c r="L121" s="7" t="s">
        <v>264</v>
      </c>
      <c r="M121" s="7" t="str">
        <f>VLOOKUP(L121,countries, 2,false)</f>
        <v>Estonia</v>
      </c>
      <c r="N121" s="7" t="str">
        <f>VLOOKUP(L121,countries, 4,false)</f>
        <v>Europe</v>
      </c>
      <c r="O121" s="7" t="str">
        <f>VLOOKUP(L121,countries, 5,false)</f>
        <v>Northern Europe</v>
      </c>
      <c r="P121" s="7" t="s">
        <v>129</v>
      </c>
      <c r="Q121" s="7">
        <v>5016.0</v>
      </c>
      <c r="R121" s="12">
        <v>109.28</v>
      </c>
      <c r="S121" s="12">
        <v>35.84</v>
      </c>
      <c r="T121" s="13">
        <f t="shared" si="6"/>
        <v>548148.48</v>
      </c>
      <c r="U121" s="13">
        <f t="shared" si="7"/>
        <v>224284.35</v>
      </c>
      <c r="V121" s="13">
        <f t="shared" si="8"/>
        <v>323864.13</v>
      </c>
      <c r="W121" s="14">
        <f>Q121/totals!B$2</f>
        <v>0.0007627129468</v>
      </c>
      <c r="X121" s="14">
        <f t="shared" si="9"/>
        <v>0.08900659376</v>
      </c>
      <c r="Y121" s="14">
        <f>T121/totals!B$5</f>
        <v>0.0003220369012</v>
      </c>
      <c r="Z121" s="14">
        <f t="shared" si="10"/>
        <v>0.08401576475</v>
      </c>
      <c r="AA121" s="14">
        <f>V121/totals!B$4</f>
        <v>0.0006457772629</v>
      </c>
      <c r="AB121" s="14">
        <f t="shared" si="11"/>
        <v>0.08752625613</v>
      </c>
    </row>
    <row r="122">
      <c r="A122" s="7">
        <v>8875.0</v>
      </c>
      <c r="B122" s="7" t="str">
        <f>VLOOKUP($A122,product_category,2, False)</f>
        <v>Meat</v>
      </c>
      <c r="C122" s="7">
        <v>1.7714709E8</v>
      </c>
      <c r="D122" s="9">
        <v>41470.0</v>
      </c>
      <c r="E122" s="10">
        <f t="shared" si="1"/>
        <v>7</v>
      </c>
      <c r="F122" s="10" t="str">
        <f t="shared" si="2"/>
        <v>Jul</v>
      </c>
      <c r="G122" s="11">
        <f t="shared" si="3"/>
        <v>15</v>
      </c>
      <c r="H122" s="7">
        <f t="shared" si="4"/>
        <v>2013</v>
      </c>
      <c r="I122" s="9">
        <v>41503.0</v>
      </c>
      <c r="J122" s="11">
        <f t="shared" si="5"/>
        <v>33</v>
      </c>
      <c r="K122" s="7" t="s">
        <v>322</v>
      </c>
      <c r="L122" s="7" t="s">
        <v>505</v>
      </c>
      <c r="M122" s="7" t="str">
        <f>VLOOKUP(L122,countries, 2,false)</f>
        <v>Monaco</v>
      </c>
      <c r="N122" s="7" t="str">
        <f>VLOOKUP(L122,countries, 4,false)</f>
        <v>Europe</v>
      </c>
      <c r="O122" s="7" t="str">
        <f>VLOOKUP(L122,countries, 5,false)</f>
        <v>Western Europe</v>
      </c>
      <c r="P122" s="7" t="s">
        <v>212</v>
      </c>
      <c r="Q122" s="7">
        <v>615.0</v>
      </c>
      <c r="R122" s="12">
        <v>421.89</v>
      </c>
      <c r="S122" s="12">
        <v>364.69</v>
      </c>
      <c r="T122" s="13">
        <f t="shared" si="6"/>
        <v>259462.35</v>
      </c>
      <c r="U122" s="13">
        <f t="shared" si="7"/>
        <v>887988.18</v>
      </c>
      <c r="V122" s="13">
        <f t="shared" si="8"/>
        <v>-628525.83</v>
      </c>
      <c r="W122" s="14">
        <f>Q122/totals!B$2</f>
        <v>0.00009351444623</v>
      </c>
      <c r="X122" s="14">
        <f t="shared" si="9"/>
        <v>0.0891001082</v>
      </c>
      <c r="Y122" s="14">
        <f>T122/totals!B$5</f>
        <v>0.000152433974</v>
      </c>
      <c r="Z122" s="14">
        <f t="shared" si="10"/>
        <v>0.08416819873</v>
      </c>
      <c r="AA122" s="14">
        <f>V122/totals!B$4</f>
        <v>-0.001253265344</v>
      </c>
      <c r="AB122" s="14">
        <f t="shared" si="11"/>
        <v>0.08627299078</v>
      </c>
    </row>
    <row r="123">
      <c r="A123" s="7">
        <v>7940.0</v>
      </c>
      <c r="B123" s="7" t="str">
        <f>VLOOKUP($A123,product_category,2, False)</f>
        <v>Household</v>
      </c>
      <c r="C123" s="7">
        <v>1.78604066E8</v>
      </c>
      <c r="D123" s="9">
        <v>42267.0</v>
      </c>
      <c r="E123" s="10">
        <f t="shared" si="1"/>
        <v>9</v>
      </c>
      <c r="F123" s="10" t="str">
        <f t="shared" si="2"/>
        <v>Sep</v>
      </c>
      <c r="G123" s="11">
        <f t="shared" si="3"/>
        <v>20</v>
      </c>
      <c r="H123" s="7">
        <f t="shared" si="4"/>
        <v>2015</v>
      </c>
      <c r="I123" s="9">
        <v>42295.0</v>
      </c>
      <c r="J123" s="11">
        <f t="shared" si="5"/>
        <v>28</v>
      </c>
      <c r="K123" s="7" t="s">
        <v>198</v>
      </c>
      <c r="L123" s="7" t="s">
        <v>88</v>
      </c>
      <c r="M123" s="7" t="str">
        <f>VLOOKUP(L123,countries, 2,false)</f>
        <v>Austria</v>
      </c>
      <c r="N123" s="7" t="str">
        <f>VLOOKUP(L123,countries, 4,false)</f>
        <v>Europe</v>
      </c>
      <c r="O123" s="7" t="str">
        <f>VLOOKUP(L123,countries, 5,false)</f>
        <v>Western Europe</v>
      </c>
      <c r="P123" s="7" t="s">
        <v>129</v>
      </c>
      <c r="Q123" s="7">
        <v>1767.0</v>
      </c>
      <c r="R123" s="12">
        <v>668.27</v>
      </c>
      <c r="S123" s="12">
        <v>502.54</v>
      </c>
      <c r="T123" s="13">
        <f t="shared" si="6"/>
        <v>1180833.09</v>
      </c>
      <c r="U123" s="13">
        <f t="shared" si="7"/>
        <v>373928.6</v>
      </c>
      <c r="V123" s="13">
        <f t="shared" si="8"/>
        <v>806904.49</v>
      </c>
      <c r="W123" s="14">
        <f>Q123/totals!B$2</f>
        <v>0.0002686829699</v>
      </c>
      <c r="X123" s="14">
        <f t="shared" si="9"/>
        <v>0.08936879117</v>
      </c>
      <c r="Y123" s="14">
        <f>T123/totals!B$5</f>
        <v>0.0006937387277</v>
      </c>
      <c r="Z123" s="14">
        <f t="shared" si="10"/>
        <v>0.08486193746</v>
      </c>
      <c r="AA123" s="14">
        <f>V123/totals!B$4</f>
        <v>0.001608948089</v>
      </c>
      <c r="AB123" s="14">
        <f t="shared" si="11"/>
        <v>0.08788193887</v>
      </c>
    </row>
    <row r="124">
      <c r="A124" s="7">
        <v>8293.0</v>
      </c>
      <c r="B124" s="7" t="str">
        <f>VLOOKUP($A124,product_category,2, False)</f>
        <v>Cosmetics</v>
      </c>
      <c r="C124" s="7">
        <v>1.79819428E8</v>
      </c>
      <c r="D124" s="9">
        <v>41034.0</v>
      </c>
      <c r="E124" s="10">
        <f t="shared" si="1"/>
        <v>5</v>
      </c>
      <c r="F124" s="10" t="str">
        <f t="shared" si="2"/>
        <v>May</v>
      </c>
      <c r="G124" s="11">
        <f t="shared" si="3"/>
        <v>5</v>
      </c>
      <c r="H124" s="7">
        <f t="shared" si="4"/>
        <v>2012</v>
      </c>
      <c r="I124" s="9">
        <v>41062.0</v>
      </c>
      <c r="J124" s="11">
        <f t="shared" si="5"/>
        <v>28</v>
      </c>
      <c r="K124" s="7" t="s">
        <v>198</v>
      </c>
      <c r="L124" s="7" t="s">
        <v>155</v>
      </c>
      <c r="M124" s="7" t="str">
        <f>VLOOKUP(L124,countries, 2,false)</f>
        <v>Bulgaria</v>
      </c>
      <c r="N124" s="7" t="str">
        <f>VLOOKUP(L124,countries, 4,false)</f>
        <v>Europe</v>
      </c>
      <c r="O124" s="7" t="str">
        <f>VLOOKUP(L124,countries, 5,false)</f>
        <v>Eastern Europe</v>
      </c>
      <c r="P124" s="7" t="s">
        <v>129</v>
      </c>
      <c r="Q124" s="7">
        <v>1420.0</v>
      </c>
      <c r="R124" s="12">
        <v>437.2</v>
      </c>
      <c r="S124" s="12">
        <v>263.33</v>
      </c>
      <c r="T124" s="13">
        <f t="shared" si="6"/>
        <v>620824</v>
      </c>
      <c r="U124" s="13">
        <f t="shared" si="7"/>
        <v>25432</v>
      </c>
      <c r="V124" s="13">
        <f t="shared" si="8"/>
        <v>595392</v>
      </c>
      <c r="W124" s="14">
        <f>Q124/totals!B$2</f>
        <v>0.0002159195344</v>
      </c>
      <c r="X124" s="14">
        <f t="shared" si="9"/>
        <v>0.08958471071</v>
      </c>
      <c r="Y124" s="14">
        <f>T124/totals!B$5</f>
        <v>0.0003647337253</v>
      </c>
      <c r="Z124" s="14">
        <f t="shared" si="10"/>
        <v>0.08522667118</v>
      </c>
      <c r="AA124" s="14">
        <f>V124/totals!B$4</f>
        <v>0.001187197286</v>
      </c>
      <c r="AB124" s="14">
        <f t="shared" si="11"/>
        <v>0.08906913616</v>
      </c>
    </row>
    <row r="125">
      <c r="A125" s="7">
        <v>1270.0</v>
      </c>
      <c r="B125" s="7" t="str">
        <f>VLOOKUP($A125,product_category,2, False)</f>
        <v>Beverages</v>
      </c>
      <c r="C125" s="7">
        <v>1.80358016E8</v>
      </c>
      <c r="D125" s="9">
        <v>42490.0</v>
      </c>
      <c r="E125" s="10">
        <f t="shared" si="1"/>
        <v>4</v>
      </c>
      <c r="F125" s="10" t="str">
        <f t="shared" si="2"/>
        <v>Apr</v>
      </c>
      <c r="G125" s="11">
        <f t="shared" si="3"/>
        <v>30</v>
      </c>
      <c r="H125" s="7">
        <f t="shared" si="4"/>
        <v>2016</v>
      </c>
      <c r="I125" s="9">
        <v>42506.0</v>
      </c>
      <c r="J125" s="11">
        <f t="shared" si="5"/>
        <v>16</v>
      </c>
      <c r="K125" s="7" t="s">
        <v>110</v>
      </c>
      <c r="L125" s="7" t="s">
        <v>478</v>
      </c>
      <c r="M125" s="7" t="str">
        <f>VLOOKUP(L125,countries, 2,false)</f>
        <v>Malta</v>
      </c>
      <c r="N125" s="7" t="str">
        <f>VLOOKUP(L125,countries, 4,false)</f>
        <v>Europe</v>
      </c>
      <c r="O125" s="7" t="str">
        <f>VLOOKUP(L125,countries, 5,false)</f>
        <v>Southern Europe</v>
      </c>
      <c r="P125" s="7" t="s">
        <v>129</v>
      </c>
      <c r="Q125" s="7">
        <v>800.0</v>
      </c>
      <c r="R125" s="12">
        <v>47.45</v>
      </c>
      <c r="S125" s="12">
        <v>31.79</v>
      </c>
      <c r="T125" s="13">
        <f t="shared" si="6"/>
        <v>37960</v>
      </c>
      <c r="U125" s="13">
        <f t="shared" si="7"/>
        <v>612868.2</v>
      </c>
      <c r="V125" s="13">
        <f t="shared" si="8"/>
        <v>-574908.2</v>
      </c>
      <c r="W125" s="14">
        <f>Q125/totals!B$2</f>
        <v>0.0001216448081</v>
      </c>
      <c r="X125" s="14">
        <f t="shared" si="9"/>
        <v>0.08970635552</v>
      </c>
      <c r="Y125" s="14">
        <f>T125/totals!B$5</f>
        <v>0.00002230147709</v>
      </c>
      <c r="Z125" s="14">
        <f t="shared" si="10"/>
        <v>0.08524897266</v>
      </c>
      <c r="AA125" s="14">
        <f>V125/totals!B$4</f>
        <v>-0.001146353083</v>
      </c>
      <c r="AB125" s="14">
        <f t="shared" si="11"/>
        <v>0.08792278308</v>
      </c>
    </row>
    <row r="126">
      <c r="A126" s="7">
        <v>5988.0</v>
      </c>
      <c r="B126" s="7" t="str">
        <f>VLOOKUP($A126,product_category,2, False)</f>
        <v>Vegetables</v>
      </c>
      <c r="C126" s="7">
        <v>1.80479466E8</v>
      </c>
      <c r="D126" s="9">
        <v>40548.0</v>
      </c>
      <c r="E126" s="10">
        <f t="shared" si="1"/>
        <v>1</v>
      </c>
      <c r="F126" s="10" t="str">
        <f t="shared" si="2"/>
        <v>Jan</v>
      </c>
      <c r="G126" s="11">
        <f t="shared" si="3"/>
        <v>5</v>
      </c>
      <c r="H126" s="7">
        <f t="shared" si="4"/>
        <v>2011</v>
      </c>
      <c r="I126" s="9">
        <v>40555.0</v>
      </c>
      <c r="J126" s="11">
        <f t="shared" si="5"/>
        <v>7</v>
      </c>
      <c r="K126" s="7" t="s">
        <v>198</v>
      </c>
      <c r="L126" s="7" t="s">
        <v>107</v>
      </c>
      <c r="M126" s="7" t="str">
        <f>VLOOKUP(L126,countries, 2,false)</f>
        <v>Belarus</v>
      </c>
      <c r="N126" s="7" t="str">
        <f>VLOOKUP(L126,countries, 4,false)</f>
        <v>Europe</v>
      </c>
      <c r="O126" s="7" t="str">
        <f>VLOOKUP(L126,countries, 5,false)</f>
        <v>Eastern Europe</v>
      </c>
      <c r="P126" s="7" t="s">
        <v>129</v>
      </c>
      <c r="Q126" s="7">
        <v>6740.0</v>
      </c>
      <c r="R126" s="12">
        <v>154.06</v>
      </c>
      <c r="S126" s="12">
        <v>90.93</v>
      </c>
      <c r="T126" s="13">
        <f t="shared" si="6"/>
        <v>1038364.4</v>
      </c>
      <c r="U126" s="13">
        <f t="shared" si="7"/>
        <v>4132485.12</v>
      </c>
      <c r="V126" s="13">
        <f t="shared" si="8"/>
        <v>-3094120.72</v>
      </c>
      <c r="W126" s="14">
        <f>Q126/totals!B$2</f>
        <v>0.001024857508</v>
      </c>
      <c r="X126" s="14">
        <f t="shared" si="9"/>
        <v>0.09073121302</v>
      </c>
      <c r="Y126" s="14">
        <f>T126/totals!B$5</f>
        <v>0.0006100384583</v>
      </c>
      <c r="Z126" s="14">
        <f t="shared" si="10"/>
        <v>0.08585901112</v>
      </c>
      <c r="AA126" s="14">
        <f>V126/totals!B$4</f>
        <v>-0.006169602079</v>
      </c>
      <c r="AB126" s="14">
        <f t="shared" si="11"/>
        <v>0.081753181</v>
      </c>
    </row>
    <row r="127">
      <c r="A127" s="7">
        <v>8681.0</v>
      </c>
      <c r="B127" s="7" t="str">
        <f>VLOOKUP($A127,product_category,2, False)</f>
        <v>Office Supplies</v>
      </c>
      <c r="C127" s="7">
        <v>1.81260526E8</v>
      </c>
      <c r="D127" s="9">
        <v>42858.0</v>
      </c>
      <c r="E127" s="10">
        <f t="shared" si="1"/>
        <v>5</v>
      </c>
      <c r="F127" s="10" t="str">
        <f t="shared" si="2"/>
        <v>May</v>
      </c>
      <c r="G127" s="11">
        <f t="shared" si="3"/>
        <v>3</v>
      </c>
      <c r="H127" s="7">
        <f t="shared" si="4"/>
        <v>2017</v>
      </c>
      <c r="I127" s="9">
        <v>42889.0</v>
      </c>
      <c r="J127" s="11">
        <f t="shared" si="5"/>
        <v>31</v>
      </c>
      <c r="K127" s="7" t="s">
        <v>110</v>
      </c>
      <c r="L127" s="7" t="s">
        <v>756</v>
      </c>
      <c r="M127" s="7" t="str">
        <f>VLOOKUP(L127,countries, 2,false)</f>
        <v>Ukraine</v>
      </c>
      <c r="N127" s="7" t="str">
        <f>VLOOKUP(L127,countries, 4,false)</f>
        <v>Europe</v>
      </c>
      <c r="O127" s="7" t="str">
        <f>VLOOKUP(L127,countries, 5,false)</f>
        <v>Eastern Europe</v>
      </c>
      <c r="P127" s="7" t="s">
        <v>212</v>
      </c>
      <c r="Q127" s="7">
        <v>7872.0</v>
      </c>
      <c r="R127" s="12">
        <v>651.21</v>
      </c>
      <c r="S127" s="12">
        <v>524.96</v>
      </c>
      <c r="T127" s="13">
        <f t="shared" si="6"/>
        <v>5126325.12</v>
      </c>
      <c r="U127" s="13">
        <f t="shared" si="7"/>
        <v>373.68</v>
      </c>
      <c r="V127" s="13">
        <f t="shared" si="8"/>
        <v>5125951.44</v>
      </c>
      <c r="W127" s="14">
        <f>Q127/totals!B$2</f>
        <v>0.001196984912</v>
      </c>
      <c r="X127" s="14">
        <f t="shared" si="9"/>
        <v>0.09192819794</v>
      </c>
      <c r="Y127" s="14">
        <f>T127/totals!B$5</f>
        <v>0.003011712914</v>
      </c>
      <c r="Z127" s="14">
        <f t="shared" si="10"/>
        <v>0.08887072403</v>
      </c>
      <c r="AA127" s="14">
        <f>V127/totals!B$4</f>
        <v>0.01022102352</v>
      </c>
      <c r="AB127" s="14">
        <f t="shared" si="11"/>
        <v>0.09197420452</v>
      </c>
    </row>
    <row r="128">
      <c r="A128" s="7">
        <v>4594.0</v>
      </c>
      <c r="B128" s="7" t="str">
        <f>VLOOKUP($A128,product_category,2, False)</f>
        <v>Fruits</v>
      </c>
      <c r="C128" s="7">
        <v>1.82078921E8</v>
      </c>
      <c r="D128" s="9">
        <v>42381.0</v>
      </c>
      <c r="E128" s="10">
        <f t="shared" si="1"/>
        <v>1</v>
      </c>
      <c r="F128" s="10" t="str">
        <f t="shared" si="2"/>
        <v>Jan</v>
      </c>
      <c r="G128" s="11">
        <f t="shared" si="3"/>
        <v>12</v>
      </c>
      <c r="H128" s="7">
        <f t="shared" si="4"/>
        <v>2016</v>
      </c>
      <c r="I128" s="9">
        <v>42414.0</v>
      </c>
      <c r="J128" s="11">
        <f t="shared" si="5"/>
        <v>33</v>
      </c>
      <c r="K128" s="7" t="s">
        <v>382</v>
      </c>
      <c r="L128" s="7" t="s">
        <v>283</v>
      </c>
      <c r="M128" s="7" t="str">
        <f>VLOOKUP(L128,countries, 2,false)</f>
        <v>Finland</v>
      </c>
      <c r="N128" s="7" t="str">
        <f>VLOOKUP(L128,countries, 4,false)</f>
        <v>Europe</v>
      </c>
      <c r="O128" s="7" t="str">
        <f>VLOOKUP(L128,countries, 5,false)</f>
        <v>Northern Europe</v>
      </c>
      <c r="P128" s="7" t="s">
        <v>212</v>
      </c>
      <c r="Q128" s="7">
        <v>54.0</v>
      </c>
      <c r="R128" s="12">
        <v>9.33</v>
      </c>
      <c r="S128" s="12">
        <v>6.92</v>
      </c>
      <c r="T128" s="13">
        <f t="shared" si="6"/>
        <v>503.82</v>
      </c>
      <c r="U128" s="13">
        <f t="shared" si="7"/>
        <v>2296700</v>
      </c>
      <c r="V128" s="13">
        <f t="shared" si="8"/>
        <v>-2296196.18</v>
      </c>
      <c r="W128" s="14">
        <f>Q128/totals!B$2</f>
        <v>0.000008211024547</v>
      </c>
      <c r="X128" s="14">
        <f t="shared" si="9"/>
        <v>0.09193640896</v>
      </c>
      <c r="Y128" s="14">
        <f>T128/totals!B$5</f>
        <v>0.0000002959939459</v>
      </c>
      <c r="Z128" s="14">
        <f t="shared" si="10"/>
        <v>0.08887102002</v>
      </c>
      <c r="AA128" s="14">
        <f>V128/totals!B$4</f>
        <v>-0.004578559794</v>
      </c>
      <c r="AB128" s="14">
        <f t="shared" si="11"/>
        <v>0.08739564473</v>
      </c>
    </row>
    <row r="129">
      <c r="A129" s="7">
        <v>8681.0</v>
      </c>
      <c r="B129" s="7" t="str">
        <f>VLOOKUP($A129,product_category,2, False)</f>
        <v>Office Supplies</v>
      </c>
      <c r="C129" s="7">
        <v>1.82228696E8</v>
      </c>
      <c r="D129" s="9">
        <v>40329.0</v>
      </c>
      <c r="E129" s="10">
        <f t="shared" si="1"/>
        <v>5</v>
      </c>
      <c r="F129" s="10" t="str">
        <f t="shared" si="2"/>
        <v>May</v>
      </c>
      <c r="G129" s="11">
        <f t="shared" si="3"/>
        <v>31</v>
      </c>
      <c r="H129" s="7">
        <f t="shared" si="4"/>
        <v>2010</v>
      </c>
      <c r="I129" s="9">
        <v>40371.0</v>
      </c>
      <c r="J129" s="11">
        <f t="shared" si="5"/>
        <v>42</v>
      </c>
      <c r="K129" s="7" t="s">
        <v>322</v>
      </c>
      <c r="L129" s="7" t="s">
        <v>432</v>
      </c>
      <c r="M129" s="7" t="str">
        <f>VLOOKUP(L129,countries, 2,false)</f>
        <v>Latvia</v>
      </c>
      <c r="N129" s="7" t="str">
        <f>VLOOKUP(L129,countries, 4,false)</f>
        <v>Europe</v>
      </c>
      <c r="O129" s="7" t="str">
        <f>VLOOKUP(L129,countries, 5,false)</f>
        <v>Northern Europe</v>
      </c>
      <c r="P129" s="7" t="s">
        <v>129</v>
      </c>
      <c r="Q129" s="7">
        <v>4375.0</v>
      </c>
      <c r="R129" s="12">
        <v>651.21</v>
      </c>
      <c r="S129" s="12">
        <v>524.96</v>
      </c>
      <c r="T129" s="13">
        <f t="shared" si="6"/>
        <v>2849043.75</v>
      </c>
      <c r="U129" s="13">
        <f t="shared" si="7"/>
        <v>288227.52</v>
      </c>
      <c r="V129" s="13">
        <f t="shared" si="8"/>
        <v>2560816.23</v>
      </c>
      <c r="W129" s="14">
        <f>Q129/totals!B$2</f>
        <v>0.0006652450443</v>
      </c>
      <c r="X129" s="14">
        <f t="shared" si="9"/>
        <v>0.092601654</v>
      </c>
      <c r="Y129" s="14">
        <f>T129/totals!B$5</f>
        <v>0.001673811484</v>
      </c>
      <c r="Z129" s="14">
        <f t="shared" si="10"/>
        <v>0.09054483151</v>
      </c>
      <c r="AA129" s="14">
        <f>V129/totals!B$4</f>
        <v>0.00510620579</v>
      </c>
      <c r="AB129" s="14">
        <f t="shared" si="11"/>
        <v>0.09250185052</v>
      </c>
    </row>
    <row r="130">
      <c r="A130" s="7">
        <v>8969.0</v>
      </c>
      <c r="B130" s="7" t="str">
        <f>VLOOKUP($A130,product_category,2, False)</f>
        <v>Snacks</v>
      </c>
      <c r="C130" s="7">
        <v>1.83778369E8</v>
      </c>
      <c r="D130" s="9">
        <v>41267.0</v>
      </c>
      <c r="E130" s="10">
        <f t="shared" si="1"/>
        <v>12</v>
      </c>
      <c r="F130" s="10" t="str">
        <f t="shared" si="2"/>
        <v>Dec</v>
      </c>
      <c r="G130" s="11">
        <f t="shared" si="3"/>
        <v>24</v>
      </c>
      <c r="H130" s="7">
        <f t="shared" si="4"/>
        <v>2012</v>
      </c>
      <c r="I130" s="9">
        <v>41281.0</v>
      </c>
      <c r="J130" s="11">
        <f t="shared" si="5"/>
        <v>14</v>
      </c>
      <c r="K130" s="7" t="s">
        <v>322</v>
      </c>
      <c r="L130" s="7" t="s">
        <v>136</v>
      </c>
      <c r="M130" s="7" t="str">
        <f>VLOOKUP(L130,countries, 2,false)</f>
        <v>Bosnia and Herzegovina</v>
      </c>
      <c r="N130" s="7" t="str">
        <f>VLOOKUP(L130,countries, 4,false)</f>
        <v>Europe</v>
      </c>
      <c r="O130" s="7" t="str">
        <f>VLOOKUP(L130,countries, 5,false)</f>
        <v>Southern Europe</v>
      </c>
      <c r="P130" s="7" t="s">
        <v>129</v>
      </c>
      <c r="Q130" s="7">
        <v>2958.0</v>
      </c>
      <c r="R130" s="12">
        <v>152.58</v>
      </c>
      <c r="S130" s="12">
        <v>97.44</v>
      </c>
      <c r="T130" s="13">
        <f t="shared" si="6"/>
        <v>451331.64</v>
      </c>
      <c r="U130" s="13">
        <f t="shared" si="7"/>
        <v>512440.18</v>
      </c>
      <c r="V130" s="13">
        <f t="shared" si="8"/>
        <v>-61108.54</v>
      </c>
      <c r="W130" s="14">
        <f>Q130/totals!B$2</f>
        <v>0.000449781678</v>
      </c>
      <c r="X130" s="14">
        <f t="shared" si="9"/>
        <v>0.09305143568</v>
      </c>
      <c r="Y130" s="14">
        <f>T130/totals!B$5</f>
        <v>0.0002651570661</v>
      </c>
      <c r="Z130" s="14">
        <f t="shared" si="10"/>
        <v>0.09080998857</v>
      </c>
      <c r="AA130" s="14">
        <f>V130/totals!B$4</f>
        <v>-0.0001218489547</v>
      </c>
      <c r="AB130" s="14">
        <f t="shared" si="11"/>
        <v>0.09238000156</v>
      </c>
    </row>
    <row r="131">
      <c r="A131" s="7">
        <v>8293.0</v>
      </c>
      <c r="B131" s="7" t="str">
        <f>VLOOKUP($A131,product_category,2, False)</f>
        <v>Cosmetics</v>
      </c>
      <c r="C131" s="7">
        <v>1.83910119E8</v>
      </c>
      <c r="D131" s="9">
        <v>41799.0</v>
      </c>
      <c r="E131" s="10">
        <f t="shared" si="1"/>
        <v>6</v>
      </c>
      <c r="F131" s="10" t="str">
        <f t="shared" si="2"/>
        <v>Jun</v>
      </c>
      <c r="G131" s="11">
        <f t="shared" si="3"/>
        <v>9</v>
      </c>
      <c r="H131" s="7">
        <f t="shared" si="4"/>
        <v>2014</v>
      </c>
      <c r="I131" s="9">
        <v>41801.0</v>
      </c>
      <c r="J131" s="11">
        <f t="shared" si="5"/>
        <v>2</v>
      </c>
      <c r="K131" s="7" t="s">
        <v>198</v>
      </c>
      <c r="L131" s="7" t="s">
        <v>756</v>
      </c>
      <c r="M131" s="7" t="str">
        <f>VLOOKUP(L131,countries, 2,false)</f>
        <v>Ukraine</v>
      </c>
      <c r="N131" s="7" t="str">
        <f>VLOOKUP(L131,countries, 4,false)</f>
        <v>Europe</v>
      </c>
      <c r="O131" s="7" t="str">
        <f>VLOOKUP(L131,countries, 5,false)</f>
        <v>Eastern Europe</v>
      </c>
      <c r="P131" s="7" t="s">
        <v>129</v>
      </c>
      <c r="Q131" s="7">
        <v>1946.0</v>
      </c>
      <c r="R131" s="12">
        <v>437.2</v>
      </c>
      <c r="S131" s="12">
        <v>263.33</v>
      </c>
      <c r="T131" s="13">
        <f t="shared" si="6"/>
        <v>850791.2</v>
      </c>
      <c r="U131" s="13">
        <f t="shared" si="7"/>
        <v>154147.84</v>
      </c>
      <c r="V131" s="13">
        <f t="shared" si="8"/>
        <v>696643.36</v>
      </c>
      <c r="W131" s="14">
        <f>Q131/totals!B$2</f>
        <v>0.0002959009957</v>
      </c>
      <c r="X131" s="14">
        <f t="shared" si="9"/>
        <v>0.09334733668</v>
      </c>
      <c r="Y131" s="14">
        <f>T131/totals!B$5</f>
        <v>0.0004998393165</v>
      </c>
      <c r="Z131" s="14">
        <f t="shared" si="10"/>
        <v>0.09130982789</v>
      </c>
      <c r="AA131" s="14">
        <f>V131/totals!B$4</f>
        <v>0.001389090055</v>
      </c>
      <c r="AB131" s="14">
        <f t="shared" si="11"/>
        <v>0.09376909162</v>
      </c>
    </row>
    <row r="132">
      <c r="A132" s="7">
        <v>2455.0</v>
      </c>
      <c r="B132" s="7" t="str">
        <f>VLOOKUP($A132,product_category,2, False)</f>
        <v>Clothes</v>
      </c>
      <c r="C132" s="7">
        <v>1.84120833E8</v>
      </c>
      <c r="D132" s="9">
        <v>41939.0</v>
      </c>
      <c r="E132" s="10">
        <f t="shared" si="1"/>
        <v>10</v>
      </c>
      <c r="F132" s="10" t="str">
        <f t="shared" si="2"/>
        <v>Oct</v>
      </c>
      <c r="G132" s="11">
        <f t="shared" si="3"/>
        <v>27</v>
      </c>
      <c r="H132" s="7">
        <f t="shared" si="4"/>
        <v>2014</v>
      </c>
      <c r="I132" s="9">
        <v>41943.0</v>
      </c>
      <c r="J132" s="11">
        <f t="shared" si="5"/>
        <v>4</v>
      </c>
      <c r="K132" s="7" t="s">
        <v>382</v>
      </c>
      <c r="L132" s="7" t="s">
        <v>237</v>
      </c>
      <c r="M132" s="7" t="str">
        <f>VLOOKUP(L132,countries, 2,false)</f>
        <v>Denmark</v>
      </c>
      <c r="N132" s="7" t="str">
        <f>VLOOKUP(L132,countries, 4,false)</f>
        <v>Europe</v>
      </c>
      <c r="O132" s="7" t="str">
        <f>VLOOKUP(L132,countries, 5,false)</f>
        <v>Northern Europe</v>
      </c>
      <c r="P132" s="7" t="s">
        <v>212</v>
      </c>
      <c r="Q132" s="7">
        <v>4301.0</v>
      </c>
      <c r="R132" s="12">
        <v>109.28</v>
      </c>
      <c r="S132" s="12">
        <v>35.84</v>
      </c>
      <c r="T132" s="13">
        <f t="shared" si="6"/>
        <v>470013.28</v>
      </c>
      <c r="U132" s="13">
        <f t="shared" si="7"/>
        <v>84652.02</v>
      </c>
      <c r="V132" s="13">
        <f t="shared" si="8"/>
        <v>385361.26</v>
      </c>
      <c r="W132" s="14">
        <f>Q132/totals!B$2</f>
        <v>0.0006539928996</v>
      </c>
      <c r="X132" s="14">
        <f t="shared" si="9"/>
        <v>0.09400132958</v>
      </c>
      <c r="Y132" s="14">
        <f>T132/totals!B$5</f>
        <v>0.0002761325183</v>
      </c>
      <c r="Z132" s="14">
        <f t="shared" si="10"/>
        <v>0.09158596041</v>
      </c>
      <c r="AA132" s="14">
        <f>V132/totals!B$4</f>
        <v>0.0007684010567</v>
      </c>
      <c r="AB132" s="14">
        <f t="shared" si="11"/>
        <v>0.09453749267</v>
      </c>
    </row>
    <row r="133">
      <c r="A133" s="7">
        <v>7331.0</v>
      </c>
      <c r="B133" s="7" t="str">
        <f>VLOOKUP($A133,product_category,2, False)</f>
        <v>Baby Food</v>
      </c>
      <c r="C133" s="7">
        <v>1.84412229E8</v>
      </c>
      <c r="D133" s="9">
        <v>42098.0</v>
      </c>
      <c r="E133" s="10">
        <f t="shared" si="1"/>
        <v>4</v>
      </c>
      <c r="F133" s="10" t="str">
        <f t="shared" si="2"/>
        <v>Apr</v>
      </c>
      <c r="G133" s="11">
        <f t="shared" si="3"/>
        <v>4</v>
      </c>
      <c r="H133" s="7">
        <f t="shared" si="4"/>
        <v>2015</v>
      </c>
      <c r="I133" s="9">
        <v>42101.0</v>
      </c>
      <c r="J133" s="11">
        <f t="shared" si="5"/>
        <v>3</v>
      </c>
      <c r="K133" s="7" t="s">
        <v>198</v>
      </c>
      <c r="L133" s="7" t="s">
        <v>136</v>
      </c>
      <c r="M133" s="7" t="str">
        <f>VLOOKUP(L133,countries, 2,false)</f>
        <v>Bosnia and Herzegovina</v>
      </c>
      <c r="N133" s="7" t="str">
        <f>VLOOKUP(L133,countries, 4,false)</f>
        <v>Europe</v>
      </c>
      <c r="O133" s="7" t="str">
        <f>VLOOKUP(L133,countries, 5,false)</f>
        <v>Southern Europe</v>
      </c>
      <c r="P133" s="7" t="s">
        <v>129</v>
      </c>
      <c r="Q133" s="7">
        <v>531.0</v>
      </c>
      <c r="R133" s="12">
        <v>255.28</v>
      </c>
      <c r="S133" s="12">
        <v>159.42</v>
      </c>
      <c r="T133" s="13">
        <f t="shared" si="6"/>
        <v>135553.68</v>
      </c>
      <c r="U133" s="13">
        <f t="shared" si="7"/>
        <v>741897.87</v>
      </c>
      <c r="V133" s="13">
        <f t="shared" si="8"/>
        <v>-606344.19</v>
      </c>
      <c r="W133" s="14">
        <f>Q133/totals!B$2</f>
        <v>0.00008074174138</v>
      </c>
      <c r="X133" s="14">
        <f t="shared" si="9"/>
        <v>0.09408207132</v>
      </c>
      <c r="Y133" s="14">
        <f>T133/totals!B$5</f>
        <v>0.00007963770519</v>
      </c>
      <c r="Z133" s="14">
        <f t="shared" si="10"/>
        <v>0.09166559811</v>
      </c>
      <c r="AA133" s="14">
        <f>V133/totals!B$4</f>
        <v>-0.001209035689</v>
      </c>
      <c r="AB133" s="14">
        <f t="shared" si="11"/>
        <v>0.09332845699</v>
      </c>
    </row>
    <row r="134">
      <c r="A134" s="7">
        <v>5988.0</v>
      </c>
      <c r="B134" s="7" t="str">
        <f>VLOOKUP($A134,product_category,2, False)</f>
        <v>Vegetables</v>
      </c>
      <c r="C134" s="7">
        <v>1.84708344E8</v>
      </c>
      <c r="D134" s="9">
        <v>42701.0</v>
      </c>
      <c r="E134" s="10">
        <f t="shared" si="1"/>
        <v>11</v>
      </c>
      <c r="F134" s="10" t="str">
        <f t="shared" si="2"/>
        <v>Nov</v>
      </c>
      <c r="G134" s="11">
        <f t="shared" si="3"/>
        <v>27</v>
      </c>
      <c r="H134" s="7">
        <f t="shared" si="4"/>
        <v>2016</v>
      </c>
      <c r="I134" s="9">
        <v>42706.0</v>
      </c>
      <c r="J134" s="11">
        <f t="shared" si="5"/>
        <v>5</v>
      </c>
      <c r="K134" s="7" t="s">
        <v>382</v>
      </c>
      <c r="L134" s="7" t="s">
        <v>136</v>
      </c>
      <c r="M134" s="7" t="str">
        <f>VLOOKUP(L134,countries, 2,false)</f>
        <v>Bosnia and Herzegovina</v>
      </c>
      <c r="N134" s="7" t="str">
        <f>VLOOKUP(L134,countries, 4,false)</f>
        <v>Europe</v>
      </c>
      <c r="O134" s="7" t="str">
        <f>VLOOKUP(L134,countries, 5,false)</f>
        <v>Southern Europe</v>
      </c>
      <c r="P134" s="7" t="s">
        <v>129</v>
      </c>
      <c r="Q134" s="7">
        <v>8159.0</v>
      </c>
      <c r="R134" s="12">
        <v>154.06</v>
      </c>
      <c r="S134" s="12">
        <v>90.93</v>
      </c>
      <c r="T134" s="13">
        <f t="shared" si="6"/>
        <v>1256975.54</v>
      </c>
      <c r="U134" s="13">
        <f t="shared" si="7"/>
        <v>3848451.32</v>
      </c>
      <c r="V134" s="13">
        <f t="shared" si="8"/>
        <v>-2591475.78</v>
      </c>
      <c r="W134" s="14">
        <f>Q134/totals!B$2</f>
        <v>0.001240624987</v>
      </c>
      <c r="X134" s="14">
        <f t="shared" si="9"/>
        <v>0.09532269631</v>
      </c>
      <c r="Y134" s="14">
        <f>T134/totals!B$5</f>
        <v>0.0007384723711</v>
      </c>
      <c r="Z134" s="14">
        <f t="shared" si="10"/>
        <v>0.09240407048</v>
      </c>
      <c r="AA134" s="14">
        <f>V134/totals!B$4</f>
        <v>-0.005167340193</v>
      </c>
      <c r="AB134" s="14">
        <f t="shared" si="11"/>
        <v>0.08816111679</v>
      </c>
    </row>
    <row r="135">
      <c r="A135" s="7">
        <v>7940.0</v>
      </c>
      <c r="B135" s="7" t="str">
        <f>VLOOKUP($A135,product_category,2, False)</f>
        <v>Household</v>
      </c>
      <c r="C135" s="7">
        <v>1.84976994E8</v>
      </c>
      <c r="D135" s="9">
        <v>42237.0</v>
      </c>
      <c r="E135" s="10">
        <f t="shared" si="1"/>
        <v>8</v>
      </c>
      <c r="F135" s="10" t="str">
        <f t="shared" si="2"/>
        <v>Aug</v>
      </c>
      <c r="G135" s="11">
        <f t="shared" si="3"/>
        <v>21</v>
      </c>
      <c r="H135" s="7">
        <f t="shared" si="4"/>
        <v>2015</v>
      </c>
      <c r="I135" s="9">
        <v>42268.0</v>
      </c>
      <c r="J135" s="11">
        <f t="shared" si="5"/>
        <v>31</v>
      </c>
      <c r="K135" s="7" t="s">
        <v>198</v>
      </c>
      <c r="L135" s="7" t="s">
        <v>448</v>
      </c>
      <c r="M135" s="7" t="str">
        <f>VLOOKUP(L135,countries, 2,false)</f>
        <v>Liechtenstein</v>
      </c>
      <c r="N135" s="7" t="str">
        <f>VLOOKUP(L135,countries, 4,false)</f>
        <v>Europe</v>
      </c>
      <c r="O135" s="7" t="str">
        <f>VLOOKUP(L135,countries, 5,false)</f>
        <v>Western Europe</v>
      </c>
      <c r="P135" s="7" t="s">
        <v>129</v>
      </c>
      <c r="Q135" s="7">
        <v>7658.0</v>
      </c>
      <c r="R135" s="12">
        <v>668.27</v>
      </c>
      <c r="S135" s="12">
        <v>502.54</v>
      </c>
      <c r="T135" s="13">
        <f t="shared" si="6"/>
        <v>5117611.66</v>
      </c>
      <c r="U135" s="13">
        <f t="shared" si="7"/>
        <v>271789.32</v>
      </c>
      <c r="V135" s="13">
        <f t="shared" si="8"/>
        <v>4845822.34</v>
      </c>
      <c r="W135" s="14">
        <f>Q135/totals!B$2</f>
        <v>0.001164444926</v>
      </c>
      <c r="X135" s="14">
        <f t="shared" si="9"/>
        <v>0.09648714123</v>
      </c>
      <c r="Y135" s="14">
        <f>T135/totals!B$5</f>
        <v>0.003006593762</v>
      </c>
      <c r="Z135" s="14">
        <f t="shared" si="10"/>
        <v>0.09541066425</v>
      </c>
      <c r="AA135" s="14">
        <f>V135/totals!B$4</f>
        <v>0.009662452854</v>
      </c>
      <c r="AB135" s="14">
        <f t="shared" si="11"/>
        <v>0.09782356965</v>
      </c>
    </row>
    <row r="136">
      <c r="A136" s="7">
        <v>3127.0</v>
      </c>
      <c r="B136" s="7" t="str">
        <f>VLOOKUP($A136,product_category,2, False)</f>
        <v>Personal Care</v>
      </c>
      <c r="C136" s="7">
        <v>1.8594731E8</v>
      </c>
      <c r="D136" s="9">
        <v>40914.0</v>
      </c>
      <c r="E136" s="10">
        <f t="shared" si="1"/>
        <v>1</v>
      </c>
      <c r="F136" s="10" t="str">
        <f t="shared" si="2"/>
        <v>Jan</v>
      </c>
      <c r="G136" s="11">
        <f t="shared" si="3"/>
        <v>6</v>
      </c>
      <c r="H136" s="7">
        <f t="shared" si="4"/>
        <v>2012</v>
      </c>
      <c r="I136" s="9">
        <v>40935.0</v>
      </c>
      <c r="J136" s="11">
        <f t="shared" si="5"/>
        <v>21</v>
      </c>
      <c r="K136" s="7" t="s">
        <v>322</v>
      </c>
      <c r="L136" s="7" t="s">
        <v>642</v>
      </c>
      <c r="M136" s="7" t="str">
        <f>VLOOKUP(L136,countries, 2,false)</f>
        <v>San Marino</v>
      </c>
      <c r="N136" s="7" t="str">
        <f>VLOOKUP(L136,countries, 4,false)</f>
        <v>Europe</v>
      </c>
      <c r="O136" s="7" t="str">
        <f>VLOOKUP(L136,countries, 5,false)</f>
        <v>Southern Europe</v>
      </c>
      <c r="P136" s="7" t="s">
        <v>830</v>
      </c>
      <c r="Q136" s="7">
        <v>4796.0</v>
      </c>
      <c r="R136" s="12">
        <v>81.73</v>
      </c>
      <c r="S136" s="12">
        <v>56.67</v>
      </c>
      <c r="T136" s="13">
        <f t="shared" si="6"/>
        <v>391977.08</v>
      </c>
      <c r="U136" s="13">
        <f t="shared" si="7"/>
        <v>60432.36</v>
      </c>
      <c r="V136" s="13">
        <f t="shared" si="8"/>
        <v>331544.72</v>
      </c>
      <c r="W136" s="14">
        <f>Q136/totals!B$2</f>
        <v>0.0007292606246</v>
      </c>
      <c r="X136" s="14">
        <f t="shared" si="9"/>
        <v>0.09721640186</v>
      </c>
      <c r="Y136" s="14">
        <f>T136/totals!B$5</f>
        <v>0.0002302862979</v>
      </c>
      <c r="Z136" s="14">
        <f t="shared" si="10"/>
        <v>0.09564095054</v>
      </c>
      <c r="AA136" s="14">
        <f>V136/totals!B$4</f>
        <v>0.0006610921741</v>
      </c>
      <c r="AB136" s="14">
        <f t="shared" si="11"/>
        <v>0.09848466182</v>
      </c>
    </row>
    <row r="137">
      <c r="A137" s="7">
        <v>4594.0</v>
      </c>
      <c r="B137" s="7" t="str">
        <f>VLOOKUP($A137,product_category,2, False)</f>
        <v>Fruits</v>
      </c>
      <c r="C137" s="7">
        <v>1.85960614E8</v>
      </c>
      <c r="D137" s="9">
        <v>40653.0</v>
      </c>
      <c r="E137" s="10">
        <f t="shared" si="1"/>
        <v>4</v>
      </c>
      <c r="F137" s="10" t="str">
        <f t="shared" si="2"/>
        <v>Apr</v>
      </c>
      <c r="G137" s="11">
        <f t="shared" si="3"/>
        <v>20</v>
      </c>
      <c r="H137" s="7">
        <f t="shared" si="4"/>
        <v>2011</v>
      </c>
      <c r="I137" s="9">
        <v>40691.0</v>
      </c>
      <c r="J137" s="11">
        <f t="shared" si="5"/>
        <v>38</v>
      </c>
      <c r="K137" s="7" t="s">
        <v>110</v>
      </c>
      <c r="L137" s="7" t="s">
        <v>88</v>
      </c>
      <c r="M137" s="7" t="str">
        <f>VLOOKUP(L137,countries, 2,false)</f>
        <v>Austria</v>
      </c>
      <c r="N137" s="7" t="str">
        <f>VLOOKUP(L137,countries, 4,false)</f>
        <v>Europe</v>
      </c>
      <c r="O137" s="7" t="str">
        <f>VLOOKUP(L137,countries, 5,false)</f>
        <v>Western Europe</v>
      </c>
      <c r="P137" s="7" t="s">
        <v>212</v>
      </c>
      <c r="Q137" s="7">
        <v>8733.0</v>
      </c>
      <c r="R137" s="12">
        <v>9.33</v>
      </c>
      <c r="S137" s="12">
        <v>6.92</v>
      </c>
      <c r="T137" s="13">
        <f t="shared" si="6"/>
        <v>81478.89</v>
      </c>
      <c r="U137" s="13">
        <f t="shared" si="7"/>
        <v>355627.23</v>
      </c>
      <c r="V137" s="13">
        <f t="shared" si="8"/>
        <v>-274148.34</v>
      </c>
      <c r="W137" s="14">
        <f>Q137/totals!B$2</f>
        <v>0.001327905137</v>
      </c>
      <c r="X137" s="14">
        <f t="shared" si="9"/>
        <v>0.09854430699</v>
      </c>
      <c r="Y137" s="14">
        <f>T137/totals!B$5</f>
        <v>0.0000478687987</v>
      </c>
      <c r="Z137" s="14">
        <f t="shared" si="10"/>
        <v>0.09568881934</v>
      </c>
      <c r="AA137" s="14">
        <f>V137/totals!B$4</f>
        <v>-0.0005466451769</v>
      </c>
      <c r="AB137" s="14">
        <f t="shared" si="11"/>
        <v>0.09793801664</v>
      </c>
    </row>
    <row r="138">
      <c r="A138" s="7">
        <v>5988.0</v>
      </c>
      <c r="B138" s="7" t="str">
        <f>VLOOKUP($A138,product_category,2, False)</f>
        <v>Vegetables</v>
      </c>
      <c r="C138" s="7">
        <v>1.8607949E8</v>
      </c>
      <c r="D138" s="9">
        <v>42241.0</v>
      </c>
      <c r="E138" s="10">
        <f t="shared" si="1"/>
        <v>8</v>
      </c>
      <c r="F138" s="10" t="str">
        <f t="shared" si="2"/>
        <v>Aug</v>
      </c>
      <c r="G138" s="11">
        <f t="shared" si="3"/>
        <v>25</v>
      </c>
      <c r="H138" s="7">
        <f t="shared" si="4"/>
        <v>2015</v>
      </c>
      <c r="I138" s="9">
        <v>42245.0</v>
      </c>
      <c r="J138" s="11">
        <f t="shared" si="5"/>
        <v>4</v>
      </c>
      <c r="K138" s="7" t="s">
        <v>322</v>
      </c>
      <c r="L138" s="7" t="s">
        <v>237</v>
      </c>
      <c r="M138" s="7" t="str">
        <f>VLOOKUP(L138,countries, 2,false)</f>
        <v>Denmark</v>
      </c>
      <c r="N138" s="7" t="str">
        <f>VLOOKUP(L138,countries, 4,false)</f>
        <v>Europe</v>
      </c>
      <c r="O138" s="7" t="str">
        <f>VLOOKUP(L138,countries, 5,false)</f>
        <v>Northern Europe</v>
      </c>
      <c r="P138" s="7" t="s">
        <v>129</v>
      </c>
      <c r="Q138" s="7">
        <v>3911.0</v>
      </c>
      <c r="R138" s="12">
        <v>154.06</v>
      </c>
      <c r="S138" s="12">
        <v>90.93</v>
      </c>
      <c r="T138" s="13">
        <f t="shared" si="6"/>
        <v>602528.66</v>
      </c>
      <c r="U138" s="13">
        <f t="shared" si="7"/>
        <v>3843757.12</v>
      </c>
      <c r="V138" s="13">
        <f t="shared" si="8"/>
        <v>-3241228.46</v>
      </c>
      <c r="W138" s="14">
        <f>Q138/totals!B$2</f>
        <v>0.0005946910556</v>
      </c>
      <c r="X138" s="14">
        <f t="shared" si="9"/>
        <v>0.09913899805</v>
      </c>
      <c r="Y138" s="14">
        <f>T138/totals!B$5</f>
        <v>0.0003539852241</v>
      </c>
      <c r="Z138" s="14">
        <f t="shared" si="10"/>
        <v>0.09604280457</v>
      </c>
      <c r="AA138" s="14">
        <f>V138/totals!B$4</f>
        <v>-0.006462931364</v>
      </c>
      <c r="AB138" s="14">
        <f t="shared" si="11"/>
        <v>0.09147508528</v>
      </c>
    </row>
    <row r="139">
      <c r="A139" s="7">
        <v>8681.0</v>
      </c>
      <c r="B139" s="7" t="str">
        <f>VLOOKUP($A139,product_category,2, False)</f>
        <v>Office Supplies</v>
      </c>
      <c r="C139" s="7">
        <v>1.86597907E8</v>
      </c>
      <c r="D139" s="9">
        <v>42309.0</v>
      </c>
      <c r="E139" s="10">
        <f t="shared" si="1"/>
        <v>11</v>
      </c>
      <c r="F139" s="10" t="str">
        <f t="shared" si="2"/>
        <v>Nov</v>
      </c>
      <c r="G139" s="11">
        <f t="shared" si="3"/>
        <v>1</v>
      </c>
      <c r="H139" s="7">
        <f t="shared" si="4"/>
        <v>2015</v>
      </c>
      <c r="I139" s="9">
        <v>42353.0</v>
      </c>
      <c r="J139" s="11">
        <f t="shared" si="5"/>
        <v>44</v>
      </c>
      <c r="K139" s="7" t="s">
        <v>110</v>
      </c>
      <c r="L139" s="7" t="s">
        <v>448</v>
      </c>
      <c r="M139" s="7" t="str">
        <f>VLOOKUP(L139,countries, 2,false)</f>
        <v>Liechtenstein</v>
      </c>
      <c r="N139" s="7" t="str">
        <f>VLOOKUP(L139,countries, 4,false)</f>
        <v>Europe</v>
      </c>
      <c r="O139" s="7" t="str">
        <f>VLOOKUP(L139,countries, 5,false)</f>
        <v>Western Europe</v>
      </c>
      <c r="P139" s="7" t="s">
        <v>129</v>
      </c>
      <c r="Q139" s="7">
        <v>7322.0</v>
      </c>
      <c r="R139" s="12">
        <v>651.21</v>
      </c>
      <c r="S139" s="12">
        <v>524.96</v>
      </c>
      <c r="T139" s="13">
        <f t="shared" si="6"/>
        <v>4768159.62</v>
      </c>
      <c r="U139" s="13">
        <f t="shared" si="7"/>
        <v>324949.22</v>
      </c>
      <c r="V139" s="13">
        <f t="shared" si="8"/>
        <v>4443210.4</v>
      </c>
      <c r="W139" s="14">
        <f>Q139/totals!B$2</f>
        <v>0.001113354106</v>
      </c>
      <c r="X139" s="14">
        <f t="shared" si="9"/>
        <v>0.1002523522</v>
      </c>
      <c r="Y139" s="14">
        <f>T139/totals!B$5</f>
        <v>0.002801290899</v>
      </c>
      <c r="Z139" s="14">
        <f t="shared" si="10"/>
        <v>0.09884409547</v>
      </c>
      <c r="AA139" s="14">
        <f>V139/totals!B$4</f>
        <v>0.008859654358</v>
      </c>
      <c r="AB139" s="14">
        <f t="shared" si="11"/>
        <v>0.1003347396</v>
      </c>
    </row>
    <row r="140">
      <c r="A140" s="7">
        <v>8293.0</v>
      </c>
      <c r="B140" s="7" t="str">
        <f>VLOOKUP($A140,product_category,2, False)</f>
        <v>Cosmetics</v>
      </c>
      <c r="C140" s="7">
        <v>1.86847674E8</v>
      </c>
      <c r="D140" s="9">
        <v>42841.0</v>
      </c>
      <c r="E140" s="10">
        <f t="shared" si="1"/>
        <v>4</v>
      </c>
      <c r="F140" s="10" t="str">
        <f t="shared" si="2"/>
        <v>Apr</v>
      </c>
      <c r="G140" s="11">
        <f t="shared" si="3"/>
        <v>16</v>
      </c>
      <c r="H140" s="7">
        <f t="shared" si="4"/>
        <v>2017</v>
      </c>
      <c r="I140" s="9">
        <v>42848.0</v>
      </c>
      <c r="J140" s="11">
        <f t="shared" si="5"/>
        <v>7</v>
      </c>
      <c r="K140" s="7" t="s">
        <v>110</v>
      </c>
      <c r="L140" s="7" t="s">
        <v>367</v>
      </c>
      <c r="M140" s="7" t="str">
        <f>VLOOKUP(L140,countries, 2,false)</f>
        <v>Iceland</v>
      </c>
      <c r="N140" s="7" t="str">
        <f>VLOOKUP(L140,countries, 4,false)</f>
        <v>Europe</v>
      </c>
      <c r="O140" s="7" t="str">
        <f>VLOOKUP(L140,countries, 5,false)</f>
        <v>Northern Europe</v>
      </c>
      <c r="P140" s="7" t="s">
        <v>129</v>
      </c>
      <c r="Q140" s="7">
        <v>1234.0</v>
      </c>
      <c r="R140" s="12">
        <v>437.2</v>
      </c>
      <c r="S140" s="12">
        <v>263.33</v>
      </c>
      <c r="T140" s="13">
        <f t="shared" si="6"/>
        <v>539504.8</v>
      </c>
      <c r="U140" s="13">
        <f t="shared" si="7"/>
        <v>47914.08</v>
      </c>
      <c r="V140" s="13">
        <f t="shared" si="8"/>
        <v>491590.72</v>
      </c>
      <c r="W140" s="14">
        <f>Q140/totals!B$2</f>
        <v>0.0001876371165</v>
      </c>
      <c r="X140" s="14">
        <f t="shared" si="9"/>
        <v>0.1004399893</v>
      </c>
      <c r="Y140" s="14">
        <f>T140/totals!B$5</f>
        <v>0.0003169587444</v>
      </c>
      <c r="Z140" s="14">
        <f t="shared" si="10"/>
        <v>0.09916105421</v>
      </c>
      <c r="AA140" s="14">
        <f>V140/totals!B$4</f>
        <v>0.0009802200375</v>
      </c>
      <c r="AB140" s="14">
        <f t="shared" si="11"/>
        <v>0.1013149597</v>
      </c>
    </row>
    <row r="141">
      <c r="A141" s="7">
        <v>4594.0</v>
      </c>
      <c r="B141" s="7" t="str">
        <f>VLOOKUP($A141,product_category,2, False)</f>
        <v>Fruits</v>
      </c>
      <c r="C141" s="7">
        <v>1.8710345E8</v>
      </c>
      <c r="D141" s="9">
        <v>40667.0</v>
      </c>
      <c r="E141" s="10">
        <f t="shared" si="1"/>
        <v>5</v>
      </c>
      <c r="F141" s="10" t="str">
        <f t="shared" si="2"/>
        <v>May</v>
      </c>
      <c r="G141" s="11">
        <f t="shared" si="3"/>
        <v>4</v>
      </c>
      <c r="H141" s="7">
        <f t="shared" si="4"/>
        <v>2011</v>
      </c>
      <c r="I141" s="9">
        <v>40677.0</v>
      </c>
      <c r="J141" s="11">
        <f t="shared" si="5"/>
        <v>10</v>
      </c>
      <c r="K141" s="7" t="s">
        <v>110</v>
      </c>
      <c r="L141" s="7" t="s">
        <v>113</v>
      </c>
      <c r="M141" s="7" t="str">
        <f>VLOOKUP(L141,countries, 2,false)</f>
        <v>Belgium</v>
      </c>
      <c r="N141" s="7" t="str">
        <f>VLOOKUP(L141,countries, 4,false)</f>
        <v>Europe</v>
      </c>
      <c r="O141" s="7" t="str">
        <f>VLOOKUP(L141,countries, 5,false)</f>
        <v>Western Europe</v>
      </c>
      <c r="P141" s="7" t="s">
        <v>212</v>
      </c>
      <c r="Q141" s="7">
        <v>6924.0</v>
      </c>
      <c r="R141" s="12">
        <v>9.33</v>
      </c>
      <c r="S141" s="12">
        <v>6.92</v>
      </c>
      <c r="T141" s="13">
        <f t="shared" si="6"/>
        <v>64600.92</v>
      </c>
      <c r="U141" s="13">
        <f t="shared" si="7"/>
        <v>313600</v>
      </c>
      <c r="V141" s="13">
        <f t="shared" si="8"/>
        <v>-248999.08</v>
      </c>
      <c r="W141" s="14">
        <f>Q141/totals!B$2</f>
        <v>0.001052835814</v>
      </c>
      <c r="X141" s="14">
        <f t="shared" si="9"/>
        <v>0.1014928251</v>
      </c>
      <c r="Y141" s="14">
        <f>T141/totals!B$5</f>
        <v>0.00003795300151</v>
      </c>
      <c r="Z141" s="14">
        <f t="shared" si="10"/>
        <v>0.09919900721</v>
      </c>
      <c r="AA141" s="14">
        <f>V141/totals!B$4</f>
        <v>-0.0004964981591</v>
      </c>
      <c r="AB141" s="14">
        <f t="shared" si="11"/>
        <v>0.1008184615</v>
      </c>
    </row>
    <row r="142">
      <c r="A142" s="7">
        <v>2455.0</v>
      </c>
      <c r="B142" s="7" t="str">
        <f>VLOOKUP($A142,product_category,2, False)</f>
        <v>Clothes</v>
      </c>
      <c r="C142" s="7">
        <v>1.88866841E8</v>
      </c>
      <c r="D142" s="9">
        <v>41775.0</v>
      </c>
      <c r="E142" s="10">
        <f t="shared" si="1"/>
        <v>5</v>
      </c>
      <c r="F142" s="10" t="str">
        <f t="shared" si="2"/>
        <v>May</v>
      </c>
      <c r="G142" s="11">
        <f t="shared" si="3"/>
        <v>16</v>
      </c>
      <c r="H142" s="7">
        <f t="shared" si="4"/>
        <v>2014</v>
      </c>
      <c r="I142" s="9">
        <v>41779.0</v>
      </c>
      <c r="J142" s="11">
        <f t="shared" si="5"/>
        <v>4</v>
      </c>
      <c r="K142" s="7" t="s">
        <v>322</v>
      </c>
      <c r="L142" s="7" t="s">
        <v>670</v>
      </c>
      <c r="M142" s="7" t="str">
        <f>VLOOKUP(L142,countries, 2,false)</f>
        <v>Slovenia</v>
      </c>
      <c r="N142" s="7" t="str">
        <f>VLOOKUP(L142,countries, 4,false)</f>
        <v>Europe</v>
      </c>
      <c r="O142" s="7" t="str">
        <f>VLOOKUP(L142,countries, 5,false)</f>
        <v>Southern Europe</v>
      </c>
      <c r="P142" s="7" t="s">
        <v>212</v>
      </c>
      <c r="Q142" s="7">
        <v>8750.0</v>
      </c>
      <c r="R142" s="12">
        <v>109.28</v>
      </c>
      <c r="S142" s="12">
        <v>35.84</v>
      </c>
      <c r="T142" s="13">
        <f t="shared" si="6"/>
        <v>956200</v>
      </c>
      <c r="U142" s="13">
        <f t="shared" si="7"/>
        <v>130715.04</v>
      </c>
      <c r="V142" s="13">
        <f t="shared" si="8"/>
        <v>825484.96</v>
      </c>
      <c r="W142" s="14">
        <f>Q142/totals!B$2</f>
        <v>0.001330490089</v>
      </c>
      <c r="X142" s="14">
        <f t="shared" si="9"/>
        <v>0.1028233152</v>
      </c>
      <c r="Y142" s="14">
        <f>T142/totals!B$5</f>
        <v>0.0005617669229</v>
      </c>
      <c r="Z142" s="14">
        <f t="shared" si="10"/>
        <v>0.09976077413</v>
      </c>
      <c r="AA142" s="14">
        <f>V142/totals!B$4</f>
        <v>0.001645997098</v>
      </c>
      <c r="AB142" s="14">
        <f t="shared" si="11"/>
        <v>0.1024644586</v>
      </c>
    </row>
    <row r="143">
      <c r="A143" s="7">
        <v>8681.0</v>
      </c>
      <c r="B143" s="7" t="str">
        <f>VLOOKUP($A143,product_category,2, False)</f>
        <v>Office Supplies</v>
      </c>
      <c r="C143" s="7">
        <v>1.89108455E8</v>
      </c>
      <c r="D143" s="9">
        <v>41040.0</v>
      </c>
      <c r="E143" s="10">
        <f t="shared" si="1"/>
        <v>5</v>
      </c>
      <c r="F143" s="10" t="str">
        <f t="shared" si="2"/>
        <v>May</v>
      </c>
      <c r="G143" s="11">
        <f t="shared" si="3"/>
        <v>11</v>
      </c>
      <c r="H143" s="7">
        <f t="shared" si="4"/>
        <v>2012</v>
      </c>
      <c r="I143" s="9">
        <v>41090.0</v>
      </c>
      <c r="J143" s="11">
        <f t="shared" si="5"/>
        <v>50</v>
      </c>
      <c r="K143" s="7" t="s">
        <v>382</v>
      </c>
      <c r="L143" s="7" t="s">
        <v>234</v>
      </c>
      <c r="M143" s="7" t="str">
        <f>VLOOKUP(L143,countries, 2,false)</f>
        <v>Czech Republic</v>
      </c>
      <c r="N143" s="7" t="str">
        <f>VLOOKUP(L143,countries, 4,false)</f>
        <v>Europe</v>
      </c>
      <c r="O143" s="7" t="str">
        <f>VLOOKUP(L143,countries, 5,false)</f>
        <v>Eastern Europe</v>
      </c>
      <c r="P143" s="7" t="s">
        <v>212</v>
      </c>
      <c r="Q143" s="7">
        <v>249.0</v>
      </c>
      <c r="R143" s="12">
        <v>651.21</v>
      </c>
      <c r="S143" s="12">
        <v>524.96</v>
      </c>
      <c r="T143" s="13">
        <f t="shared" si="6"/>
        <v>162151.29</v>
      </c>
      <c r="U143" s="13">
        <f t="shared" si="7"/>
        <v>545469.12</v>
      </c>
      <c r="V143" s="13">
        <f t="shared" si="8"/>
        <v>-383317.83</v>
      </c>
      <c r="W143" s="14">
        <f>Q143/totals!B$2</f>
        <v>0.00003786194652</v>
      </c>
      <c r="X143" s="14">
        <f t="shared" si="9"/>
        <v>0.1028611771</v>
      </c>
      <c r="Y143" s="14">
        <f>T143/totals!B$5</f>
        <v>0.00009526378501</v>
      </c>
      <c r="Z143" s="14">
        <f t="shared" si="10"/>
        <v>0.09985603792</v>
      </c>
      <c r="AA143" s="14">
        <f>V143/totals!B$4</f>
        <v>-0.0007643265066</v>
      </c>
      <c r="AB143" s="14">
        <f t="shared" si="11"/>
        <v>0.1017001321</v>
      </c>
    </row>
    <row r="144">
      <c r="A144" s="7">
        <v>8969.0</v>
      </c>
      <c r="B144" s="7" t="str">
        <f>VLOOKUP($A144,product_category,2, False)</f>
        <v>Snacks</v>
      </c>
      <c r="C144" s="7">
        <v>1.89667212E8</v>
      </c>
      <c r="D144" s="9">
        <v>41118.0</v>
      </c>
      <c r="E144" s="10">
        <f t="shared" si="1"/>
        <v>7</v>
      </c>
      <c r="F144" s="10" t="str">
        <f t="shared" si="2"/>
        <v>Jul</v>
      </c>
      <c r="G144" s="11">
        <f t="shared" si="3"/>
        <v>28</v>
      </c>
      <c r="H144" s="7">
        <f t="shared" si="4"/>
        <v>2012</v>
      </c>
      <c r="I144" s="9">
        <v>41155.0</v>
      </c>
      <c r="J144" s="11">
        <f t="shared" si="5"/>
        <v>37</v>
      </c>
      <c r="K144" s="7" t="s">
        <v>382</v>
      </c>
      <c r="L144" s="7" t="s">
        <v>612</v>
      </c>
      <c r="M144" s="7" t="str">
        <f>VLOOKUP(L144,countries, 2,false)</f>
        <v>Russia</v>
      </c>
      <c r="N144" s="7" t="str">
        <f>VLOOKUP(L144,countries, 4,false)</f>
        <v>Europe</v>
      </c>
      <c r="O144" s="7" t="str">
        <f>VLOOKUP(L144,countries, 5,false)</f>
        <v>Eastern Europe</v>
      </c>
      <c r="P144" s="7" t="s">
        <v>212</v>
      </c>
      <c r="Q144" s="7">
        <v>5598.0</v>
      </c>
      <c r="R144" s="12">
        <v>152.58</v>
      </c>
      <c r="S144" s="12">
        <v>97.44</v>
      </c>
      <c r="T144" s="13">
        <f t="shared" si="6"/>
        <v>854142.84</v>
      </c>
      <c r="U144" s="13">
        <f t="shared" si="7"/>
        <v>53025.72</v>
      </c>
      <c r="V144" s="13">
        <f t="shared" si="8"/>
        <v>801117.12</v>
      </c>
      <c r="W144" s="14">
        <f>Q144/totals!B$2</f>
        <v>0.0008512095447</v>
      </c>
      <c r="X144" s="14">
        <f t="shared" si="9"/>
        <v>0.1037123867</v>
      </c>
      <c r="Y144" s="14">
        <f>T144/totals!B$5</f>
        <v>0.000501808403</v>
      </c>
      <c r="Z144" s="14">
        <f t="shared" si="10"/>
        <v>0.1003578463</v>
      </c>
      <c r="AA144" s="14">
        <f>V144/totals!B$4</f>
        <v>0.001597408213</v>
      </c>
      <c r="AB144" s="14">
        <f t="shared" si="11"/>
        <v>0.1032975403</v>
      </c>
    </row>
    <row r="145">
      <c r="A145" s="7">
        <v>1270.0</v>
      </c>
      <c r="B145" s="7" t="str">
        <f>VLOOKUP($A145,product_category,2, False)</f>
        <v>Beverages</v>
      </c>
      <c r="C145" s="7">
        <v>1.89924275E8</v>
      </c>
      <c r="D145" s="9">
        <v>41327.0</v>
      </c>
      <c r="E145" s="10">
        <f t="shared" si="1"/>
        <v>2</v>
      </c>
      <c r="F145" s="10" t="str">
        <f t="shared" si="2"/>
        <v>Feb</v>
      </c>
      <c r="G145" s="11">
        <f t="shared" si="3"/>
        <v>22</v>
      </c>
      <c r="H145" s="7">
        <f t="shared" si="4"/>
        <v>2013</v>
      </c>
      <c r="I145" s="9">
        <v>41354.0</v>
      </c>
      <c r="J145" s="11">
        <f t="shared" si="5"/>
        <v>27</v>
      </c>
      <c r="K145" s="7" t="s">
        <v>322</v>
      </c>
      <c r="L145" s="7" t="s">
        <v>222</v>
      </c>
      <c r="M145" s="7" t="str">
        <f>VLOOKUP(L145,countries, 2,false)</f>
        <v>Croatia</v>
      </c>
      <c r="N145" s="7" t="str">
        <f>VLOOKUP(L145,countries, 4,false)</f>
        <v>Europe</v>
      </c>
      <c r="O145" s="7" t="str">
        <f>VLOOKUP(L145,countries, 5,false)</f>
        <v>Southern Europe</v>
      </c>
      <c r="P145" s="7" t="s">
        <v>212</v>
      </c>
      <c r="Q145" s="7">
        <v>1668.0</v>
      </c>
      <c r="R145" s="12">
        <v>47.45</v>
      </c>
      <c r="S145" s="12">
        <v>31.79</v>
      </c>
      <c r="T145" s="13">
        <f t="shared" si="6"/>
        <v>79146.6</v>
      </c>
      <c r="U145" s="13">
        <f t="shared" si="7"/>
        <v>175938.56</v>
      </c>
      <c r="V145" s="13">
        <f t="shared" si="8"/>
        <v>-96791.96</v>
      </c>
      <c r="W145" s="14">
        <f>Q145/totals!B$2</f>
        <v>0.0002536294249</v>
      </c>
      <c r="X145" s="14">
        <f t="shared" si="9"/>
        <v>0.1039660161</v>
      </c>
      <c r="Y145" s="14">
        <f>T145/totals!B$5</f>
        <v>0.00004649857973</v>
      </c>
      <c r="Z145" s="14">
        <f t="shared" si="10"/>
        <v>0.1004043449</v>
      </c>
      <c r="AA145" s="14">
        <f>V145/totals!B$4</f>
        <v>-0.0001930008334</v>
      </c>
      <c r="AB145" s="14">
        <f t="shared" si="11"/>
        <v>0.1031045395</v>
      </c>
    </row>
    <row r="146">
      <c r="A146" s="7">
        <v>2455.0</v>
      </c>
      <c r="B146" s="7" t="str">
        <f>VLOOKUP($A146,product_category,2, False)</f>
        <v>Clothes</v>
      </c>
      <c r="C146" s="7">
        <v>1.9000281E8</v>
      </c>
      <c r="D146" s="9">
        <v>42906.0</v>
      </c>
      <c r="E146" s="10">
        <f t="shared" si="1"/>
        <v>6</v>
      </c>
      <c r="F146" s="10" t="str">
        <f t="shared" si="2"/>
        <v>Jun</v>
      </c>
      <c r="G146" s="11">
        <f t="shared" si="3"/>
        <v>20</v>
      </c>
      <c r="H146" s="7">
        <f t="shared" si="4"/>
        <v>2017</v>
      </c>
      <c r="I146" s="9">
        <v>42952.0</v>
      </c>
      <c r="J146" s="11">
        <f t="shared" si="5"/>
        <v>46</v>
      </c>
      <c r="K146" s="7" t="s">
        <v>198</v>
      </c>
      <c r="L146" s="7" t="s">
        <v>56</v>
      </c>
      <c r="M146" s="7" t="str">
        <f>VLOOKUP(L146,countries, 2,false)</f>
        <v>Andorra</v>
      </c>
      <c r="N146" s="7" t="str">
        <f>VLOOKUP(L146,countries, 4,false)</f>
        <v>Europe</v>
      </c>
      <c r="O146" s="7" t="str">
        <f>VLOOKUP(L146,countries, 5,false)</f>
        <v>Southern Europe</v>
      </c>
      <c r="P146" s="7" t="s">
        <v>129</v>
      </c>
      <c r="Q146" s="7">
        <v>4909.0</v>
      </c>
      <c r="R146" s="12">
        <v>109.28</v>
      </c>
      <c r="S146" s="12">
        <v>35.84</v>
      </c>
      <c r="T146" s="13">
        <f t="shared" si="6"/>
        <v>536455.52</v>
      </c>
      <c r="U146" s="13">
        <f t="shared" si="7"/>
        <v>184254.84</v>
      </c>
      <c r="V146" s="13">
        <f t="shared" si="8"/>
        <v>352200.68</v>
      </c>
      <c r="W146" s="14">
        <f>Q146/totals!B$2</f>
        <v>0.0007464429538</v>
      </c>
      <c r="X146" s="14">
        <f t="shared" si="9"/>
        <v>0.104712459</v>
      </c>
      <c r="Y146" s="14">
        <f>T146/totals!B$5</f>
        <v>0.0003151672942</v>
      </c>
      <c r="Z146" s="14">
        <f t="shared" si="10"/>
        <v>0.1007195122</v>
      </c>
      <c r="AA146" s="14">
        <f>V146/totals!B$4</f>
        <v>0.0007022796601</v>
      </c>
      <c r="AB146" s="14">
        <f t="shared" si="11"/>
        <v>0.1038068191</v>
      </c>
    </row>
    <row r="147">
      <c r="A147" s="7">
        <v>1270.0</v>
      </c>
      <c r="B147" s="7" t="str">
        <f>VLOOKUP($A147,product_category,2, False)</f>
        <v>Beverages</v>
      </c>
      <c r="C147" s="7">
        <v>1.92236125E8</v>
      </c>
      <c r="D147" s="9">
        <v>42805.0</v>
      </c>
      <c r="E147" s="10">
        <f t="shared" si="1"/>
        <v>3</v>
      </c>
      <c r="F147" s="10" t="str">
        <f t="shared" si="2"/>
        <v>Mar</v>
      </c>
      <c r="G147" s="11">
        <f t="shared" si="3"/>
        <v>11</v>
      </c>
      <c r="H147" s="7">
        <f t="shared" si="4"/>
        <v>2017</v>
      </c>
      <c r="I147" s="9">
        <v>42816.0</v>
      </c>
      <c r="J147" s="11">
        <f t="shared" si="5"/>
        <v>11</v>
      </c>
      <c r="K147" s="7" t="s">
        <v>382</v>
      </c>
      <c r="L147" s="7" t="s">
        <v>222</v>
      </c>
      <c r="M147" s="7" t="str">
        <f>VLOOKUP(L147,countries, 2,false)</f>
        <v>Croatia</v>
      </c>
      <c r="N147" s="7" t="str">
        <f>VLOOKUP(L147,countries, 4,false)</f>
        <v>Europe</v>
      </c>
      <c r="O147" s="7" t="str">
        <f>VLOOKUP(L147,countries, 5,false)</f>
        <v>Southern Europe</v>
      </c>
      <c r="P147" s="7" t="s">
        <v>212</v>
      </c>
      <c r="Q147" s="7">
        <v>5796.0</v>
      </c>
      <c r="R147" s="12">
        <v>47.45</v>
      </c>
      <c r="S147" s="12">
        <v>31.79</v>
      </c>
      <c r="T147" s="13">
        <f t="shared" si="6"/>
        <v>275020.2</v>
      </c>
      <c r="U147" s="13">
        <f t="shared" si="7"/>
        <v>2172.88</v>
      </c>
      <c r="V147" s="13">
        <f t="shared" si="8"/>
        <v>272847.32</v>
      </c>
      <c r="W147" s="14">
        <f>Q147/totals!B$2</f>
        <v>0.0008813166347</v>
      </c>
      <c r="X147" s="14">
        <f t="shared" si="9"/>
        <v>0.1055937757</v>
      </c>
      <c r="Y147" s="14">
        <f>T147/totals!B$5</f>
        <v>0.0001615742015</v>
      </c>
      <c r="Z147" s="14">
        <f t="shared" si="10"/>
        <v>0.1008810864</v>
      </c>
      <c r="AA147" s="14">
        <f>V147/totals!B$4</f>
        <v>0.0005440509744</v>
      </c>
      <c r="AB147" s="14">
        <f t="shared" si="11"/>
        <v>0.1043508701</v>
      </c>
    </row>
    <row r="148">
      <c r="A148" s="7">
        <v>4594.0</v>
      </c>
      <c r="B148" s="7" t="str">
        <f>VLOOKUP($A148,product_category,2, False)</f>
        <v>Fruits</v>
      </c>
      <c r="C148" s="7">
        <v>1.92589318E8</v>
      </c>
      <c r="D148" s="9">
        <v>41214.0</v>
      </c>
      <c r="E148" s="10">
        <f t="shared" si="1"/>
        <v>11</v>
      </c>
      <c r="F148" s="10" t="str">
        <f t="shared" si="2"/>
        <v>Nov</v>
      </c>
      <c r="G148" s="11">
        <f t="shared" si="3"/>
        <v>1</v>
      </c>
      <c r="H148" s="7">
        <f t="shared" si="4"/>
        <v>2012</v>
      </c>
      <c r="I148" s="9">
        <v>41259.0</v>
      </c>
      <c r="J148" s="11">
        <f t="shared" si="5"/>
        <v>45</v>
      </c>
      <c r="K148" s="7" t="s">
        <v>110</v>
      </c>
      <c r="L148" s="7" t="s">
        <v>234</v>
      </c>
      <c r="M148" s="7" t="str">
        <f>VLOOKUP(L148,countries, 2,false)</f>
        <v>Czech Republic</v>
      </c>
      <c r="N148" s="7" t="str">
        <f>VLOOKUP(L148,countries, 4,false)</f>
        <v>Europe</v>
      </c>
      <c r="O148" s="7" t="str">
        <f>VLOOKUP(L148,countries, 5,false)</f>
        <v>Eastern Europe</v>
      </c>
      <c r="P148" s="7" t="s">
        <v>129</v>
      </c>
      <c r="Q148" s="7">
        <v>314.0</v>
      </c>
      <c r="R148" s="12">
        <v>9.33</v>
      </c>
      <c r="S148" s="12">
        <v>6.92</v>
      </c>
      <c r="T148" s="13">
        <f t="shared" si="6"/>
        <v>2929.62</v>
      </c>
      <c r="U148" s="13">
        <f t="shared" si="7"/>
        <v>281754.77</v>
      </c>
      <c r="V148" s="13">
        <f t="shared" si="8"/>
        <v>-278825.15</v>
      </c>
      <c r="W148" s="14">
        <f>Q148/totals!B$2</f>
        <v>0.00004774558718</v>
      </c>
      <c r="X148" s="14">
        <f t="shared" si="9"/>
        <v>0.1056415213</v>
      </c>
      <c r="Y148" s="14">
        <f>T148/totals!B$5</f>
        <v>0.000001721149982</v>
      </c>
      <c r="Z148" s="14">
        <f t="shared" si="10"/>
        <v>0.1008828075</v>
      </c>
      <c r="AA148" s="14">
        <f>V148/totals!B$4</f>
        <v>-0.0005559706232</v>
      </c>
      <c r="AB148" s="14">
        <f t="shared" si="11"/>
        <v>0.1037948995</v>
      </c>
    </row>
    <row r="149">
      <c r="A149" s="7">
        <v>1270.0</v>
      </c>
      <c r="B149" s="7" t="str">
        <f>VLOOKUP($A149,product_category,2, False)</f>
        <v>Beverages</v>
      </c>
      <c r="C149" s="7">
        <v>1.92922341E8</v>
      </c>
      <c r="D149" s="9">
        <v>41001.0</v>
      </c>
      <c r="E149" s="10">
        <f t="shared" si="1"/>
        <v>4</v>
      </c>
      <c r="F149" s="10" t="str">
        <f t="shared" si="2"/>
        <v>Apr</v>
      </c>
      <c r="G149" s="11">
        <f t="shared" si="3"/>
        <v>2</v>
      </c>
      <c r="H149" s="7">
        <f t="shared" si="4"/>
        <v>2012</v>
      </c>
      <c r="I149" s="9">
        <v>41030.0</v>
      </c>
      <c r="J149" s="11">
        <f t="shared" si="5"/>
        <v>29</v>
      </c>
      <c r="K149" s="7" t="s">
        <v>198</v>
      </c>
      <c r="L149" s="7" t="s">
        <v>88</v>
      </c>
      <c r="M149" s="7" t="str">
        <f>VLOOKUP(L149,countries, 2,false)</f>
        <v>Austria</v>
      </c>
      <c r="N149" s="7" t="str">
        <f>VLOOKUP(L149,countries, 4,false)</f>
        <v>Europe</v>
      </c>
      <c r="O149" s="7" t="str">
        <f>VLOOKUP(L149,countries, 5,false)</f>
        <v>Western Europe</v>
      </c>
      <c r="P149" s="7" t="s">
        <v>212</v>
      </c>
      <c r="Q149" s="7">
        <v>8863.0</v>
      </c>
      <c r="R149" s="12">
        <v>47.45</v>
      </c>
      <c r="S149" s="12">
        <v>31.79</v>
      </c>
      <c r="T149" s="13">
        <f t="shared" si="6"/>
        <v>420549.35</v>
      </c>
      <c r="U149" s="13">
        <f t="shared" si="7"/>
        <v>473730.67</v>
      </c>
      <c r="V149" s="13">
        <f t="shared" si="8"/>
        <v>-53181.32</v>
      </c>
      <c r="W149" s="14">
        <f>Q149/totals!B$2</f>
        <v>0.001347672418</v>
      </c>
      <c r="X149" s="14">
        <f t="shared" si="9"/>
        <v>0.1069891937</v>
      </c>
      <c r="Y149" s="14">
        <f>T149/totals!B$5</f>
        <v>0.0002470724893</v>
      </c>
      <c r="Z149" s="14">
        <f t="shared" si="10"/>
        <v>0.10112988</v>
      </c>
      <c r="AA149" s="14">
        <f>V149/totals!B$4</f>
        <v>-0.0001060422692</v>
      </c>
      <c r="AB149" s="14">
        <f t="shared" si="11"/>
        <v>0.1036888572</v>
      </c>
    </row>
    <row r="150">
      <c r="A150" s="7">
        <v>8293.0</v>
      </c>
      <c r="B150" s="7" t="str">
        <f>VLOOKUP($A150,product_category,2, False)</f>
        <v>Cosmetics</v>
      </c>
      <c r="C150" s="7">
        <v>1.93472945E8</v>
      </c>
      <c r="D150" s="9">
        <v>42578.0</v>
      </c>
      <c r="E150" s="10">
        <f t="shared" si="1"/>
        <v>7</v>
      </c>
      <c r="F150" s="10" t="str">
        <f t="shared" si="2"/>
        <v>Jul</v>
      </c>
      <c r="G150" s="11">
        <f t="shared" si="3"/>
        <v>27</v>
      </c>
      <c r="H150" s="7">
        <f t="shared" si="4"/>
        <v>2016</v>
      </c>
      <c r="I150" s="9">
        <v>42626.0</v>
      </c>
      <c r="J150" s="11">
        <f t="shared" si="5"/>
        <v>48</v>
      </c>
      <c r="K150" s="7" t="s">
        <v>110</v>
      </c>
      <c r="L150" s="7" t="s">
        <v>113</v>
      </c>
      <c r="M150" s="7" t="str">
        <f>VLOOKUP(L150,countries, 2,false)</f>
        <v>Belgium</v>
      </c>
      <c r="N150" s="7" t="str">
        <f>VLOOKUP(L150,countries, 4,false)</f>
        <v>Europe</v>
      </c>
      <c r="O150" s="7" t="str">
        <f>VLOOKUP(L150,countries, 5,false)</f>
        <v>Western Europe</v>
      </c>
      <c r="P150" s="7" t="s">
        <v>212</v>
      </c>
      <c r="Q150" s="7">
        <v>1799.0</v>
      </c>
      <c r="R150" s="12">
        <v>437.2</v>
      </c>
      <c r="S150" s="12">
        <v>263.33</v>
      </c>
      <c r="T150" s="13">
        <f t="shared" si="6"/>
        <v>786522.8</v>
      </c>
      <c r="U150" s="13">
        <f t="shared" si="7"/>
        <v>36182.88</v>
      </c>
      <c r="V150" s="13">
        <f t="shared" si="8"/>
        <v>750339.92</v>
      </c>
      <c r="W150" s="14">
        <f>Q150/totals!B$2</f>
        <v>0.0002735487622</v>
      </c>
      <c r="X150" s="14">
        <f t="shared" si="9"/>
        <v>0.1072627424</v>
      </c>
      <c r="Y150" s="14">
        <f>T150/totals!B$5</f>
        <v>0.0004620816703</v>
      </c>
      <c r="Z150" s="14">
        <f t="shared" si="10"/>
        <v>0.1015919617</v>
      </c>
      <c r="AA150" s="14">
        <f>V150/totals!B$4</f>
        <v>0.001496159701</v>
      </c>
      <c r="AB150" s="14">
        <f t="shared" si="11"/>
        <v>0.1051850169</v>
      </c>
    </row>
    <row r="151">
      <c r="A151" s="7">
        <v>7940.0</v>
      </c>
      <c r="B151" s="7" t="str">
        <f>VLOOKUP($A151,product_category,2, False)</f>
        <v>Household</v>
      </c>
      <c r="C151" s="7">
        <v>1.94176757E8</v>
      </c>
      <c r="D151" s="9">
        <v>42926.0</v>
      </c>
      <c r="E151" s="10">
        <f t="shared" si="1"/>
        <v>7</v>
      </c>
      <c r="F151" s="10" t="str">
        <f t="shared" si="2"/>
        <v>Jul</v>
      </c>
      <c r="G151" s="11">
        <f t="shared" si="3"/>
        <v>10</v>
      </c>
      <c r="H151" s="7">
        <f t="shared" si="4"/>
        <v>2017</v>
      </c>
      <c r="I151" s="9">
        <v>42967.0</v>
      </c>
      <c r="J151" s="11">
        <f t="shared" si="5"/>
        <v>41</v>
      </c>
      <c r="K151" s="7" t="s">
        <v>110</v>
      </c>
      <c r="L151" s="7" t="s">
        <v>612</v>
      </c>
      <c r="M151" s="7" t="str">
        <f>VLOOKUP(L151,countries, 2,false)</f>
        <v>Russia</v>
      </c>
      <c r="N151" s="7" t="str">
        <f>VLOOKUP(L151,countries, 4,false)</f>
        <v>Europe</v>
      </c>
      <c r="O151" s="7" t="str">
        <f>VLOOKUP(L151,countries, 5,false)</f>
        <v>Eastern Europe</v>
      </c>
      <c r="P151" s="7" t="s">
        <v>129</v>
      </c>
      <c r="Q151" s="7">
        <v>72.0</v>
      </c>
      <c r="R151" s="12">
        <v>668.27</v>
      </c>
      <c r="S151" s="12">
        <v>502.54</v>
      </c>
      <c r="T151" s="13">
        <f t="shared" si="6"/>
        <v>48115.44</v>
      </c>
      <c r="U151" s="13">
        <f t="shared" si="7"/>
        <v>32790.8</v>
      </c>
      <c r="V151" s="13">
        <f t="shared" si="8"/>
        <v>15324.64</v>
      </c>
      <c r="W151" s="14">
        <f>Q151/totals!B$2</f>
        <v>0.00001094803273</v>
      </c>
      <c r="X151" s="14">
        <f t="shared" si="9"/>
        <v>0.1072736905</v>
      </c>
      <c r="Y151" s="14">
        <f>T151/totals!B$5</f>
        <v>0.00002826779196</v>
      </c>
      <c r="Z151" s="14">
        <f t="shared" si="10"/>
        <v>0.1016202295</v>
      </c>
      <c r="AA151" s="14">
        <f>V151/totals!B$4</f>
        <v>0.0000305569625</v>
      </c>
      <c r="AB151" s="14">
        <f t="shared" si="11"/>
        <v>0.1052155739</v>
      </c>
    </row>
    <row r="152">
      <c r="A152" s="7">
        <v>2103.0</v>
      </c>
      <c r="B152" s="7" t="str">
        <f>VLOOKUP($A152,product_category,2, False)</f>
        <v>Cereal</v>
      </c>
      <c r="C152" s="7">
        <v>1.94785726E8</v>
      </c>
      <c r="D152" s="9">
        <v>41928.0</v>
      </c>
      <c r="E152" s="10">
        <f t="shared" si="1"/>
        <v>10</v>
      </c>
      <c r="F152" s="10" t="str">
        <f t="shared" si="2"/>
        <v>Oct</v>
      </c>
      <c r="G152" s="11">
        <f t="shared" si="3"/>
        <v>16</v>
      </c>
      <c r="H152" s="7">
        <f t="shared" si="4"/>
        <v>2014</v>
      </c>
      <c r="I152" s="9">
        <v>41956.0</v>
      </c>
      <c r="J152" s="11">
        <f t="shared" si="5"/>
        <v>28</v>
      </c>
      <c r="K152" s="7" t="s">
        <v>322</v>
      </c>
      <c r="L152" s="7" t="s">
        <v>448</v>
      </c>
      <c r="M152" s="7" t="str">
        <f>VLOOKUP(L152,countries, 2,false)</f>
        <v>Liechtenstein</v>
      </c>
      <c r="N152" s="7" t="str">
        <f>VLOOKUP(L152,countries, 4,false)</f>
        <v>Europe</v>
      </c>
      <c r="O152" s="7" t="str">
        <f>VLOOKUP(L152,countries, 5,false)</f>
        <v>Western Europe</v>
      </c>
      <c r="P152" s="7" t="s">
        <v>212</v>
      </c>
      <c r="Q152" s="7">
        <v>280.0</v>
      </c>
      <c r="R152" s="12">
        <v>205.7</v>
      </c>
      <c r="S152" s="12">
        <v>117.11</v>
      </c>
      <c r="T152" s="13">
        <f t="shared" si="6"/>
        <v>57596</v>
      </c>
      <c r="U152" s="13">
        <f t="shared" si="7"/>
        <v>98719.14</v>
      </c>
      <c r="V152" s="13">
        <f t="shared" si="8"/>
        <v>-41123.14</v>
      </c>
      <c r="W152" s="14">
        <f>Q152/totals!B$2</f>
        <v>0.00004257568284</v>
      </c>
      <c r="X152" s="14">
        <f t="shared" si="9"/>
        <v>0.1073162662</v>
      </c>
      <c r="Y152" s="14">
        <f>T152/totals!B$5</f>
        <v>0.00003383761524</v>
      </c>
      <c r="Z152" s="14">
        <f t="shared" si="10"/>
        <v>0.1016540671</v>
      </c>
      <c r="AA152" s="14">
        <f>V152/totals!B$4</f>
        <v>-0.00008199854918</v>
      </c>
      <c r="AB152" s="14">
        <f t="shared" si="11"/>
        <v>0.1051335753</v>
      </c>
    </row>
    <row r="153">
      <c r="A153" s="7">
        <v>3127.0</v>
      </c>
      <c r="B153" s="7" t="str">
        <f>VLOOKUP($A153,product_category,2, False)</f>
        <v>Personal Care</v>
      </c>
      <c r="C153" s="7">
        <v>1.94858253E8</v>
      </c>
      <c r="D153" s="9">
        <v>40680.0</v>
      </c>
      <c r="E153" s="10">
        <f t="shared" si="1"/>
        <v>5</v>
      </c>
      <c r="F153" s="10" t="str">
        <f t="shared" si="2"/>
        <v>May</v>
      </c>
      <c r="G153" s="11">
        <f t="shared" si="3"/>
        <v>17</v>
      </c>
      <c r="H153" s="7">
        <f t="shared" si="4"/>
        <v>2011</v>
      </c>
      <c r="I153" s="9">
        <v>40685.0</v>
      </c>
      <c r="J153" s="11">
        <f t="shared" si="5"/>
        <v>5</v>
      </c>
      <c r="K153" s="7" t="s">
        <v>322</v>
      </c>
      <c r="L153" s="7" t="s">
        <v>454</v>
      </c>
      <c r="M153" s="7" t="str">
        <f>VLOOKUP(L153,countries, 2,false)</f>
        <v>Luxembourg</v>
      </c>
      <c r="N153" s="7" t="str">
        <f>VLOOKUP(L153,countries, 4,false)</f>
        <v>Europe</v>
      </c>
      <c r="O153" s="7" t="str">
        <f>VLOOKUP(L153,countries, 5,false)</f>
        <v>Western Europe</v>
      </c>
      <c r="P153" s="7" t="s">
        <v>129</v>
      </c>
      <c r="Q153" s="7">
        <v>1742.0</v>
      </c>
      <c r="R153" s="12">
        <v>81.73</v>
      </c>
      <c r="S153" s="12">
        <v>56.67</v>
      </c>
      <c r="T153" s="13">
        <f t="shared" si="6"/>
        <v>142373.66</v>
      </c>
      <c r="U153" s="13">
        <f t="shared" si="7"/>
        <v>126101.22</v>
      </c>
      <c r="V153" s="13">
        <f t="shared" si="8"/>
        <v>16272.44</v>
      </c>
      <c r="W153" s="14">
        <f>Q153/totals!B$2</f>
        <v>0.0002648815697</v>
      </c>
      <c r="X153" s="14">
        <f t="shared" si="9"/>
        <v>0.1075811477</v>
      </c>
      <c r="Y153" s="14">
        <f>T153/totals!B$5</f>
        <v>0.00008364443932</v>
      </c>
      <c r="Z153" s="14">
        <f t="shared" si="10"/>
        <v>0.1017377116</v>
      </c>
      <c r="AA153" s="14">
        <f>V153/totals!B$4</f>
        <v>0.00003244685283</v>
      </c>
      <c r="AB153" s="14">
        <f t="shared" si="11"/>
        <v>0.1051660222</v>
      </c>
    </row>
    <row r="154">
      <c r="A154" s="7">
        <v>7331.0</v>
      </c>
      <c r="B154" s="7" t="str">
        <f>VLOOKUP($A154,product_category,2, False)</f>
        <v>Baby Food</v>
      </c>
      <c r="C154" s="7">
        <v>1.94922626E8</v>
      </c>
      <c r="D154" s="9">
        <v>40931.0</v>
      </c>
      <c r="E154" s="10">
        <f t="shared" si="1"/>
        <v>1</v>
      </c>
      <c r="F154" s="10" t="str">
        <f t="shared" si="2"/>
        <v>Jan</v>
      </c>
      <c r="G154" s="11">
        <f t="shared" si="3"/>
        <v>23</v>
      </c>
      <c r="H154" s="7">
        <f t="shared" si="4"/>
        <v>2012</v>
      </c>
      <c r="I154" s="9">
        <v>40946.0</v>
      </c>
      <c r="J154" s="11">
        <f t="shared" si="5"/>
        <v>15</v>
      </c>
      <c r="K154" s="7" t="s">
        <v>382</v>
      </c>
      <c r="L154" s="7" t="s">
        <v>77</v>
      </c>
      <c r="M154" s="7" t="str">
        <f>VLOOKUP(L154,countries, 2,false)</f>
        <v>Armenia</v>
      </c>
      <c r="N154" s="7" t="str">
        <f>VLOOKUP(L154,countries, 4,false)</f>
        <v>Asia</v>
      </c>
      <c r="O154" s="7" t="str">
        <f>VLOOKUP(L154,countries, 5,false)</f>
        <v>Western Asia</v>
      </c>
      <c r="P154" s="7" t="s">
        <v>212</v>
      </c>
      <c r="Q154" s="7">
        <v>791.0</v>
      </c>
      <c r="R154" s="12">
        <v>255.28</v>
      </c>
      <c r="S154" s="12">
        <v>159.42</v>
      </c>
      <c r="T154" s="13">
        <f t="shared" si="6"/>
        <v>201926.48</v>
      </c>
      <c r="U154" s="13">
        <f t="shared" si="7"/>
        <v>244927.74</v>
      </c>
      <c r="V154" s="13">
        <f t="shared" si="8"/>
        <v>-43001.26</v>
      </c>
      <c r="W154" s="14">
        <f>Q154/totals!B$2</f>
        <v>0.000120276304</v>
      </c>
      <c r="X154" s="14">
        <f t="shared" si="9"/>
        <v>0.107701424</v>
      </c>
      <c r="Y154" s="14">
        <f>T154/totals!B$5</f>
        <v>0.0001186316851</v>
      </c>
      <c r="Z154" s="14">
        <f t="shared" si="10"/>
        <v>0.1018563432</v>
      </c>
      <c r="AA154" s="14">
        <f>V154/totals!B$4</f>
        <v>-0.00008574347516</v>
      </c>
      <c r="AB154" s="14">
        <f t="shared" si="11"/>
        <v>0.1050802787</v>
      </c>
    </row>
    <row r="155">
      <c r="A155" s="7">
        <v>3127.0</v>
      </c>
      <c r="B155" s="7" t="str">
        <f>VLOOKUP($A155,product_category,2, False)</f>
        <v>Personal Care</v>
      </c>
      <c r="C155" s="7">
        <v>1.95171105E8</v>
      </c>
      <c r="D155" s="9">
        <v>41845.0</v>
      </c>
      <c r="E155" s="10">
        <f t="shared" si="1"/>
        <v>7</v>
      </c>
      <c r="F155" s="10" t="str">
        <f t="shared" si="2"/>
        <v>Jul</v>
      </c>
      <c r="G155" s="11">
        <f t="shared" si="3"/>
        <v>25</v>
      </c>
      <c r="H155" s="7">
        <f t="shared" si="4"/>
        <v>2014</v>
      </c>
      <c r="I155" s="9">
        <v>41886.0</v>
      </c>
      <c r="J155" s="11">
        <f t="shared" si="5"/>
        <v>41</v>
      </c>
      <c r="K155" s="7" t="s">
        <v>110</v>
      </c>
      <c r="L155" s="7" t="s">
        <v>283</v>
      </c>
      <c r="M155" s="7" t="str">
        <f>VLOOKUP(L155,countries, 2,false)</f>
        <v>Finland</v>
      </c>
      <c r="N155" s="7" t="str">
        <f>VLOOKUP(L155,countries, 4,false)</f>
        <v>Europe</v>
      </c>
      <c r="O155" s="7" t="str">
        <f>VLOOKUP(L155,countries, 5,false)</f>
        <v>Northern Europe</v>
      </c>
      <c r="P155" s="7" t="s">
        <v>129</v>
      </c>
      <c r="Q155" s="7">
        <v>4322.0</v>
      </c>
      <c r="R155" s="12">
        <v>81.73</v>
      </c>
      <c r="S155" s="12">
        <v>56.67</v>
      </c>
      <c r="T155" s="13">
        <f t="shared" si="6"/>
        <v>353237.06</v>
      </c>
      <c r="U155" s="13">
        <f t="shared" si="7"/>
        <v>777727.51</v>
      </c>
      <c r="V155" s="13">
        <f t="shared" si="8"/>
        <v>-424490.45</v>
      </c>
      <c r="W155" s="14">
        <f>Q155/totals!B$2</f>
        <v>0.0006571860758</v>
      </c>
      <c r="X155" s="14">
        <f t="shared" si="9"/>
        <v>0.1083586101</v>
      </c>
      <c r="Y155" s="14">
        <f>T155/totals!B$5</f>
        <v>0.0002075265596</v>
      </c>
      <c r="Z155" s="14">
        <f t="shared" si="10"/>
        <v>0.1020638698</v>
      </c>
      <c r="AA155" s="14">
        <f>V155/totals!B$4</f>
        <v>-0.0008464237177</v>
      </c>
      <c r="AB155" s="14">
        <f t="shared" si="11"/>
        <v>0.104233855</v>
      </c>
    </row>
    <row r="156">
      <c r="A156" s="7">
        <v>2103.0</v>
      </c>
      <c r="B156" s="7" t="str">
        <f>VLOOKUP($A156,product_category,2, False)</f>
        <v>Cereal</v>
      </c>
      <c r="C156" s="7">
        <v>1.95212733E8</v>
      </c>
      <c r="D156" s="9">
        <v>41473.0</v>
      </c>
      <c r="E156" s="10">
        <f t="shared" si="1"/>
        <v>7</v>
      </c>
      <c r="F156" s="10" t="str">
        <f t="shared" si="2"/>
        <v>Jul</v>
      </c>
      <c r="G156" s="11">
        <f t="shared" si="3"/>
        <v>18</v>
      </c>
      <c r="H156" s="7">
        <f t="shared" si="4"/>
        <v>2013</v>
      </c>
      <c r="I156" s="9">
        <v>41500.0</v>
      </c>
      <c r="J156" s="11">
        <f t="shared" si="5"/>
        <v>27</v>
      </c>
      <c r="K156" s="7" t="s">
        <v>382</v>
      </c>
      <c r="L156" s="7" t="s">
        <v>264</v>
      </c>
      <c r="M156" s="7" t="str">
        <f>VLOOKUP(L156,countries, 2,false)</f>
        <v>Estonia</v>
      </c>
      <c r="N156" s="7" t="str">
        <f>VLOOKUP(L156,countries, 4,false)</f>
        <v>Europe</v>
      </c>
      <c r="O156" s="7" t="str">
        <f>VLOOKUP(L156,countries, 5,false)</f>
        <v>Northern Europe</v>
      </c>
      <c r="P156" s="7" t="s">
        <v>212</v>
      </c>
      <c r="Q156" s="7">
        <v>6641.0</v>
      </c>
      <c r="R156" s="12">
        <v>205.7</v>
      </c>
      <c r="S156" s="12">
        <v>117.11</v>
      </c>
      <c r="T156" s="13">
        <f t="shared" si="6"/>
        <v>1366053.7</v>
      </c>
      <c r="U156" s="13">
        <f t="shared" si="7"/>
        <v>178904.24</v>
      </c>
      <c r="V156" s="13">
        <f t="shared" si="8"/>
        <v>1187149.46</v>
      </c>
      <c r="W156" s="14">
        <f>Q156/totals!B$2</f>
        <v>0.001009803963</v>
      </c>
      <c r="X156" s="14">
        <f t="shared" si="9"/>
        <v>0.1093684141</v>
      </c>
      <c r="Y156" s="14">
        <f>T156/totals!B$5</f>
        <v>0.0008025557243</v>
      </c>
      <c r="Z156" s="14">
        <f t="shared" si="10"/>
        <v>0.1028664255</v>
      </c>
      <c r="AA156" s="14">
        <f>V156/totals!B$4</f>
        <v>0.002367147387</v>
      </c>
      <c r="AB156" s="14">
        <f t="shared" si="11"/>
        <v>0.1066010024</v>
      </c>
    </row>
    <row r="157">
      <c r="A157" s="7">
        <v>7940.0</v>
      </c>
      <c r="B157" s="7" t="str">
        <f>VLOOKUP($A157,product_category,2, False)</f>
        <v>Household</v>
      </c>
      <c r="C157" s="7">
        <v>1.95259082E8</v>
      </c>
      <c r="D157" s="9">
        <v>41543.0</v>
      </c>
      <c r="E157" s="10">
        <f t="shared" si="1"/>
        <v>9</v>
      </c>
      <c r="F157" s="10" t="str">
        <f t="shared" si="2"/>
        <v>Sep</v>
      </c>
      <c r="G157" s="11">
        <f t="shared" si="3"/>
        <v>26</v>
      </c>
      <c r="H157" s="7">
        <f t="shared" si="4"/>
        <v>2013</v>
      </c>
      <c r="I157" s="9">
        <v>41558.0</v>
      </c>
      <c r="J157" s="11">
        <f t="shared" si="5"/>
        <v>15</v>
      </c>
      <c r="K157" s="7" t="s">
        <v>322</v>
      </c>
      <c r="L157" s="7" t="s">
        <v>316</v>
      </c>
      <c r="M157" s="7" t="str">
        <f>VLOOKUP(L157,countries, 2,false)</f>
        <v>Greece</v>
      </c>
      <c r="N157" s="7" t="str">
        <f>VLOOKUP(L157,countries, 4,false)</f>
        <v>Europe</v>
      </c>
      <c r="O157" s="7" t="str">
        <f>VLOOKUP(L157,countries, 5,false)</f>
        <v>Southern Europe</v>
      </c>
      <c r="P157" s="7" t="s">
        <v>129</v>
      </c>
      <c r="Q157" s="7">
        <v>356.0</v>
      </c>
      <c r="R157" s="12">
        <v>668.27</v>
      </c>
      <c r="S157" s="12">
        <v>502.54</v>
      </c>
      <c r="T157" s="13">
        <f t="shared" si="6"/>
        <v>237904.12</v>
      </c>
      <c r="U157" s="13">
        <f t="shared" si="7"/>
        <v>198485.28</v>
      </c>
      <c r="V157" s="13">
        <f t="shared" si="8"/>
        <v>39418.84</v>
      </c>
      <c r="W157" s="14">
        <f>Q157/totals!B$2</f>
        <v>0.00005413193961</v>
      </c>
      <c r="X157" s="14">
        <f t="shared" si="9"/>
        <v>0.109422546</v>
      </c>
      <c r="Y157" s="14">
        <f>T157/totals!B$5</f>
        <v>0.0001397685269</v>
      </c>
      <c r="Z157" s="14">
        <f t="shared" si="10"/>
        <v>0.103006194</v>
      </c>
      <c r="AA157" s="14">
        <f>V157/totals!B$4</f>
        <v>0.00007860021609</v>
      </c>
      <c r="AB157" s="14">
        <f t="shared" si="11"/>
        <v>0.1066796026</v>
      </c>
    </row>
    <row r="158">
      <c r="A158" s="7">
        <v>8969.0</v>
      </c>
      <c r="B158" s="7" t="str">
        <f>VLOOKUP($A158,product_category,2, False)</f>
        <v>Snacks</v>
      </c>
      <c r="C158" s="7">
        <v>1.96346127E8</v>
      </c>
      <c r="D158" s="9">
        <v>40602.0</v>
      </c>
      <c r="E158" s="10">
        <f t="shared" si="1"/>
        <v>2</v>
      </c>
      <c r="F158" s="10" t="str">
        <f t="shared" si="2"/>
        <v>Feb</v>
      </c>
      <c r="G158" s="11">
        <f t="shared" si="3"/>
        <v>28</v>
      </c>
      <c r="H158" s="7">
        <f t="shared" si="4"/>
        <v>2011</v>
      </c>
      <c r="I158" s="9">
        <v>40645.0</v>
      </c>
      <c r="J158" s="11">
        <f t="shared" si="5"/>
        <v>43</v>
      </c>
      <c r="K158" s="7" t="s">
        <v>382</v>
      </c>
      <c r="L158" s="7" t="s">
        <v>77</v>
      </c>
      <c r="M158" s="7" t="str">
        <f>VLOOKUP(L158,countries, 2,false)</f>
        <v>Armenia</v>
      </c>
      <c r="N158" s="7" t="str">
        <f>VLOOKUP(L158,countries, 4,false)</f>
        <v>Asia</v>
      </c>
      <c r="O158" s="7" t="str">
        <f>VLOOKUP(L158,countries, 5,false)</f>
        <v>Western Asia</v>
      </c>
      <c r="P158" s="7" t="s">
        <v>129</v>
      </c>
      <c r="Q158" s="7">
        <v>2037.0</v>
      </c>
      <c r="R158" s="12">
        <v>152.58</v>
      </c>
      <c r="S158" s="12">
        <v>97.44</v>
      </c>
      <c r="T158" s="13">
        <f t="shared" si="6"/>
        <v>310805.46</v>
      </c>
      <c r="U158" s="13">
        <f t="shared" si="7"/>
        <v>221002.14</v>
      </c>
      <c r="V158" s="13">
        <f t="shared" si="8"/>
        <v>89803.32</v>
      </c>
      <c r="W158" s="14">
        <f>Q158/totals!B$2</f>
        <v>0.0003097380926</v>
      </c>
      <c r="X158" s="14">
        <f t="shared" si="9"/>
        <v>0.1097322841</v>
      </c>
      <c r="Y158" s="14">
        <f>T158/totals!B$5</f>
        <v>0.0001825980202</v>
      </c>
      <c r="Z158" s="14">
        <f t="shared" si="10"/>
        <v>0.1031887921</v>
      </c>
      <c r="AA158" s="14">
        <f>V158/totals!B$4</f>
        <v>0.0001790656538</v>
      </c>
      <c r="AB158" s="14">
        <f t="shared" si="11"/>
        <v>0.1068586683</v>
      </c>
    </row>
    <row r="159">
      <c r="A159" s="7">
        <v>8875.0</v>
      </c>
      <c r="B159" s="7" t="str">
        <f>VLOOKUP($A159,product_category,2, False)</f>
        <v>Meat</v>
      </c>
      <c r="C159" s="7">
        <v>1.98537814E8</v>
      </c>
      <c r="D159" s="9">
        <v>40873.0</v>
      </c>
      <c r="E159" s="10">
        <f t="shared" si="1"/>
        <v>11</v>
      </c>
      <c r="F159" s="10" t="str">
        <f t="shared" si="2"/>
        <v>Nov</v>
      </c>
      <c r="G159" s="11">
        <f t="shared" si="3"/>
        <v>26</v>
      </c>
      <c r="H159" s="7">
        <f t="shared" si="4"/>
        <v>2011</v>
      </c>
      <c r="I159" s="9">
        <v>40896.0</v>
      </c>
      <c r="J159" s="11">
        <f t="shared" si="5"/>
        <v>23</v>
      </c>
      <c r="K159" s="7" t="s">
        <v>198</v>
      </c>
      <c r="L159" s="7" t="s">
        <v>237</v>
      </c>
      <c r="M159" s="7" t="str">
        <f>VLOOKUP(L159,countries, 2,false)</f>
        <v>Denmark</v>
      </c>
      <c r="N159" s="7" t="str">
        <f>VLOOKUP(L159,countries, 4,false)</f>
        <v>Europe</v>
      </c>
      <c r="O159" s="7" t="str">
        <f>VLOOKUP(L159,countries, 5,false)</f>
        <v>Northern Europe</v>
      </c>
      <c r="P159" s="7" t="s">
        <v>129</v>
      </c>
      <c r="Q159" s="7">
        <v>606.0</v>
      </c>
      <c r="R159" s="12">
        <v>421.89</v>
      </c>
      <c r="S159" s="12">
        <v>364.69</v>
      </c>
      <c r="T159" s="13">
        <f t="shared" si="6"/>
        <v>255665.34</v>
      </c>
      <c r="U159" s="13">
        <f t="shared" si="7"/>
        <v>1324301.94</v>
      </c>
      <c r="V159" s="13">
        <f t="shared" si="8"/>
        <v>-1068636.6</v>
      </c>
      <c r="W159" s="14">
        <f>Q159/totals!B$2</f>
        <v>0.00009214594214</v>
      </c>
      <c r="X159" s="14">
        <f t="shared" si="9"/>
        <v>0.10982443</v>
      </c>
      <c r="Y159" s="14">
        <f>T159/totals!B$5</f>
        <v>0.0001502032329</v>
      </c>
      <c r="Z159" s="14">
        <f t="shared" si="10"/>
        <v>0.1033389953</v>
      </c>
      <c r="AA159" s="14">
        <f>V159/totals!B$4</f>
        <v>-0.002130835603</v>
      </c>
      <c r="AB159" s="14">
        <f t="shared" si="11"/>
        <v>0.1047278327</v>
      </c>
    </row>
    <row r="160">
      <c r="A160" s="7">
        <v>7331.0</v>
      </c>
      <c r="B160" s="7" t="str">
        <f>VLOOKUP($A160,product_category,2, False)</f>
        <v>Baby Food</v>
      </c>
      <c r="C160" s="7">
        <v>2.0035485E8</v>
      </c>
      <c r="D160" s="9">
        <v>41730.0</v>
      </c>
      <c r="E160" s="10">
        <f t="shared" si="1"/>
        <v>4</v>
      </c>
      <c r="F160" s="10" t="str">
        <f t="shared" si="2"/>
        <v>Apr</v>
      </c>
      <c r="G160" s="11">
        <f t="shared" si="3"/>
        <v>1</v>
      </c>
      <c r="H160" s="7">
        <f t="shared" si="4"/>
        <v>2014</v>
      </c>
      <c r="I160" s="9">
        <v>41763.0</v>
      </c>
      <c r="J160" s="11">
        <f t="shared" si="5"/>
        <v>33</v>
      </c>
      <c r="K160" s="7" t="s">
        <v>382</v>
      </c>
      <c r="L160" s="7" t="s">
        <v>460</v>
      </c>
      <c r="M160" s="7" t="str">
        <f>VLOOKUP(L160,countries, 2,false)</f>
        <v>Macedonia</v>
      </c>
      <c r="N160" s="7" t="str">
        <f>VLOOKUP(L160,countries, 4,false)</f>
        <v>Europe</v>
      </c>
      <c r="O160" s="7" t="str">
        <f>VLOOKUP(L160,countries, 5,false)</f>
        <v>Southern Europe</v>
      </c>
      <c r="P160" s="7" t="s">
        <v>212</v>
      </c>
      <c r="Q160" s="7">
        <v>8307.0</v>
      </c>
      <c r="R160" s="12">
        <v>255.28</v>
      </c>
      <c r="S160" s="12">
        <v>159.42</v>
      </c>
      <c r="T160" s="13">
        <f t="shared" si="6"/>
        <v>2120610.96</v>
      </c>
      <c r="U160" s="13">
        <f t="shared" si="7"/>
        <v>586464.18</v>
      </c>
      <c r="V160" s="13">
        <f t="shared" si="8"/>
        <v>1534146.78</v>
      </c>
      <c r="W160" s="14">
        <f>Q160/totals!B$2</f>
        <v>0.001263129276</v>
      </c>
      <c r="X160" s="14">
        <f t="shared" si="9"/>
        <v>0.1110875593</v>
      </c>
      <c r="Y160" s="14">
        <f>T160/totals!B$5</f>
        <v>0.001245857659</v>
      </c>
      <c r="Z160" s="14">
        <f t="shared" si="10"/>
        <v>0.104584853</v>
      </c>
      <c r="AA160" s="14">
        <f>V160/totals!B$4</f>
        <v>0.003059051672</v>
      </c>
      <c r="AB160" s="14">
        <f t="shared" si="11"/>
        <v>0.1077868843</v>
      </c>
    </row>
    <row r="161">
      <c r="A161" s="7">
        <v>7940.0</v>
      </c>
      <c r="B161" s="7" t="str">
        <f>VLOOKUP($A161,product_category,2, False)</f>
        <v>Household</v>
      </c>
      <c r="C161" s="7">
        <v>2.00432097E8</v>
      </c>
      <c r="D161" s="9">
        <v>40925.0</v>
      </c>
      <c r="E161" s="10">
        <f t="shared" si="1"/>
        <v>1</v>
      </c>
      <c r="F161" s="10" t="str">
        <f t="shared" si="2"/>
        <v>Jan</v>
      </c>
      <c r="G161" s="11">
        <f t="shared" si="3"/>
        <v>17</v>
      </c>
      <c r="H161" s="7">
        <f t="shared" si="4"/>
        <v>2012</v>
      </c>
      <c r="I161" s="9">
        <v>40939.0</v>
      </c>
      <c r="J161" s="11">
        <f t="shared" si="5"/>
        <v>14</v>
      </c>
      <c r="K161" s="7" t="s">
        <v>322</v>
      </c>
      <c r="L161" s="7" t="s">
        <v>597</v>
      </c>
      <c r="M161" s="7" t="str">
        <f>VLOOKUP(L161,countries, 2,false)</f>
        <v>Portugal</v>
      </c>
      <c r="N161" s="7" t="str">
        <f>VLOOKUP(L161,countries, 4,false)</f>
        <v>Europe</v>
      </c>
      <c r="O161" s="7" t="str">
        <f>VLOOKUP(L161,countries, 5,false)</f>
        <v>Southern Europe</v>
      </c>
      <c r="P161" s="7" t="s">
        <v>129</v>
      </c>
      <c r="Q161" s="7">
        <v>1167.0</v>
      </c>
      <c r="R161" s="12">
        <v>668.27</v>
      </c>
      <c r="S161" s="12">
        <v>502.54</v>
      </c>
      <c r="T161" s="13">
        <f t="shared" si="6"/>
        <v>779871.09</v>
      </c>
      <c r="U161" s="13">
        <f t="shared" si="7"/>
        <v>1780139.36</v>
      </c>
      <c r="V161" s="13">
        <f t="shared" si="8"/>
        <v>-1000268.27</v>
      </c>
      <c r="W161" s="14">
        <f>Q161/totals!B$2</f>
        <v>0.0001774493638</v>
      </c>
      <c r="X161" s="14">
        <f t="shared" si="9"/>
        <v>0.1112650087</v>
      </c>
      <c r="Y161" s="14">
        <f>T161/totals!B$5</f>
        <v>0.0004581737947</v>
      </c>
      <c r="Z161" s="14">
        <f t="shared" si="10"/>
        <v>0.1050430268</v>
      </c>
      <c r="AA161" s="14">
        <f>V161/totals!B$4</f>
        <v>-0.001994510802</v>
      </c>
      <c r="AB161" s="14">
        <f t="shared" si="11"/>
        <v>0.1057923735</v>
      </c>
    </row>
    <row r="162">
      <c r="A162" s="7">
        <v>8681.0</v>
      </c>
      <c r="B162" s="7" t="str">
        <f>VLOOKUP($A162,product_category,2, False)</f>
        <v>Office Supplies</v>
      </c>
      <c r="C162" s="7">
        <v>2.00507199E8</v>
      </c>
      <c r="D162" s="9">
        <v>41679.0</v>
      </c>
      <c r="E162" s="10">
        <f t="shared" si="1"/>
        <v>2</v>
      </c>
      <c r="F162" s="10" t="str">
        <f t="shared" si="2"/>
        <v>Feb</v>
      </c>
      <c r="G162" s="11">
        <f t="shared" si="3"/>
        <v>9</v>
      </c>
      <c r="H162" s="7">
        <f t="shared" si="4"/>
        <v>2014</v>
      </c>
      <c r="I162" s="9">
        <v>41695.0</v>
      </c>
      <c r="J162" s="11">
        <f t="shared" si="5"/>
        <v>16</v>
      </c>
      <c r="K162" s="7" t="s">
        <v>198</v>
      </c>
      <c r="L162" s="7" t="s">
        <v>155</v>
      </c>
      <c r="M162" s="7" t="str">
        <f>VLOOKUP(L162,countries, 2,false)</f>
        <v>Bulgaria</v>
      </c>
      <c r="N162" s="7" t="str">
        <f>VLOOKUP(L162,countries, 4,false)</f>
        <v>Europe</v>
      </c>
      <c r="O162" s="7" t="str">
        <f>VLOOKUP(L162,countries, 5,false)</f>
        <v>Eastern Europe</v>
      </c>
      <c r="P162" s="7" t="s">
        <v>212</v>
      </c>
      <c r="Q162" s="7">
        <v>3391.0</v>
      </c>
      <c r="R162" s="12">
        <v>651.21</v>
      </c>
      <c r="S162" s="12">
        <v>524.96</v>
      </c>
      <c r="T162" s="13">
        <f t="shared" si="6"/>
        <v>2208253.11</v>
      </c>
      <c r="U162" s="13">
        <f t="shared" si="7"/>
        <v>614066.88</v>
      </c>
      <c r="V162" s="13">
        <f t="shared" si="8"/>
        <v>1594186.23</v>
      </c>
      <c r="W162" s="14">
        <f>Q162/totals!B$2</f>
        <v>0.0005156219304</v>
      </c>
      <c r="X162" s="14">
        <f t="shared" si="9"/>
        <v>0.1117806306</v>
      </c>
      <c r="Y162" s="14">
        <f>T162/totals!B$5</f>
        <v>0.001297347369</v>
      </c>
      <c r="Z162" s="14">
        <f t="shared" si="10"/>
        <v>0.1063403741</v>
      </c>
      <c r="AA162" s="14">
        <f>V162/totals!B$4</f>
        <v>0.003178768887</v>
      </c>
      <c r="AB162" s="14">
        <f t="shared" si="11"/>
        <v>0.1089711424</v>
      </c>
    </row>
    <row r="163">
      <c r="A163" s="7">
        <v>8969.0</v>
      </c>
      <c r="B163" s="7" t="str">
        <f>VLOOKUP($A163,product_category,2, False)</f>
        <v>Snacks</v>
      </c>
      <c r="C163" s="7">
        <v>2.01294267E8</v>
      </c>
      <c r="D163" s="9">
        <v>41283.0</v>
      </c>
      <c r="E163" s="10">
        <f t="shared" si="1"/>
        <v>1</v>
      </c>
      <c r="F163" s="10" t="str">
        <f t="shared" si="2"/>
        <v>Jan</v>
      </c>
      <c r="G163" s="11">
        <f t="shared" si="3"/>
        <v>9</v>
      </c>
      <c r="H163" s="7">
        <f t="shared" si="4"/>
        <v>2013</v>
      </c>
      <c r="I163" s="9">
        <v>41314.0</v>
      </c>
      <c r="J163" s="11">
        <f t="shared" si="5"/>
        <v>31</v>
      </c>
      <c r="K163" s="7" t="s">
        <v>322</v>
      </c>
      <c r="L163" s="7" t="s">
        <v>642</v>
      </c>
      <c r="M163" s="7" t="str">
        <f>VLOOKUP(L163,countries, 2,false)</f>
        <v>San Marino</v>
      </c>
      <c r="N163" s="7" t="str">
        <f>VLOOKUP(L163,countries, 4,false)</f>
        <v>Europe</v>
      </c>
      <c r="O163" s="7" t="str">
        <f>VLOOKUP(L163,countries, 5,false)</f>
        <v>Southern Europe</v>
      </c>
      <c r="P163" s="7" t="s">
        <v>212</v>
      </c>
      <c r="Q163" s="7">
        <v>6302.0</v>
      </c>
      <c r="R163" s="12">
        <v>152.58</v>
      </c>
      <c r="S163" s="12">
        <v>97.44</v>
      </c>
      <c r="T163" s="13">
        <f t="shared" si="6"/>
        <v>961559.16</v>
      </c>
      <c r="U163" s="13">
        <f t="shared" si="7"/>
        <v>2383926.49</v>
      </c>
      <c r="V163" s="13">
        <f t="shared" si="8"/>
        <v>-1422367.33</v>
      </c>
      <c r="W163" s="14">
        <f>Q163/totals!B$2</f>
        <v>0.0009582569759</v>
      </c>
      <c r="X163" s="14">
        <f t="shared" si="9"/>
        <v>0.1127388876</v>
      </c>
      <c r="Y163" s="14">
        <f>T163/totals!B$5</f>
        <v>0.0005649154261</v>
      </c>
      <c r="Z163" s="14">
        <f t="shared" si="10"/>
        <v>0.1069052896</v>
      </c>
      <c r="AA163" s="14">
        <f>V163/totals!B$4</f>
        <v>-0.002836166145</v>
      </c>
      <c r="AB163" s="14">
        <f t="shared" si="11"/>
        <v>0.1061349763</v>
      </c>
    </row>
    <row r="164">
      <c r="A164" s="7">
        <v>8293.0</v>
      </c>
      <c r="B164" s="7" t="str">
        <f>VLOOKUP($A164,product_category,2, False)</f>
        <v>Cosmetics</v>
      </c>
      <c r="C164" s="7">
        <v>2.02047002E8</v>
      </c>
      <c r="D164" s="9">
        <v>40937.0</v>
      </c>
      <c r="E164" s="10">
        <f t="shared" si="1"/>
        <v>1</v>
      </c>
      <c r="F164" s="10" t="str">
        <f t="shared" si="2"/>
        <v>Jan</v>
      </c>
      <c r="G164" s="11">
        <f t="shared" si="3"/>
        <v>29</v>
      </c>
      <c r="H164" s="7">
        <f t="shared" si="4"/>
        <v>2012</v>
      </c>
      <c r="I164" s="9">
        <v>40974.0</v>
      </c>
      <c r="J164" s="11">
        <f t="shared" si="5"/>
        <v>37</v>
      </c>
      <c r="K164" s="7" t="s">
        <v>382</v>
      </c>
      <c r="L164" s="7" t="s">
        <v>756</v>
      </c>
      <c r="M164" s="7" t="str">
        <f>VLOOKUP(L164,countries, 2,false)</f>
        <v>Ukraine</v>
      </c>
      <c r="N164" s="7" t="str">
        <f>VLOOKUP(L164,countries, 4,false)</f>
        <v>Europe</v>
      </c>
      <c r="O164" s="7" t="str">
        <f>VLOOKUP(L164,countries, 5,false)</f>
        <v>Eastern Europe</v>
      </c>
      <c r="P164" s="7" t="s">
        <v>129</v>
      </c>
      <c r="Q164" s="7">
        <v>9053.0</v>
      </c>
      <c r="R164" s="12">
        <v>437.2</v>
      </c>
      <c r="S164" s="12">
        <v>263.33</v>
      </c>
      <c r="T164" s="13">
        <f t="shared" si="6"/>
        <v>3957971.6</v>
      </c>
      <c r="U164" s="13">
        <f t="shared" si="7"/>
        <v>303695.1</v>
      </c>
      <c r="V164" s="13">
        <f t="shared" si="8"/>
        <v>3654276.5</v>
      </c>
      <c r="W164" s="14">
        <f>Q164/totals!B$2</f>
        <v>0.00137656306</v>
      </c>
      <c r="X164" s="14">
        <f t="shared" si="9"/>
        <v>0.1141154507</v>
      </c>
      <c r="Y164" s="14">
        <f>T164/totals!B$5</f>
        <v>0.002325305926</v>
      </c>
      <c r="Z164" s="14">
        <f t="shared" si="10"/>
        <v>0.1092305955</v>
      </c>
      <c r="AA164" s="14">
        <f>V164/totals!B$4</f>
        <v>0.007286539192</v>
      </c>
      <c r="AB164" s="14">
        <f t="shared" si="11"/>
        <v>0.1134215155</v>
      </c>
    </row>
    <row r="165">
      <c r="A165" s="7">
        <v>7331.0</v>
      </c>
      <c r="B165" s="7" t="str">
        <f>VLOOKUP($A165,product_category,2, False)</f>
        <v>Baby Food</v>
      </c>
      <c r="C165" s="7">
        <v>2.0303663E8</v>
      </c>
      <c r="D165" s="9">
        <v>42179.0</v>
      </c>
      <c r="E165" s="10">
        <f t="shared" si="1"/>
        <v>6</v>
      </c>
      <c r="F165" s="10" t="str">
        <f t="shared" si="2"/>
        <v>Jun</v>
      </c>
      <c r="G165" s="11">
        <f t="shared" si="3"/>
        <v>24</v>
      </c>
      <c r="H165" s="7">
        <f t="shared" si="4"/>
        <v>2015</v>
      </c>
      <c r="I165" s="9">
        <v>42213.0</v>
      </c>
      <c r="J165" s="11">
        <f t="shared" si="5"/>
        <v>34</v>
      </c>
      <c r="K165" s="7" t="s">
        <v>322</v>
      </c>
      <c r="L165" s="7" t="s">
        <v>304</v>
      </c>
      <c r="M165" s="7" t="str">
        <f>VLOOKUP(L165,countries, 2,false)</f>
        <v>Georgia</v>
      </c>
      <c r="N165" s="7" t="str">
        <f>VLOOKUP(L165,countries, 4,false)</f>
        <v>Asia</v>
      </c>
      <c r="O165" s="7" t="str">
        <f>VLOOKUP(L165,countries, 5,false)</f>
        <v>Western Asia</v>
      </c>
      <c r="P165" s="7" t="s">
        <v>129</v>
      </c>
      <c r="Q165" s="7">
        <v>1905.0</v>
      </c>
      <c r="R165" s="12">
        <v>255.28</v>
      </c>
      <c r="S165" s="12">
        <v>159.42</v>
      </c>
      <c r="T165" s="13">
        <f t="shared" si="6"/>
        <v>486308.4</v>
      </c>
      <c r="U165" s="13">
        <f t="shared" si="7"/>
        <v>460359.41</v>
      </c>
      <c r="V165" s="13">
        <f t="shared" si="8"/>
        <v>25948.99</v>
      </c>
      <c r="W165" s="14">
        <f>Q165/totals!B$2</f>
        <v>0.0002896666993</v>
      </c>
      <c r="X165" s="14">
        <f t="shared" si="9"/>
        <v>0.1144051174</v>
      </c>
      <c r="Y165" s="14">
        <f>T165/totals!B$5</f>
        <v>0.0002857058915</v>
      </c>
      <c r="Z165" s="14">
        <f t="shared" si="10"/>
        <v>0.1095163014</v>
      </c>
      <c r="AA165" s="14">
        <f>V165/totals!B$4</f>
        <v>0.00005174166011</v>
      </c>
      <c r="AB165" s="14">
        <f t="shared" si="11"/>
        <v>0.1134732571</v>
      </c>
    </row>
    <row r="166">
      <c r="A166" s="7">
        <v>2103.0</v>
      </c>
      <c r="B166" s="7" t="str">
        <f>VLOOKUP($A166,product_category,2, False)</f>
        <v>Cereal</v>
      </c>
      <c r="C166" s="7">
        <v>2.03955876E8</v>
      </c>
      <c r="D166" s="9">
        <v>40344.0</v>
      </c>
      <c r="E166" s="10">
        <f t="shared" si="1"/>
        <v>6</v>
      </c>
      <c r="F166" s="10" t="str">
        <f t="shared" si="2"/>
        <v>Jun</v>
      </c>
      <c r="G166" s="11">
        <f t="shared" si="3"/>
        <v>15</v>
      </c>
      <c r="H166" s="7">
        <f t="shared" si="4"/>
        <v>2010</v>
      </c>
      <c r="I166" s="9">
        <v>40377.0</v>
      </c>
      <c r="J166" s="11">
        <f t="shared" si="5"/>
        <v>33</v>
      </c>
      <c r="K166" s="7" t="s">
        <v>110</v>
      </c>
      <c r="L166" s="7" t="s">
        <v>367</v>
      </c>
      <c r="M166" s="7" t="str">
        <f>VLOOKUP(L166,countries, 2,false)</f>
        <v>Iceland</v>
      </c>
      <c r="N166" s="7" t="str">
        <f>VLOOKUP(L166,countries, 4,false)</f>
        <v>Europe</v>
      </c>
      <c r="O166" s="7" t="str">
        <f>VLOOKUP(L166,countries, 5,false)</f>
        <v>Northern Europe</v>
      </c>
      <c r="P166" s="7" t="s">
        <v>129</v>
      </c>
      <c r="Q166" s="7">
        <v>3931.0</v>
      </c>
      <c r="R166" s="12">
        <v>205.7</v>
      </c>
      <c r="S166" s="12">
        <v>117.11</v>
      </c>
      <c r="T166" s="13">
        <f t="shared" si="6"/>
        <v>808606.7</v>
      </c>
      <c r="U166" s="13">
        <f t="shared" si="7"/>
        <v>1620026.56</v>
      </c>
      <c r="V166" s="13">
        <f t="shared" si="8"/>
        <v>-811419.86</v>
      </c>
      <c r="W166" s="14">
        <f>Q166/totals!B$2</f>
        <v>0.0005977321758</v>
      </c>
      <c r="X166" s="14">
        <f t="shared" si="9"/>
        <v>0.1150028495</v>
      </c>
      <c r="Y166" s="14">
        <f>T166/totals!B$5</f>
        <v>0.0004750559482</v>
      </c>
      <c r="Z166" s="14">
        <f t="shared" si="10"/>
        <v>0.1099913573</v>
      </c>
      <c r="AA166" s="14">
        <f>V166/totals!B$4</f>
        <v>-0.001617951628</v>
      </c>
      <c r="AB166" s="14">
        <f t="shared" si="11"/>
        <v>0.1118553055</v>
      </c>
    </row>
    <row r="167">
      <c r="A167" s="7">
        <v>8681.0</v>
      </c>
      <c r="B167" s="7" t="str">
        <f>VLOOKUP($A167,product_category,2, False)</f>
        <v>Office Supplies</v>
      </c>
      <c r="C167" s="7">
        <v>2.04392325E8</v>
      </c>
      <c r="D167" s="9">
        <v>40775.0</v>
      </c>
      <c r="E167" s="10">
        <f t="shared" si="1"/>
        <v>8</v>
      </c>
      <c r="F167" s="10" t="str">
        <f t="shared" si="2"/>
        <v>Aug</v>
      </c>
      <c r="G167" s="11">
        <f t="shared" si="3"/>
        <v>20</v>
      </c>
      <c r="H167" s="7">
        <f t="shared" si="4"/>
        <v>2011</v>
      </c>
      <c r="I167" s="9">
        <v>40812.0</v>
      </c>
      <c r="J167" s="11">
        <f t="shared" si="5"/>
        <v>37</v>
      </c>
      <c r="K167" s="7" t="s">
        <v>382</v>
      </c>
      <c r="L167" s="7" t="s">
        <v>364</v>
      </c>
      <c r="M167" s="7" t="str">
        <f>VLOOKUP(L167,countries, 2,false)</f>
        <v>Hungary</v>
      </c>
      <c r="N167" s="7" t="str">
        <f>VLOOKUP(L167,countries, 4,false)</f>
        <v>Europe</v>
      </c>
      <c r="O167" s="7" t="str">
        <f>VLOOKUP(L167,countries, 5,false)</f>
        <v>Eastern Europe</v>
      </c>
      <c r="P167" s="7" t="s">
        <v>129</v>
      </c>
      <c r="Q167" s="7">
        <v>3086.0</v>
      </c>
      <c r="R167" s="12">
        <v>651.21</v>
      </c>
      <c r="S167" s="12">
        <v>524.96</v>
      </c>
      <c r="T167" s="13">
        <f t="shared" si="6"/>
        <v>2009634.06</v>
      </c>
      <c r="U167" s="13">
        <f t="shared" si="7"/>
        <v>75744.69</v>
      </c>
      <c r="V167" s="13">
        <f t="shared" si="8"/>
        <v>1933889.37</v>
      </c>
      <c r="W167" s="14">
        <f>Q167/totals!B$2</f>
        <v>0.0004692448473</v>
      </c>
      <c r="X167" s="14">
        <f t="shared" si="9"/>
        <v>0.1154720944</v>
      </c>
      <c r="Y167" s="14">
        <f>T167/totals!B$5</f>
        <v>0.001180658797</v>
      </c>
      <c r="Z167" s="14">
        <f t="shared" si="10"/>
        <v>0.1111720161</v>
      </c>
      <c r="AA167" s="14">
        <f>V167/totals!B$4</f>
        <v>0.003856128754</v>
      </c>
      <c r="AB167" s="14">
        <f t="shared" si="11"/>
        <v>0.1157114342</v>
      </c>
    </row>
    <row r="168">
      <c r="A168" s="7">
        <v>5988.0</v>
      </c>
      <c r="B168" s="7" t="str">
        <f>VLOOKUP($A168,product_category,2, False)</f>
        <v>Vegetables</v>
      </c>
      <c r="C168" s="7">
        <v>2.04418504E8</v>
      </c>
      <c r="D168" s="9">
        <v>42223.0</v>
      </c>
      <c r="E168" s="10">
        <f t="shared" si="1"/>
        <v>8</v>
      </c>
      <c r="F168" s="10" t="str">
        <f t="shared" si="2"/>
        <v>Aug</v>
      </c>
      <c r="G168" s="11">
        <f t="shared" si="3"/>
        <v>7</v>
      </c>
      <c r="H168" s="7">
        <f t="shared" si="4"/>
        <v>2015</v>
      </c>
      <c r="I168" s="9">
        <v>42250.0</v>
      </c>
      <c r="J168" s="11">
        <f t="shared" si="5"/>
        <v>27</v>
      </c>
      <c r="K168" s="7" t="s">
        <v>198</v>
      </c>
      <c r="L168" s="7" t="s">
        <v>307</v>
      </c>
      <c r="M168" s="7" t="str">
        <f>VLOOKUP(L168,countries, 2,false)</f>
        <v>Germany</v>
      </c>
      <c r="N168" s="7" t="str">
        <f>VLOOKUP(L168,countries, 4,false)</f>
        <v>Europe</v>
      </c>
      <c r="O168" s="7" t="str">
        <f>VLOOKUP(L168,countries, 5,false)</f>
        <v>Western Europe</v>
      </c>
      <c r="P168" s="7" t="s">
        <v>212</v>
      </c>
      <c r="Q168" s="7">
        <v>833.0</v>
      </c>
      <c r="R168" s="12">
        <v>154.06</v>
      </c>
      <c r="S168" s="12">
        <v>90.93</v>
      </c>
      <c r="T168" s="13">
        <f t="shared" si="6"/>
        <v>128331.98</v>
      </c>
      <c r="U168" s="13">
        <f t="shared" si="7"/>
        <v>2056870.63</v>
      </c>
      <c r="V168" s="13">
        <f t="shared" si="8"/>
        <v>-1928538.65</v>
      </c>
      <c r="W168" s="14">
        <f>Q168/totals!B$2</f>
        <v>0.0001266626564</v>
      </c>
      <c r="X168" s="14">
        <f t="shared" si="9"/>
        <v>0.115598757</v>
      </c>
      <c r="Y168" s="14">
        <f>T168/totals!B$5</f>
        <v>0.00007539496079</v>
      </c>
      <c r="Z168" s="14">
        <f t="shared" si="10"/>
        <v>0.1112474111</v>
      </c>
      <c r="AA168" s="14">
        <f>V168/totals!B$4</f>
        <v>-0.003845459548</v>
      </c>
      <c r="AB168" s="14">
        <f t="shared" si="11"/>
        <v>0.1118659747</v>
      </c>
    </row>
    <row r="169">
      <c r="A169" s="7">
        <v>8293.0</v>
      </c>
      <c r="B169" s="7" t="str">
        <f>VLOOKUP($A169,product_category,2, False)</f>
        <v>Cosmetics</v>
      </c>
      <c r="C169" s="7">
        <v>2.05354487E8</v>
      </c>
      <c r="D169" s="9">
        <v>40951.0</v>
      </c>
      <c r="E169" s="10">
        <f t="shared" si="1"/>
        <v>2</v>
      </c>
      <c r="F169" s="10" t="str">
        <f t="shared" si="2"/>
        <v>Feb</v>
      </c>
      <c r="G169" s="11">
        <f t="shared" si="3"/>
        <v>12</v>
      </c>
      <c r="H169" s="7">
        <f t="shared" si="4"/>
        <v>2012</v>
      </c>
      <c r="I169" s="9">
        <v>40959.0</v>
      </c>
      <c r="J169" s="11">
        <f t="shared" si="5"/>
        <v>8</v>
      </c>
      <c r="K169" s="7" t="s">
        <v>382</v>
      </c>
      <c r="L169" s="7" t="s">
        <v>136</v>
      </c>
      <c r="M169" s="7" t="str">
        <f>VLOOKUP(L169,countries, 2,false)</f>
        <v>Bosnia and Herzegovina</v>
      </c>
      <c r="N169" s="7" t="str">
        <f>VLOOKUP(L169,countries, 4,false)</f>
        <v>Europe</v>
      </c>
      <c r="O169" s="7" t="str">
        <f>VLOOKUP(L169,countries, 5,false)</f>
        <v>Southern Europe</v>
      </c>
      <c r="P169" s="7" t="s">
        <v>212</v>
      </c>
      <c r="Q169" s="7">
        <v>7811.0</v>
      </c>
      <c r="R169" s="12">
        <v>437.2</v>
      </c>
      <c r="S169" s="12">
        <v>263.33</v>
      </c>
      <c r="T169" s="13">
        <f t="shared" si="6"/>
        <v>3414969.2</v>
      </c>
      <c r="U169" s="13">
        <f t="shared" si="7"/>
        <v>322315.92</v>
      </c>
      <c r="V169" s="13">
        <f t="shared" si="8"/>
        <v>3092653.28</v>
      </c>
      <c r="W169" s="14">
        <f>Q169/totals!B$2</f>
        <v>0.001187709495</v>
      </c>
      <c r="X169" s="14">
        <f t="shared" si="9"/>
        <v>0.1167864665</v>
      </c>
      <c r="Y169" s="14">
        <f>T169/totals!B$5</f>
        <v>0.002006292344</v>
      </c>
      <c r="Z169" s="14">
        <f t="shared" si="10"/>
        <v>0.1132537034</v>
      </c>
      <c r="AA169" s="14">
        <f>V169/totals!B$4</f>
        <v>0.006166676039</v>
      </c>
      <c r="AB169" s="14">
        <f t="shared" si="11"/>
        <v>0.1180326507</v>
      </c>
    </row>
    <row r="170">
      <c r="A170" s="7">
        <v>8293.0</v>
      </c>
      <c r="B170" s="7" t="str">
        <f>VLOOKUP($A170,product_category,2, False)</f>
        <v>Cosmetics</v>
      </c>
      <c r="C170" s="7">
        <v>2.08238399E8</v>
      </c>
      <c r="D170" s="9">
        <v>42245.0</v>
      </c>
      <c r="E170" s="10">
        <f t="shared" si="1"/>
        <v>8</v>
      </c>
      <c r="F170" s="10" t="str">
        <f t="shared" si="2"/>
        <v>Aug</v>
      </c>
      <c r="G170" s="11">
        <f t="shared" si="3"/>
        <v>29</v>
      </c>
      <c r="H170" s="7">
        <f t="shared" si="4"/>
        <v>2015</v>
      </c>
      <c r="I170" s="9">
        <v>42292.0</v>
      </c>
      <c r="J170" s="11">
        <f t="shared" si="5"/>
        <v>47</v>
      </c>
      <c r="K170" s="7" t="s">
        <v>322</v>
      </c>
      <c r="L170" s="7" t="s">
        <v>28</v>
      </c>
      <c r="M170" s="7" t="str">
        <f>VLOOKUP(L170,countries, 2,false)</f>
        <v>Albania</v>
      </c>
      <c r="N170" s="7" t="str">
        <f>VLOOKUP(L170,countries, 4,false)</f>
        <v>Europe</v>
      </c>
      <c r="O170" s="7" t="str">
        <f>VLOOKUP(L170,countries, 5,false)</f>
        <v>Southern Europe</v>
      </c>
      <c r="P170" s="7" t="s">
        <v>212</v>
      </c>
      <c r="Q170" s="7">
        <v>1224.0</v>
      </c>
      <c r="R170" s="12">
        <v>437.2</v>
      </c>
      <c r="S170" s="12">
        <v>263.33</v>
      </c>
      <c r="T170" s="13">
        <f t="shared" si="6"/>
        <v>535132.8</v>
      </c>
      <c r="U170" s="13">
        <f t="shared" si="7"/>
        <v>4627522.4</v>
      </c>
      <c r="V170" s="13">
        <f t="shared" si="8"/>
        <v>-4092389.6</v>
      </c>
      <c r="W170" s="14">
        <f>Q170/totals!B$2</f>
        <v>0.0001861165564</v>
      </c>
      <c r="X170" s="14">
        <f t="shared" si="9"/>
        <v>0.1169725831</v>
      </c>
      <c r="Y170" s="14">
        <f>T170/totals!B$5</f>
        <v>0.000314390197</v>
      </c>
      <c r="Z170" s="14">
        <f t="shared" si="10"/>
        <v>0.1135680936</v>
      </c>
      <c r="AA170" s="14">
        <f>V170/totals!B$4</f>
        <v>-0.008160126145</v>
      </c>
      <c r="AB170" s="14">
        <f t="shared" si="11"/>
        <v>0.1098725246</v>
      </c>
    </row>
    <row r="171">
      <c r="A171" s="7">
        <v>8681.0</v>
      </c>
      <c r="B171" s="7" t="str">
        <f>VLOOKUP($A171,product_category,2, False)</f>
        <v>Office Supplies</v>
      </c>
      <c r="C171" s="7">
        <v>2.08365428E8</v>
      </c>
      <c r="D171" s="9">
        <v>42335.0</v>
      </c>
      <c r="E171" s="10">
        <f t="shared" si="1"/>
        <v>11</v>
      </c>
      <c r="F171" s="10" t="str">
        <f t="shared" si="2"/>
        <v>Nov</v>
      </c>
      <c r="G171" s="11">
        <f t="shared" si="3"/>
        <v>27</v>
      </c>
      <c r="H171" s="7">
        <f t="shared" si="4"/>
        <v>2015</v>
      </c>
      <c r="I171" s="9">
        <v>42367.0</v>
      </c>
      <c r="J171" s="11">
        <f t="shared" si="5"/>
        <v>32</v>
      </c>
      <c r="K171" s="7" t="s">
        <v>110</v>
      </c>
      <c r="L171" s="7" t="s">
        <v>594</v>
      </c>
      <c r="M171" s="7" t="str">
        <f>VLOOKUP(L171,countries, 2,false)</f>
        <v>Poland</v>
      </c>
      <c r="N171" s="7" t="str">
        <f>VLOOKUP(L171,countries, 4,false)</f>
        <v>Europe</v>
      </c>
      <c r="O171" s="7" t="str">
        <f>VLOOKUP(L171,countries, 5,false)</f>
        <v>Eastern Europe</v>
      </c>
      <c r="P171" s="7" t="s">
        <v>212</v>
      </c>
      <c r="Q171" s="7">
        <v>8815.0</v>
      </c>
      <c r="R171" s="12">
        <v>651.21</v>
      </c>
      <c r="S171" s="12">
        <v>524.96</v>
      </c>
      <c r="T171" s="13">
        <f t="shared" si="6"/>
        <v>5740416.15</v>
      </c>
      <c r="U171" s="13">
        <f t="shared" si="7"/>
        <v>269704.33</v>
      </c>
      <c r="V171" s="13">
        <f t="shared" si="8"/>
        <v>5470711.82</v>
      </c>
      <c r="W171" s="14">
        <f>Q171/totals!B$2</f>
        <v>0.001340373729</v>
      </c>
      <c r="X171" s="14">
        <f t="shared" si="9"/>
        <v>0.1183129568</v>
      </c>
      <c r="Y171" s="14">
        <f>T171/totals!B$5</f>
        <v>0.003372491023</v>
      </c>
      <c r="Z171" s="14">
        <f t="shared" si="10"/>
        <v>0.1169405846</v>
      </c>
      <c r="AA171" s="14">
        <f>V171/totals!B$4</f>
        <v>0.0109084674</v>
      </c>
      <c r="AB171" s="14">
        <f t="shared" si="11"/>
        <v>0.120780992</v>
      </c>
    </row>
    <row r="172">
      <c r="A172" s="7">
        <v>2103.0</v>
      </c>
      <c r="B172" s="7" t="str">
        <f>VLOOKUP($A172,product_category,2, False)</f>
        <v>Cereal</v>
      </c>
      <c r="C172" s="7">
        <v>2.09357202E8</v>
      </c>
      <c r="D172" s="9">
        <v>42018.0</v>
      </c>
      <c r="E172" s="10">
        <f t="shared" si="1"/>
        <v>1</v>
      </c>
      <c r="F172" s="10" t="str">
        <f t="shared" si="2"/>
        <v>Jan</v>
      </c>
      <c r="G172" s="11">
        <f t="shared" si="3"/>
        <v>14</v>
      </c>
      <c r="H172" s="7">
        <f t="shared" si="4"/>
        <v>2015</v>
      </c>
      <c r="I172" s="9">
        <v>42026.0</v>
      </c>
      <c r="J172" s="11">
        <f t="shared" si="5"/>
        <v>8</v>
      </c>
      <c r="K172" s="7" t="s">
        <v>382</v>
      </c>
      <c r="L172" s="7" t="s">
        <v>439</v>
      </c>
      <c r="M172" s="7" t="str">
        <f>VLOOKUP(L172,countries, 2,false)</f>
        <v>Slovakia</v>
      </c>
      <c r="N172" s="7" t="str">
        <f>VLOOKUP(L172,countries, 4,false)</f>
        <v>Europe</v>
      </c>
      <c r="O172" s="7" t="str">
        <f>VLOOKUP(L172,countries, 5,false)</f>
        <v>Eastern Europe</v>
      </c>
      <c r="P172" s="7" t="s">
        <v>129</v>
      </c>
      <c r="Q172" s="7">
        <v>2303.0</v>
      </c>
      <c r="R172" s="12">
        <v>205.7</v>
      </c>
      <c r="S172" s="12">
        <v>117.11</v>
      </c>
      <c r="T172" s="13">
        <f t="shared" si="6"/>
        <v>473727.1</v>
      </c>
      <c r="U172" s="13">
        <f t="shared" si="7"/>
        <v>2195382.21</v>
      </c>
      <c r="V172" s="13">
        <f t="shared" si="8"/>
        <v>-1721655.11</v>
      </c>
      <c r="W172" s="14">
        <f>Q172/totals!B$2</f>
        <v>0.0003501849913</v>
      </c>
      <c r="X172" s="14">
        <f t="shared" si="9"/>
        <v>0.1186631418</v>
      </c>
      <c r="Y172" s="14">
        <f>T172/totals!B$5</f>
        <v>0.0002783143853</v>
      </c>
      <c r="Z172" s="14">
        <f t="shared" si="10"/>
        <v>0.117218899</v>
      </c>
      <c r="AA172" s="14">
        <f>V172/totals!B$4</f>
        <v>-0.003432938759</v>
      </c>
      <c r="AB172" s="14">
        <f t="shared" si="11"/>
        <v>0.1173480532</v>
      </c>
    </row>
    <row r="173">
      <c r="A173" s="7">
        <v>8293.0</v>
      </c>
      <c r="B173" s="7" t="str">
        <f>VLOOKUP($A173,product_category,2, False)</f>
        <v>Cosmetics</v>
      </c>
      <c r="C173" s="7">
        <v>2.09445178E8</v>
      </c>
      <c r="D173" s="9">
        <v>41716.0</v>
      </c>
      <c r="E173" s="10">
        <f t="shared" si="1"/>
        <v>3</v>
      </c>
      <c r="F173" s="10" t="str">
        <f t="shared" si="2"/>
        <v>Mar</v>
      </c>
      <c r="G173" s="11">
        <f t="shared" si="3"/>
        <v>18</v>
      </c>
      <c r="H173" s="7">
        <f t="shared" si="4"/>
        <v>2014</v>
      </c>
      <c r="I173" s="9">
        <v>41749.0</v>
      </c>
      <c r="J173" s="11">
        <f t="shared" si="5"/>
        <v>33</v>
      </c>
      <c r="K173" s="7" t="s">
        <v>110</v>
      </c>
      <c r="L173" s="7" t="s">
        <v>705</v>
      </c>
      <c r="M173" s="7" t="str">
        <f>VLOOKUP(L173,countries, 2,false)</f>
        <v>Switzerland</v>
      </c>
      <c r="N173" s="7" t="str">
        <f>VLOOKUP(L173,countries, 4,false)</f>
        <v>Europe</v>
      </c>
      <c r="O173" s="7" t="str">
        <f>VLOOKUP(L173,countries, 5,false)</f>
        <v>Western Europe</v>
      </c>
      <c r="P173" s="7" t="s">
        <v>212</v>
      </c>
      <c r="Q173" s="7">
        <v>8337.0</v>
      </c>
      <c r="R173" s="12">
        <v>437.2</v>
      </c>
      <c r="S173" s="12">
        <v>263.33</v>
      </c>
      <c r="T173" s="13">
        <f t="shared" si="6"/>
        <v>3644936.4</v>
      </c>
      <c r="U173" s="13">
        <f t="shared" si="7"/>
        <v>136263.68</v>
      </c>
      <c r="V173" s="13">
        <f t="shared" si="8"/>
        <v>3508672.72</v>
      </c>
      <c r="W173" s="14">
        <f>Q173/totals!B$2</f>
        <v>0.001267690956</v>
      </c>
      <c r="X173" s="14">
        <f t="shared" si="9"/>
        <v>0.1199308328</v>
      </c>
      <c r="Y173" s="14">
        <f>T173/totals!B$5</f>
        <v>0.002141397935</v>
      </c>
      <c r="Z173" s="14">
        <f t="shared" si="10"/>
        <v>0.119360297</v>
      </c>
      <c r="AA173" s="14">
        <f>V173/totals!B$4</f>
        <v>0.006996208767</v>
      </c>
      <c r="AB173" s="14">
        <f t="shared" si="11"/>
        <v>0.124344262</v>
      </c>
    </row>
    <row r="174">
      <c r="A174" s="7">
        <v>2455.0</v>
      </c>
      <c r="B174" s="7" t="str">
        <f>VLOOKUP($A174,product_category,2, False)</f>
        <v>Clothes</v>
      </c>
      <c r="C174" s="7">
        <v>2.09598815E8</v>
      </c>
      <c r="D174" s="9">
        <v>41283.0</v>
      </c>
      <c r="E174" s="10">
        <f t="shared" si="1"/>
        <v>1</v>
      </c>
      <c r="F174" s="10" t="str">
        <f t="shared" si="2"/>
        <v>Jan</v>
      </c>
      <c r="G174" s="11">
        <f t="shared" si="3"/>
        <v>9</v>
      </c>
      <c r="H174" s="7">
        <f t="shared" si="4"/>
        <v>2013</v>
      </c>
      <c r="I174" s="9">
        <v>41285.0</v>
      </c>
      <c r="J174" s="11">
        <f t="shared" si="5"/>
        <v>2</v>
      </c>
      <c r="K174" s="7" t="s">
        <v>322</v>
      </c>
      <c r="L174" s="7" t="s">
        <v>231</v>
      </c>
      <c r="M174" s="7" t="str">
        <f>VLOOKUP(L174,countries, 2,false)</f>
        <v>Cyprus</v>
      </c>
      <c r="N174" s="7" t="str">
        <f>VLOOKUP(L174,countries, 4,false)</f>
        <v>Asia</v>
      </c>
      <c r="O174" s="7" t="str">
        <f>VLOOKUP(L174,countries, 5,false)</f>
        <v>Western Asia</v>
      </c>
      <c r="P174" s="7" t="s">
        <v>212</v>
      </c>
      <c r="Q174" s="7">
        <v>3802.0</v>
      </c>
      <c r="R174" s="12">
        <v>109.28</v>
      </c>
      <c r="S174" s="12">
        <v>35.84</v>
      </c>
      <c r="T174" s="13">
        <f t="shared" si="6"/>
        <v>415482.56</v>
      </c>
      <c r="U174" s="13">
        <f t="shared" si="7"/>
        <v>2398017.28</v>
      </c>
      <c r="V174" s="13">
        <f t="shared" si="8"/>
        <v>-1982534.72</v>
      </c>
      <c r="W174" s="14">
        <f>Q174/totals!B$2</f>
        <v>0.0005781169505</v>
      </c>
      <c r="X174" s="14">
        <f t="shared" si="9"/>
        <v>0.1205089497</v>
      </c>
      <c r="Y174" s="14">
        <f>T174/totals!B$5</f>
        <v>0.0002440957532</v>
      </c>
      <c r="Z174" s="14">
        <f t="shared" si="10"/>
        <v>0.1196043927</v>
      </c>
      <c r="AA174" s="14">
        <f>V174/totals!B$4</f>
        <v>-0.003953126409</v>
      </c>
      <c r="AB174" s="14">
        <f t="shared" si="11"/>
        <v>0.1203911356</v>
      </c>
    </row>
    <row r="175">
      <c r="A175" s="7">
        <v>8681.0</v>
      </c>
      <c r="B175" s="7" t="str">
        <f>VLOOKUP($A175,product_category,2, False)</f>
        <v>Office Supplies</v>
      </c>
      <c r="C175" s="7">
        <v>2.09736573E8</v>
      </c>
      <c r="D175" s="9">
        <v>41875.0</v>
      </c>
      <c r="E175" s="10">
        <f t="shared" si="1"/>
        <v>8</v>
      </c>
      <c r="F175" s="10" t="str">
        <f t="shared" si="2"/>
        <v>Aug</v>
      </c>
      <c r="G175" s="11">
        <f t="shared" si="3"/>
        <v>24</v>
      </c>
      <c r="H175" s="7">
        <f t="shared" si="4"/>
        <v>2014</v>
      </c>
      <c r="I175" s="9">
        <v>41906.0</v>
      </c>
      <c r="J175" s="11">
        <f t="shared" si="5"/>
        <v>31</v>
      </c>
      <c r="K175" s="7" t="s">
        <v>198</v>
      </c>
      <c r="L175" s="7" t="s">
        <v>200</v>
      </c>
      <c r="M175" s="7" t="str">
        <f>VLOOKUP(L175,countries, 2,false)</f>
        <v>Serbia</v>
      </c>
      <c r="N175" s="7" t="str">
        <f>VLOOKUP(L175,countries, 4,false)</f>
        <v>Europe</v>
      </c>
      <c r="O175" s="7" t="str">
        <f>VLOOKUP(L175,countries, 5,false)</f>
        <v>Southern Europe</v>
      </c>
      <c r="P175" s="7" t="s">
        <v>212</v>
      </c>
      <c r="Q175" s="7">
        <v>4568.0</v>
      </c>
      <c r="R175" s="12">
        <v>651.21</v>
      </c>
      <c r="S175" s="12">
        <v>524.96</v>
      </c>
      <c r="T175" s="13">
        <f t="shared" si="6"/>
        <v>2974727.28</v>
      </c>
      <c r="U175" s="13">
        <f t="shared" si="7"/>
        <v>41119.68</v>
      </c>
      <c r="V175" s="13">
        <f t="shared" si="8"/>
        <v>2933607.6</v>
      </c>
      <c r="W175" s="14">
        <f>Q175/totals!B$2</f>
        <v>0.0006945918543</v>
      </c>
      <c r="X175" s="14">
        <f t="shared" si="9"/>
        <v>0.1212035416</v>
      </c>
      <c r="Y175" s="14">
        <f>T175/totals!B$5</f>
        <v>0.001747650482</v>
      </c>
      <c r="Z175" s="14">
        <f t="shared" si="10"/>
        <v>0.1213520432</v>
      </c>
      <c r="AA175" s="14">
        <f>V175/totals!B$4</f>
        <v>0.005849542789</v>
      </c>
      <c r="AB175" s="14">
        <f t="shared" si="11"/>
        <v>0.1262406784</v>
      </c>
    </row>
    <row r="176">
      <c r="A176" s="7">
        <v>8969.0</v>
      </c>
      <c r="B176" s="7" t="str">
        <f>VLOOKUP($A176,product_category,2, False)</f>
        <v>Snacks</v>
      </c>
      <c r="C176" s="7">
        <v>2.11344611E8</v>
      </c>
      <c r="D176" s="9">
        <v>40238.0</v>
      </c>
      <c r="E176" s="10">
        <f t="shared" si="1"/>
        <v>3</v>
      </c>
      <c r="F176" s="10" t="str">
        <f t="shared" si="2"/>
        <v>Mar</v>
      </c>
      <c r="G176" s="11">
        <f t="shared" si="3"/>
        <v>1</v>
      </c>
      <c r="H176" s="7">
        <f t="shared" si="4"/>
        <v>2010</v>
      </c>
      <c r="I176" s="9">
        <v>40260.0</v>
      </c>
      <c r="J176" s="11">
        <f t="shared" si="5"/>
        <v>22</v>
      </c>
      <c r="K176" s="7" t="s">
        <v>322</v>
      </c>
      <c r="L176" s="7" t="s">
        <v>155</v>
      </c>
      <c r="M176" s="7" t="str">
        <f>VLOOKUP(L176,countries, 2,false)</f>
        <v>Bulgaria</v>
      </c>
      <c r="N176" s="7" t="str">
        <f>VLOOKUP(L176,countries, 4,false)</f>
        <v>Europe</v>
      </c>
      <c r="O176" s="7" t="str">
        <f>VLOOKUP(L176,countries, 5,false)</f>
        <v>Eastern Europe</v>
      </c>
      <c r="P176" s="7" t="s">
        <v>212</v>
      </c>
      <c r="Q176" s="7">
        <v>422.0</v>
      </c>
      <c r="R176" s="12">
        <v>152.58</v>
      </c>
      <c r="S176" s="12">
        <v>97.44</v>
      </c>
      <c r="T176" s="13">
        <f t="shared" si="6"/>
        <v>64388.76</v>
      </c>
      <c r="U176" s="13">
        <f t="shared" si="7"/>
        <v>3132436.32</v>
      </c>
      <c r="V176" s="13">
        <f t="shared" si="8"/>
        <v>-3068047.56</v>
      </c>
      <c r="W176" s="14">
        <f>Q176/totals!B$2</f>
        <v>0.00006416763628</v>
      </c>
      <c r="X176" s="14">
        <f t="shared" si="9"/>
        <v>0.1212677092</v>
      </c>
      <c r="Y176" s="14">
        <f>T176/totals!B$5</f>
        <v>0.00003782835764</v>
      </c>
      <c r="Z176" s="14">
        <f t="shared" si="10"/>
        <v>0.1213898716</v>
      </c>
      <c r="AA176" s="14">
        <f>V176/totals!B$4</f>
        <v>-0.006117612827</v>
      </c>
      <c r="AB176" s="14">
        <f t="shared" si="11"/>
        <v>0.1201230656</v>
      </c>
    </row>
    <row r="177">
      <c r="A177" s="7">
        <v>8681.0</v>
      </c>
      <c r="B177" s="7" t="str">
        <f>VLOOKUP($A177,product_category,2, False)</f>
        <v>Office Supplies</v>
      </c>
      <c r="C177" s="7">
        <v>2.12106788E8</v>
      </c>
      <c r="D177" s="9">
        <v>40778.0</v>
      </c>
      <c r="E177" s="10">
        <f t="shared" si="1"/>
        <v>8</v>
      </c>
      <c r="F177" s="10" t="str">
        <f t="shared" si="2"/>
        <v>Aug</v>
      </c>
      <c r="G177" s="11">
        <f t="shared" si="3"/>
        <v>23</v>
      </c>
      <c r="H177" s="7">
        <f t="shared" si="4"/>
        <v>2011</v>
      </c>
      <c r="I177" s="9">
        <v>40812.0</v>
      </c>
      <c r="J177" s="11">
        <f t="shared" si="5"/>
        <v>34</v>
      </c>
      <c r="K177" s="7" t="s">
        <v>382</v>
      </c>
      <c r="L177" s="7" t="s">
        <v>451</v>
      </c>
      <c r="M177" s="7" t="str">
        <f>VLOOKUP(L177,countries, 2,false)</f>
        <v>Lithuania</v>
      </c>
      <c r="N177" s="7" t="str">
        <f>VLOOKUP(L177,countries, 4,false)</f>
        <v>Europe</v>
      </c>
      <c r="O177" s="7" t="str">
        <f>VLOOKUP(L177,countries, 5,false)</f>
        <v>Northern Europe</v>
      </c>
      <c r="P177" s="7" t="s">
        <v>129</v>
      </c>
      <c r="Q177" s="7">
        <v>5967.0</v>
      </c>
      <c r="R177" s="12">
        <v>651.21</v>
      </c>
      <c r="S177" s="12">
        <v>524.96</v>
      </c>
      <c r="T177" s="13">
        <f t="shared" si="6"/>
        <v>3885770.07</v>
      </c>
      <c r="U177" s="13">
        <f t="shared" si="7"/>
        <v>284743.03</v>
      </c>
      <c r="V177" s="13">
        <f t="shared" si="8"/>
        <v>3601027.04</v>
      </c>
      <c r="W177" s="14">
        <f>Q177/totals!B$2</f>
        <v>0.0009073182125</v>
      </c>
      <c r="X177" s="14">
        <f t="shared" si="9"/>
        <v>0.1221750274</v>
      </c>
      <c r="Y177" s="14">
        <f>T177/totals!B$5</f>
        <v>0.002282887571</v>
      </c>
      <c r="Z177" s="14">
        <f t="shared" si="10"/>
        <v>0.1236727591</v>
      </c>
      <c r="AA177" s="14">
        <f>V177/totals!B$4</f>
        <v>0.007180361053</v>
      </c>
      <c r="AB177" s="14">
        <f t="shared" si="11"/>
        <v>0.1273034266</v>
      </c>
    </row>
    <row r="178">
      <c r="A178" s="7">
        <v>1270.0</v>
      </c>
      <c r="B178" s="7" t="str">
        <f>VLOOKUP($A178,product_category,2, False)</f>
        <v>Beverages</v>
      </c>
      <c r="C178" s="7">
        <v>2.12319648E8</v>
      </c>
      <c r="D178" s="9">
        <v>42124.0</v>
      </c>
      <c r="E178" s="10">
        <f t="shared" si="1"/>
        <v>4</v>
      </c>
      <c r="F178" s="10" t="str">
        <f t="shared" si="2"/>
        <v>Apr</v>
      </c>
      <c r="G178" s="11">
        <f t="shared" si="3"/>
        <v>30</v>
      </c>
      <c r="H178" s="7">
        <f t="shared" si="4"/>
        <v>2015</v>
      </c>
      <c r="I178" s="9">
        <v>42139.0</v>
      </c>
      <c r="J178" s="11">
        <f t="shared" si="5"/>
        <v>15</v>
      </c>
      <c r="K178" s="7" t="s">
        <v>322</v>
      </c>
      <c r="L178" s="7" t="s">
        <v>460</v>
      </c>
      <c r="M178" s="7" t="str">
        <f>VLOOKUP(L178,countries, 2,false)</f>
        <v>Macedonia</v>
      </c>
      <c r="N178" s="7" t="str">
        <f>VLOOKUP(L178,countries, 4,false)</f>
        <v>Europe</v>
      </c>
      <c r="O178" s="7" t="str">
        <f>VLOOKUP(L178,countries, 5,false)</f>
        <v>Southern Europe</v>
      </c>
      <c r="P178" s="7" t="s">
        <v>212</v>
      </c>
      <c r="Q178" s="7">
        <v>8957.0</v>
      </c>
      <c r="R178" s="12">
        <v>47.45</v>
      </c>
      <c r="S178" s="12">
        <v>31.79</v>
      </c>
      <c r="T178" s="13">
        <f t="shared" si="6"/>
        <v>425009.65</v>
      </c>
      <c r="U178" s="13">
        <f t="shared" si="7"/>
        <v>655712.62</v>
      </c>
      <c r="V178" s="13">
        <f t="shared" si="8"/>
        <v>-230702.97</v>
      </c>
      <c r="W178" s="14">
        <f>Q178/totals!B$2</f>
        <v>0.001361965683</v>
      </c>
      <c r="X178" s="14">
        <f t="shared" si="9"/>
        <v>0.1235369931</v>
      </c>
      <c r="Y178" s="14">
        <f>T178/totals!B$5</f>
        <v>0.0002496929129</v>
      </c>
      <c r="Z178" s="14">
        <f t="shared" si="10"/>
        <v>0.123922452</v>
      </c>
      <c r="AA178" s="14">
        <f>V178/totals!B$4</f>
        <v>-0.0004600161571</v>
      </c>
      <c r="AB178" s="14">
        <f t="shared" si="11"/>
        <v>0.1268434105</v>
      </c>
    </row>
    <row r="179">
      <c r="A179" s="7">
        <v>8875.0</v>
      </c>
      <c r="B179" s="7" t="str">
        <f>VLOOKUP($A179,product_category,2, False)</f>
        <v>Meat</v>
      </c>
      <c r="C179" s="7">
        <v>2.12903726E8</v>
      </c>
      <c r="D179" s="9">
        <v>42061.0</v>
      </c>
      <c r="E179" s="10">
        <f t="shared" si="1"/>
        <v>2</v>
      </c>
      <c r="F179" s="10" t="str">
        <f t="shared" si="2"/>
        <v>Feb</v>
      </c>
      <c r="G179" s="11">
        <f t="shared" si="3"/>
        <v>26</v>
      </c>
      <c r="H179" s="7">
        <f t="shared" si="4"/>
        <v>2015</v>
      </c>
      <c r="I179" s="9">
        <v>42061.0</v>
      </c>
      <c r="J179" s="11">
        <f t="shared" si="5"/>
        <v>0</v>
      </c>
      <c r="K179" s="7" t="s">
        <v>322</v>
      </c>
      <c r="L179" s="7" t="s">
        <v>56</v>
      </c>
      <c r="M179" s="7" t="str">
        <f>VLOOKUP(L179,countries, 2,false)</f>
        <v>Andorra</v>
      </c>
      <c r="N179" s="7" t="str">
        <f>VLOOKUP(L179,countries, 4,false)</f>
        <v>Europe</v>
      </c>
      <c r="O179" s="7" t="str">
        <f>VLOOKUP(L179,countries, 5,false)</f>
        <v>Southern Europe</v>
      </c>
      <c r="P179" s="7" t="s">
        <v>129</v>
      </c>
      <c r="Q179" s="7">
        <v>1798.0</v>
      </c>
      <c r="R179" s="12">
        <v>421.89</v>
      </c>
      <c r="S179" s="12">
        <v>364.69</v>
      </c>
      <c r="T179" s="13">
        <f t="shared" si="6"/>
        <v>758558.22</v>
      </c>
      <c r="U179" s="13">
        <f t="shared" si="7"/>
        <v>589706.88</v>
      </c>
      <c r="V179" s="13">
        <f t="shared" si="8"/>
        <v>168851.34</v>
      </c>
      <c r="W179" s="14">
        <f>Q179/totals!B$2</f>
        <v>0.0002733967062</v>
      </c>
      <c r="X179" s="14">
        <f t="shared" si="9"/>
        <v>0.1238103898</v>
      </c>
      <c r="Y179" s="14">
        <f>T179/totals!B$5</f>
        <v>0.0004456524964</v>
      </c>
      <c r="Z179" s="14">
        <f t="shared" si="10"/>
        <v>0.1243681045</v>
      </c>
      <c r="AA179" s="14">
        <f>V179/totals!B$4</f>
        <v>0.0003366854989</v>
      </c>
      <c r="AB179" s="14">
        <f t="shared" si="11"/>
        <v>0.127180096</v>
      </c>
    </row>
    <row r="180">
      <c r="A180" s="7">
        <v>8969.0</v>
      </c>
      <c r="B180" s="7" t="str">
        <f>VLOOKUP($A180,product_category,2, False)</f>
        <v>Snacks</v>
      </c>
      <c r="C180" s="7">
        <v>2.14033257E8</v>
      </c>
      <c r="D180" s="9">
        <v>42337.0</v>
      </c>
      <c r="E180" s="10">
        <f t="shared" si="1"/>
        <v>11</v>
      </c>
      <c r="F180" s="10" t="str">
        <f t="shared" si="2"/>
        <v>Nov</v>
      </c>
      <c r="G180" s="11">
        <f t="shared" si="3"/>
        <v>29</v>
      </c>
      <c r="H180" s="7">
        <f t="shared" si="4"/>
        <v>2015</v>
      </c>
      <c r="I180" s="9">
        <v>42341.0</v>
      </c>
      <c r="J180" s="11">
        <f t="shared" si="5"/>
        <v>4</v>
      </c>
      <c r="K180" s="7" t="s">
        <v>322</v>
      </c>
      <c r="L180" s="7" t="s">
        <v>612</v>
      </c>
      <c r="M180" s="7" t="str">
        <f>VLOOKUP(L180,countries, 2,false)</f>
        <v>Russia</v>
      </c>
      <c r="N180" s="7" t="str">
        <f>VLOOKUP(L180,countries, 4,false)</f>
        <v>Europe</v>
      </c>
      <c r="O180" s="7" t="str">
        <f>VLOOKUP(L180,countries, 5,false)</f>
        <v>Eastern Europe</v>
      </c>
      <c r="P180" s="7" t="s">
        <v>212</v>
      </c>
      <c r="Q180" s="7">
        <v>6052.0</v>
      </c>
      <c r="R180" s="12">
        <v>152.58</v>
      </c>
      <c r="S180" s="12">
        <v>97.44</v>
      </c>
      <c r="T180" s="13">
        <f t="shared" si="6"/>
        <v>923414.16</v>
      </c>
      <c r="U180" s="13">
        <f t="shared" si="7"/>
        <v>268739.52</v>
      </c>
      <c r="V180" s="13">
        <f t="shared" si="8"/>
        <v>654674.64</v>
      </c>
      <c r="W180" s="14">
        <f>Q180/totals!B$2</f>
        <v>0.0009202429733</v>
      </c>
      <c r="X180" s="14">
        <f t="shared" si="9"/>
        <v>0.1247306328</v>
      </c>
      <c r="Y180" s="14">
        <f>T180/totals!B$5</f>
        <v>0.0005425052617</v>
      </c>
      <c r="Z180" s="14">
        <f t="shared" si="10"/>
        <v>0.1249106098</v>
      </c>
      <c r="AA180" s="14">
        <f>V180/totals!B$4</f>
        <v>0.00130540544</v>
      </c>
      <c r="AB180" s="14">
        <f t="shared" si="11"/>
        <v>0.1284855014</v>
      </c>
    </row>
    <row r="181">
      <c r="A181" s="7">
        <v>8969.0</v>
      </c>
      <c r="B181" s="7" t="str">
        <f>VLOOKUP($A181,product_category,2, False)</f>
        <v>Snacks</v>
      </c>
      <c r="C181" s="7">
        <v>2.14292466E8</v>
      </c>
      <c r="D181" s="9">
        <v>40988.0</v>
      </c>
      <c r="E181" s="10">
        <f t="shared" si="1"/>
        <v>3</v>
      </c>
      <c r="F181" s="10" t="str">
        <f t="shared" si="2"/>
        <v>Mar</v>
      </c>
      <c r="G181" s="11">
        <f t="shared" si="3"/>
        <v>20</v>
      </c>
      <c r="H181" s="7">
        <f t="shared" si="4"/>
        <v>2012</v>
      </c>
      <c r="I181" s="9">
        <v>41012.0</v>
      </c>
      <c r="J181" s="11">
        <f t="shared" si="5"/>
        <v>24</v>
      </c>
      <c r="K181" s="7" t="s">
        <v>322</v>
      </c>
      <c r="L181" s="7" t="s">
        <v>705</v>
      </c>
      <c r="M181" s="7" t="str">
        <f>VLOOKUP(L181,countries, 2,false)</f>
        <v>Switzerland</v>
      </c>
      <c r="N181" s="7" t="str">
        <f>VLOOKUP(L181,countries, 4,false)</f>
        <v>Europe</v>
      </c>
      <c r="O181" s="7" t="str">
        <f>VLOOKUP(L181,countries, 5,false)</f>
        <v>Western Europe</v>
      </c>
      <c r="P181" s="7" t="s">
        <v>129</v>
      </c>
      <c r="Q181" s="7">
        <v>2758.0</v>
      </c>
      <c r="R181" s="12">
        <v>152.58</v>
      </c>
      <c r="S181" s="12">
        <v>97.44</v>
      </c>
      <c r="T181" s="13">
        <f t="shared" si="6"/>
        <v>420815.64</v>
      </c>
      <c r="U181" s="13">
        <f t="shared" si="7"/>
        <v>109656.45</v>
      </c>
      <c r="V181" s="13">
        <f t="shared" si="8"/>
        <v>311159.19</v>
      </c>
      <c r="W181" s="14">
        <f>Q181/totals!B$2</f>
        <v>0.000419370476</v>
      </c>
      <c r="X181" s="14">
        <f t="shared" si="9"/>
        <v>0.1251500033</v>
      </c>
      <c r="Y181" s="14">
        <f>T181/totals!B$5</f>
        <v>0.0002472289345</v>
      </c>
      <c r="Z181" s="14">
        <f t="shared" si="10"/>
        <v>0.1251578387</v>
      </c>
      <c r="AA181" s="14">
        <f>V181/totals!B$4</f>
        <v>0.000620443919</v>
      </c>
      <c r="AB181" s="14">
        <f t="shared" si="11"/>
        <v>0.1291059453</v>
      </c>
    </row>
    <row r="182">
      <c r="A182" s="7">
        <v>3127.0</v>
      </c>
      <c r="B182" s="7" t="str">
        <f>VLOOKUP($A182,product_category,2, False)</f>
        <v>Personal Care</v>
      </c>
      <c r="C182" s="7">
        <v>2.15540015E8</v>
      </c>
      <c r="D182" s="9">
        <v>41264.0</v>
      </c>
      <c r="E182" s="10">
        <f t="shared" si="1"/>
        <v>12</v>
      </c>
      <c r="F182" s="10" t="str">
        <f t="shared" si="2"/>
        <v>Dec</v>
      </c>
      <c r="G182" s="11">
        <f t="shared" si="3"/>
        <v>21</v>
      </c>
      <c r="H182" s="7">
        <f t="shared" si="4"/>
        <v>2012</v>
      </c>
      <c r="I182" s="9">
        <v>41267.0</v>
      </c>
      <c r="J182" s="11">
        <f t="shared" si="5"/>
        <v>3</v>
      </c>
      <c r="K182" s="7" t="s">
        <v>110</v>
      </c>
      <c r="L182" s="7" t="s">
        <v>609</v>
      </c>
      <c r="M182" s="7" t="str">
        <f>VLOOKUP(L182,countries, 2,false)</f>
        <v>Romania</v>
      </c>
      <c r="N182" s="7" t="str">
        <f>VLOOKUP(L182,countries, 4,false)</f>
        <v>Europe</v>
      </c>
      <c r="O182" s="7" t="str">
        <f>VLOOKUP(L182,countries, 5,false)</f>
        <v>Eastern Europe</v>
      </c>
      <c r="P182" s="7" t="s">
        <v>212</v>
      </c>
      <c r="Q182" s="7">
        <v>1935.0</v>
      </c>
      <c r="R182" s="12">
        <v>81.73</v>
      </c>
      <c r="S182" s="12">
        <v>56.67</v>
      </c>
      <c r="T182" s="13">
        <f t="shared" si="6"/>
        <v>158147.55</v>
      </c>
      <c r="U182" s="13">
        <f t="shared" si="7"/>
        <v>456104.88</v>
      </c>
      <c r="V182" s="13">
        <f t="shared" si="8"/>
        <v>-297957.33</v>
      </c>
      <c r="W182" s="14">
        <f>Q182/totals!B$2</f>
        <v>0.0002942283796</v>
      </c>
      <c r="X182" s="14">
        <f t="shared" si="9"/>
        <v>0.1254442316</v>
      </c>
      <c r="Y182" s="14">
        <f>T182/totals!B$5</f>
        <v>0.00009291159017</v>
      </c>
      <c r="Z182" s="14">
        <f t="shared" si="10"/>
        <v>0.1252507503</v>
      </c>
      <c r="AA182" s="14">
        <f>V182/totals!B$4</f>
        <v>-0.0005941197286</v>
      </c>
      <c r="AB182" s="14">
        <f t="shared" si="11"/>
        <v>0.1285118256</v>
      </c>
    </row>
    <row r="183">
      <c r="A183" s="7">
        <v>5988.0</v>
      </c>
      <c r="B183" s="7" t="str">
        <f>VLOOKUP($A183,product_category,2, False)</f>
        <v>Vegetables</v>
      </c>
      <c r="C183" s="7">
        <v>2.15584218E8</v>
      </c>
      <c r="D183" s="9">
        <v>42893.0</v>
      </c>
      <c r="E183" s="10">
        <f t="shared" si="1"/>
        <v>6</v>
      </c>
      <c r="F183" s="10" t="str">
        <f t="shared" si="2"/>
        <v>Jun</v>
      </c>
      <c r="G183" s="11">
        <f t="shared" si="3"/>
        <v>7</v>
      </c>
      <c r="H183" s="7">
        <f t="shared" si="4"/>
        <v>2017</v>
      </c>
      <c r="I183" s="9">
        <v>42907.0</v>
      </c>
      <c r="J183" s="11">
        <f t="shared" si="5"/>
        <v>14</v>
      </c>
      <c r="K183" s="7" t="s">
        <v>110</v>
      </c>
      <c r="L183" s="7" t="s">
        <v>107</v>
      </c>
      <c r="M183" s="7" t="str">
        <f>VLOOKUP(L183,countries, 2,false)</f>
        <v>Belarus</v>
      </c>
      <c r="N183" s="7" t="str">
        <f>VLOOKUP(L183,countries, 4,false)</f>
        <v>Europe</v>
      </c>
      <c r="O183" s="7" t="str">
        <f>VLOOKUP(L183,countries, 5,false)</f>
        <v>Eastern Europe</v>
      </c>
      <c r="P183" s="7" t="s">
        <v>212</v>
      </c>
      <c r="Q183" s="7">
        <v>5016.0</v>
      </c>
      <c r="R183" s="12">
        <v>154.06</v>
      </c>
      <c r="S183" s="12">
        <v>90.93</v>
      </c>
      <c r="T183" s="13">
        <f t="shared" si="6"/>
        <v>772764.96</v>
      </c>
      <c r="U183" s="13">
        <f t="shared" si="7"/>
        <v>180521.55</v>
      </c>
      <c r="V183" s="13">
        <f t="shared" si="8"/>
        <v>592243.41</v>
      </c>
      <c r="W183" s="14">
        <f>Q183/totals!B$2</f>
        <v>0.0007627129468</v>
      </c>
      <c r="X183" s="14">
        <f t="shared" si="9"/>
        <v>0.1262069446</v>
      </c>
      <c r="Y183" s="14">
        <f>T183/totals!B$5</f>
        <v>0.0004539989476</v>
      </c>
      <c r="Z183" s="14">
        <f t="shared" si="10"/>
        <v>0.1257047493</v>
      </c>
      <c r="AA183" s="14">
        <f>V183/totals!B$4</f>
        <v>0.001180919073</v>
      </c>
      <c r="AB183" s="14">
        <f t="shared" si="11"/>
        <v>0.1296927447</v>
      </c>
    </row>
    <row r="184">
      <c r="A184" s="7">
        <v>8875.0</v>
      </c>
      <c r="B184" s="7" t="str">
        <f>VLOOKUP($A184,product_category,2, False)</f>
        <v>Meat</v>
      </c>
      <c r="C184" s="7">
        <v>2.16278588E8</v>
      </c>
      <c r="D184" s="9">
        <v>42357.0</v>
      </c>
      <c r="E184" s="10">
        <f t="shared" si="1"/>
        <v>12</v>
      </c>
      <c r="F184" s="10" t="str">
        <f t="shared" si="2"/>
        <v>Dec</v>
      </c>
      <c r="G184" s="11">
        <f t="shared" si="3"/>
        <v>19</v>
      </c>
      <c r="H184" s="7">
        <f t="shared" si="4"/>
        <v>2015</v>
      </c>
      <c r="I184" s="9">
        <v>42357.0</v>
      </c>
      <c r="J184" s="11">
        <f t="shared" si="5"/>
        <v>0</v>
      </c>
      <c r="K184" s="7" t="s">
        <v>110</v>
      </c>
      <c r="L184" s="7" t="s">
        <v>454</v>
      </c>
      <c r="M184" s="7" t="str">
        <f>VLOOKUP(L184,countries, 2,false)</f>
        <v>Luxembourg</v>
      </c>
      <c r="N184" s="7" t="str">
        <f>VLOOKUP(L184,countries, 4,false)</f>
        <v>Europe</v>
      </c>
      <c r="O184" s="7" t="str">
        <f>VLOOKUP(L184,countries, 5,false)</f>
        <v>Western Europe</v>
      </c>
      <c r="P184" s="7" t="s">
        <v>129</v>
      </c>
      <c r="Q184" s="7">
        <v>495.0</v>
      </c>
      <c r="R184" s="12">
        <v>421.89</v>
      </c>
      <c r="S184" s="12">
        <v>364.69</v>
      </c>
      <c r="T184" s="13">
        <f t="shared" si="6"/>
        <v>208835.55</v>
      </c>
      <c r="U184" s="13">
        <f t="shared" si="7"/>
        <v>0</v>
      </c>
      <c r="V184" s="13">
        <f t="shared" si="8"/>
        <v>208835.55</v>
      </c>
      <c r="W184" s="14">
        <f>Q184/totals!B$2</f>
        <v>0.00007526772502</v>
      </c>
      <c r="X184" s="14">
        <f t="shared" si="9"/>
        <v>0.1262822123</v>
      </c>
      <c r="Y184" s="14">
        <f>T184/totals!B$5</f>
        <v>0.0001226907596</v>
      </c>
      <c r="Z184" s="14">
        <f t="shared" si="10"/>
        <v>0.12582744</v>
      </c>
      <c r="AA184" s="14">
        <f>V184/totals!B$4</f>
        <v>0.0004164130491</v>
      </c>
      <c r="AB184" s="14">
        <f t="shared" si="11"/>
        <v>0.1301091577</v>
      </c>
    </row>
    <row r="185">
      <c r="A185" s="7">
        <v>8875.0</v>
      </c>
      <c r="B185" s="7" t="str">
        <f>VLOOKUP($A185,product_category,2, False)</f>
        <v>Meat</v>
      </c>
      <c r="C185" s="7">
        <v>2.17165648E8</v>
      </c>
      <c r="D185" s="9">
        <v>41779.0</v>
      </c>
      <c r="E185" s="10">
        <f t="shared" si="1"/>
        <v>5</v>
      </c>
      <c r="F185" s="10" t="str">
        <f t="shared" si="2"/>
        <v>May</v>
      </c>
      <c r="G185" s="11">
        <f t="shared" si="3"/>
        <v>20</v>
      </c>
      <c r="H185" s="7">
        <f t="shared" si="4"/>
        <v>2014</v>
      </c>
      <c r="I185" s="9">
        <v>41798.0</v>
      </c>
      <c r="J185" s="11">
        <f t="shared" si="5"/>
        <v>19</v>
      </c>
      <c r="K185" s="7" t="s">
        <v>110</v>
      </c>
      <c r="L185" s="7" t="s">
        <v>540</v>
      </c>
      <c r="M185" s="7" t="str">
        <f>VLOOKUP(L185,countries, 2,false)</f>
        <v>Spain</v>
      </c>
      <c r="N185" s="7" t="str">
        <f>VLOOKUP(L185,countries, 4,false)</f>
        <v>Europe</v>
      </c>
      <c r="O185" s="7" t="str">
        <f>VLOOKUP(L185,countries, 5,false)</f>
        <v>Southern Europe</v>
      </c>
      <c r="P185" s="7" t="s">
        <v>212</v>
      </c>
      <c r="R185" s="12">
        <v>421.89</v>
      </c>
      <c r="S185" s="12">
        <v>364.69</v>
      </c>
      <c r="T185" s="13">
        <f t="shared" si="6"/>
        <v>0</v>
      </c>
      <c r="U185" s="13">
        <f t="shared" si="7"/>
        <v>4007019.68</v>
      </c>
      <c r="V185" s="13">
        <f t="shared" si="8"/>
        <v>-4007019.68</v>
      </c>
      <c r="W185" s="14">
        <f>Q185/totals!B$2</f>
        <v>0</v>
      </c>
      <c r="X185" s="14">
        <f t="shared" si="9"/>
        <v>0.1262822123</v>
      </c>
      <c r="Y185" s="14">
        <f>T185/totals!B$5</f>
        <v>0</v>
      </c>
      <c r="Z185" s="14">
        <f t="shared" si="10"/>
        <v>0.12582744</v>
      </c>
      <c r="AA185" s="14">
        <f>V185/totals!B$4</f>
        <v>-0.007989900584</v>
      </c>
      <c r="AB185" s="14">
        <f t="shared" si="11"/>
        <v>0.1221192571</v>
      </c>
    </row>
    <row r="186">
      <c r="A186" s="7">
        <v>8681.0</v>
      </c>
      <c r="B186" s="7" t="str">
        <f>VLOOKUP($A186,product_category,2, False)</f>
        <v>Office Supplies</v>
      </c>
      <c r="C186" s="7">
        <v>2.17248904E8</v>
      </c>
      <c r="D186" s="9">
        <v>41034.0</v>
      </c>
      <c r="E186" s="10">
        <f t="shared" si="1"/>
        <v>5</v>
      </c>
      <c r="F186" s="10" t="str">
        <f t="shared" si="2"/>
        <v>May</v>
      </c>
      <c r="G186" s="11">
        <f t="shared" si="3"/>
        <v>5</v>
      </c>
      <c r="H186" s="7">
        <f t="shared" si="4"/>
        <v>2012</v>
      </c>
      <c r="I186" s="9">
        <v>41075.0</v>
      </c>
      <c r="J186" s="11">
        <f t="shared" si="5"/>
        <v>41</v>
      </c>
      <c r="K186" s="7" t="s">
        <v>198</v>
      </c>
      <c r="L186" s="7" t="s">
        <v>439</v>
      </c>
      <c r="M186" s="7" t="str">
        <f>VLOOKUP(L186,countries, 2,false)</f>
        <v>Slovakia</v>
      </c>
      <c r="N186" s="7" t="str">
        <f>VLOOKUP(L186,countries, 4,false)</f>
        <v>Europe</v>
      </c>
      <c r="O186" s="7" t="str">
        <f>VLOOKUP(L186,countries, 5,false)</f>
        <v>Eastern Europe</v>
      </c>
      <c r="P186" s="7" t="s">
        <v>830</v>
      </c>
      <c r="Q186" s="7">
        <v>7633.0</v>
      </c>
      <c r="R186" s="12">
        <v>651.21</v>
      </c>
      <c r="S186" s="12">
        <v>524.96</v>
      </c>
      <c r="T186" s="13">
        <f t="shared" si="6"/>
        <v>4970685.93</v>
      </c>
      <c r="U186" s="13">
        <f t="shared" si="7"/>
        <v>261377.38</v>
      </c>
      <c r="V186" s="13">
        <f t="shared" si="8"/>
        <v>4709308.55</v>
      </c>
      <c r="W186" s="14">
        <f>Q186/totals!B$2</f>
        <v>0.001160643525</v>
      </c>
      <c r="X186" s="14">
        <f t="shared" si="9"/>
        <v>0.1274428558</v>
      </c>
      <c r="Y186" s="14">
        <f>T186/totals!B$5</f>
        <v>0.002920274984</v>
      </c>
      <c r="Z186" s="14">
        <f t="shared" si="10"/>
        <v>0.128747715</v>
      </c>
      <c r="AA186" s="14">
        <f>V186/totals!B$4</f>
        <v>0.00939024765</v>
      </c>
      <c r="AB186" s="14">
        <f t="shared" si="11"/>
        <v>0.1315095048</v>
      </c>
    </row>
    <row r="187">
      <c r="A187" s="7">
        <v>1270.0</v>
      </c>
      <c r="B187" s="7" t="str">
        <f>VLOOKUP($A187,product_category,2, False)</f>
        <v>Beverages</v>
      </c>
      <c r="C187" s="7">
        <v>2.1785916E8</v>
      </c>
      <c r="D187" s="9">
        <v>42419.0</v>
      </c>
      <c r="E187" s="10">
        <f t="shared" si="1"/>
        <v>2</v>
      </c>
      <c r="F187" s="10" t="str">
        <f t="shared" si="2"/>
        <v>Feb</v>
      </c>
      <c r="G187" s="11">
        <f t="shared" si="3"/>
        <v>19</v>
      </c>
      <c r="H187" s="7">
        <f t="shared" si="4"/>
        <v>2016</v>
      </c>
      <c r="I187" s="9">
        <v>42434.0</v>
      </c>
      <c r="J187" s="11">
        <f t="shared" si="5"/>
        <v>15</v>
      </c>
      <c r="K187" s="7" t="s">
        <v>322</v>
      </c>
      <c r="L187" s="7" t="s">
        <v>264</v>
      </c>
      <c r="M187" s="7" t="str">
        <f>VLOOKUP(L187,countries, 2,false)</f>
        <v>Estonia</v>
      </c>
      <c r="N187" s="7" t="str">
        <f>VLOOKUP(L187,countries, 4,false)</f>
        <v>Europe</v>
      </c>
      <c r="O187" s="7" t="str">
        <f>VLOOKUP(L187,countries, 5,false)</f>
        <v>Northern Europe</v>
      </c>
      <c r="P187" s="7" t="s">
        <v>212</v>
      </c>
      <c r="Q187" s="7">
        <v>8222.0</v>
      </c>
      <c r="R187" s="12">
        <v>47.45</v>
      </c>
      <c r="S187" s="12">
        <v>31.79</v>
      </c>
      <c r="T187" s="13">
        <f t="shared" si="6"/>
        <v>390133.9</v>
      </c>
      <c r="U187" s="13">
        <f t="shared" si="7"/>
        <v>1037664.78</v>
      </c>
      <c r="V187" s="13">
        <f t="shared" si="8"/>
        <v>-647530.88</v>
      </c>
      <c r="W187" s="14">
        <f>Q187/totals!B$2</f>
        <v>0.001250204515</v>
      </c>
      <c r="X187" s="14">
        <f t="shared" si="9"/>
        <v>0.1286930603</v>
      </c>
      <c r="Y187" s="14">
        <f>T187/totals!B$5</f>
        <v>0.0002292034308</v>
      </c>
      <c r="Z187" s="14">
        <f t="shared" si="10"/>
        <v>0.1289769184</v>
      </c>
      <c r="AA187" s="14">
        <f>V187/totals!B$4</f>
        <v>-0.001291160955</v>
      </c>
      <c r="AB187" s="14">
        <f t="shared" si="11"/>
        <v>0.1302183438</v>
      </c>
    </row>
    <row r="188">
      <c r="A188" s="7">
        <v>7331.0</v>
      </c>
      <c r="B188" s="7" t="str">
        <f>VLOOKUP($A188,product_category,2, False)</f>
        <v>Baby Food</v>
      </c>
      <c r="C188" s="7">
        <v>2.17920958E8</v>
      </c>
      <c r="D188" s="9">
        <v>40669.0</v>
      </c>
      <c r="E188" s="10">
        <f t="shared" si="1"/>
        <v>5</v>
      </c>
      <c r="F188" s="10" t="str">
        <f t="shared" si="2"/>
        <v>May</v>
      </c>
      <c r="G188" s="11">
        <f t="shared" si="3"/>
        <v>6</v>
      </c>
      <c r="H188" s="7">
        <f t="shared" si="4"/>
        <v>2011</v>
      </c>
      <c r="I188" s="9">
        <v>40719.0</v>
      </c>
      <c r="J188" s="11">
        <f t="shared" si="5"/>
        <v>50</v>
      </c>
      <c r="K188" s="7" t="s">
        <v>382</v>
      </c>
      <c r="L188" s="7" t="s">
        <v>364</v>
      </c>
      <c r="M188" s="7" t="str">
        <f>VLOOKUP(L188,countries, 2,false)</f>
        <v>Hungary</v>
      </c>
      <c r="N188" s="7" t="str">
        <f>VLOOKUP(L188,countries, 4,false)</f>
        <v>Europe</v>
      </c>
      <c r="O188" s="7" t="str">
        <f>VLOOKUP(L188,countries, 5,false)</f>
        <v>Eastern Europe</v>
      </c>
      <c r="P188" s="7" t="s">
        <v>129</v>
      </c>
      <c r="Q188" s="7">
        <v>6509.0</v>
      </c>
      <c r="R188" s="12">
        <v>255.28</v>
      </c>
      <c r="S188" s="12">
        <v>159.42</v>
      </c>
      <c r="T188" s="13">
        <f t="shared" si="6"/>
        <v>1661617.52</v>
      </c>
      <c r="U188" s="13">
        <f t="shared" si="7"/>
        <v>3419698.13</v>
      </c>
      <c r="V188" s="13">
        <f t="shared" si="8"/>
        <v>-1758080.61</v>
      </c>
      <c r="W188" s="14">
        <f>Q188/totals!B$2</f>
        <v>0.00098973257</v>
      </c>
      <c r="X188" s="14">
        <f t="shared" si="9"/>
        <v>0.1296827929</v>
      </c>
      <c r="Y188" s="14">
        <f>T188/totals!B$5</f>
        <v>0.0009761992901</v>
      </c>
      <c r="Z188" s="14">
        <f t="shared" si="10"/>
        <v>0.1299531177</v>
      </c>
      <c r="AA188" s="14">
        <f>V188/totals!B$4</f>
        <v>-0.003505570328</v>
      </c>
      <c r="AB188" s="14">
        <f t="shared" si="11"/>
        <v>0.1267127735</v>
      </c>
    </row>
    <row r="189">
      <c r="A189" s="7">
        <v>8875.0</v>
      </c>
      <c r="B189" s="7" t="str">
        <f>VLOOKUP($A189,product_category,2, False)</f>
        <v>Meat</v>
      </c>
      <c r="C189" s="7">
        <v>2.1945132E8</v>
      </c>
      <c r="D189" s="9">
        <v>41808.0</v>
      </c>
      <c r="E189" s="10">
        <f t="shared" si="1"/>
        <v>6</v>
      </c>
      <c r="F189" s="10" t="str">
        <f t="shared" si="2"/>
        <v>Jun</v>
      </c>
      <c r="G189" s="11">
        <f t="shared" si="3"/>
        <v>18</v>
      </c>
      <c r="H189" s="7">
        <f t="shared" si="4"/>
        <v>2014</v>
      </c>
      <c r="I189" s="9">
        <v>41822.0</v>
      </c>
      <c r="J189" s="11">
        <f t="shared" si="5"/>
        <v>14</v>
      </c>
      <c r="K189" s="7" t="s">
        <v>110</v>
      </c>
      <c r="L189" s="7" t="s">
        <v>756</v>
      </c>
      <c r="M189" s="7" t="str">
        <f>VLOOKUP(L189,countries, 2,false)</f>
        <v>Ukraine</v>
      </c>
      <c r="N189" s="7" t="str">
        <f>VLOOKUP(L189,countries, 4,false)</f>
        <v>Europe</v>
      </c>
      <c r="O189" s="7" t="str">
        <f>VLOOKUP(L189,countries, 5,false)</f>
        <v>Eastern Europe</v>
      </c>
      <c r="P189" s="7" t="s">
        <v>212</v>
      </c>
      <c r="Q189" s="7">
        <v>9377.0</v>
      </c>
      <c r="R189" s="12">
        <v>421.89</v>
      </c>
      <c r="S189" s="12">
        <v>364.69</v>
      </c>
      <c r="T189" s="13">
        <f t="shared" si="6"/>
        <v>3956062.53</v>
      </c>
      <c r="U189" s="13">
        <f t="shared" si="7"/>
        <v>176133.44</v>
      </c>
      <c r="V189" s="13">
        <f t="shared" si="8"/>
        <v>3779929.09</v>
      </c>
      <c r="W189" s="14">
        <f>Q189/totals!B$2</f>
        <v>0.001425829207</v>
      </c>
      <c r="X189" s="14">
        <f t="shared" si="9"/>
        <v>0.1311086221</v>
      </c>
      <c r="Y189" s="14">
        <f>T189/totals!B$5</f>
        <v>0.002324184349</v>
      </c>
      <c r="Z189" s="14">
        <f t="shared" si="10"/>
        <v>0.1322773021</v>
      </c>
      <c r="AA189" s="14">
        <f>V189/totals!B$4</f>
        <v>0.007537087425</v>
      </c>
      <c r="AB189" s="14">
        <f t="shared" si="11"/>
        <v>0.1342498609</v>
      </c>
    </row>
    <row r="190">
      <c r="A190" s="7">
        <v>2103.0</v>
      </c>
      <c r="B190" s="7" t="str">
        <f>VLOOKUP($A190,product_category,2, False)</f>
        <v>Cereal</v>
      </c>
      <c r="C190" s="7">
        <v>2.20607459E8</v>
      </c>
      <c r="D190" s="9">
        <v>41561.0</v>
      </c>
      <c r="E190" s="10">
        <f t="shared" si="1"/>
        <v>10</v>
      </c>
      <c r="F190" s="10" t="str">
        <f t="shared" si="2"/>
        <v>Oct</v>
      </c>
      <c r="G190" s="11">
        <f t="shared" si="3"/>
        <v>14</v>
      </c>
      <c r="H190" s="7">
        <f t="shared" si="4"/>
        <v>2013</v>
      </c>
      <c r="I190" s="9">
        <v>41564.0</v>
      </c>
      <c r="J190" s="11">
        <f t="shared" si="5"/>
        <v>3</v>
      </c>
      <c r="K190" s="7" t="s">
        <v>198</v>
      </c>
      <c r="L190" s="7" t="s">
        <v>264</v>
      </c>
      <c r="M190" s="7" t="str">
        <f>VLOOKUP(L190,countries, 2,false)</f>
        <v>Estonia</v>
      </c>
      <c r="N190" s="7" t="str">
        <f>VLOOKUP(L190,countries, 4,false)</f>
        <v>Europe</v>
      </c>
      <c r="O190" s="7" t="str">
        <f>VLOOKUP(L190,countries, 5,false)</f>
        <v>Northern Europe</v>
      </c>
      <c r="P190" s="7" t="s">
        <v>129</v>
      </c>
      <c r="Q190" s="7">
        <v>1504.0</v>
      </c>
      <c r="R190" s="12">
        <v>205.7</v>
      </c>
      <c r="S190" s="12">
        <v>117.11</v>
      </c>
      <c r="T190" s="13">
        <f t="shared" si="6"/>
        <v>309372.8</v>
      </c>
      <c r="U190" s="13">
        <f t="shared" si="7"/>
        <v>134579.2</v>
      </c>
      <c r="V190" s="13">
        <f t="shared" si="8"/>
        <v>174793.6</v>
      </c>
      <c r="W190" s="14">
        <f>Q190/totals!B$2</f>
        <v>0.0002286922392</v>
      </c>
      <c r="X190" s="14">
        <f t="shared" si="9"/>
        <v>0.1313373144</v>
      </c>
      <c r="Y190" s="14">
        <f>T190/totals!B$5</f>
        <v>0.0001817563333</v>
      </c>
      <c r="Z190" s="14">
        <f t="shared" si="10"/>
        <v>0.1324590584</v>
      </c>
      <c r="AA190" s="14">
        <f>V190/totals!B$4</f>
        <v>0.000348534222</v>
      </c>
      <c r="AB190" s="14">
        <f t="shared" si="11"/>
        <v>0.1345983951</v>
      </c>
    </row>
    <row r="191">
      <c r="A191" s="7">
        <v>2455.0</v>
      </c>
      <c r="B191" s="7" t="str">
        <f>VLOOKUP($A191,product_category,2, False)</f>
        <v>Clothes</v>
      </c>
      <c r="C191" s="7">
        <v>2.21628844E8</v>
      </c>
      <c r="D191" s="9">
        <v>40752.0</v>
      </c>
      <c r="E191" s="10">
        <f t="shared" si="1"/>
        <v>7</v>
      </c>
      <c r="F191" s="10" t="str">
        <f t="shared" si="2"/>
        <v>Jul</v>
      </c>
      <c r="G191" s="11">
        <f t="shared" si="3"/>
        <v>28</v>
      </c>
      <c r="H191" s="7">
        <f t="shared" si="4"/>
        <v>2011</v>
      </c>
      <c r="I191" s="9">
        <v>40787.0</v>
      </c>
      <c r="J191" s="11">
        <f t="shared" si="5"/>
        <v>35</v>
      </c>
      <c r="K191" s="7" t="s">
        <v>110</v>
      </c>
      <c r="L191" s="7" t="s">
        <v>612</v>
      </c>
      <c r="M191" s="7" t="str">
        <f>VLOOKUP(L191,countries, 2,false)</f>
        <v>Russia</v>
      </c>
      <c r="N191" s="7" t="str">
        <f>VLOOKUP(L191,countries, 4,false)</f>
        <v>Europe</v>
      </c>
      <c r="O191" s="7" t="str">
        <f>VLOOKUP(L191,countries, 5,false)</f>
        <v>Eastern Europe</v>
      </c>
      <c r="P191" s="7" t="s">
        <v>212</v>
      </c>
      <c r="Q191" s="7">
        <v>3755.0</v>
      </c>
      <c r="R191" s="12">
        <v>109.28</v>
      </c>
      <c r="S191" s="12">
        <v>35.84</v>
      </c>
      <c r="T191" s="13">
        <f t="shared" si="6"/>
        <v>410346.4</v>
      </c>
      <c r="U191" s="13">
        <f t="shared" si="7"/>
        <v>1089316.86</v>
      </c>
      <c r="V191" s="13">
        <f t="shared" si="8"/>
        <v>-678970.46</v>
      </c>
      <c r="W191" s="14">
        <f>Q191/totals!B$2</f>
        <v>0.0005709703181</v>
      </c>
      <c r="X191" s="14">
        <f t="shared" si="9"/>
        <v>0.1319082847</v>
      </c>
      <c r="Y191" s="14">
        <f>T191/totals!B$5</f>
        <v>0.0002410782623</v>
      </c>
      <c r="Z191" s="14">
        <f t="shared" si="10"/>
        <v>0.1327001367</v>
      </c>
      <c r="AA191" s="14">
        <f>V191/totals!B$4</f>
        <v>-0.001353850719</v>
      </c>
      <c r="AB191" s="14">
        <f t="shared" si="11"/>
        <v>0.1332445444</v>
      </c>
    </row>
    <row r="192">
      <c r="A192" s="7">
        <v>7331.0</v>
      </c>
      <c r="B192" s="7" t="str">
        <f>VLOOKUP($A192,product_category,2, False)</f>
        <v>Baby Food</v>
      </c>
      <c r="C192" s="7">
        <v>2.22720611E8</v>
      </c>
      <c r="D192" s="9">
        <v>40253.0</v>
      </c>
      <c r="E192" s="10">
        <f t="shared" si="1"/>
        <v>3</v>
      </c>
      <c r="F192" s="10" t="str">
        <f t="shared" si="2"/>
        <v>Mar</v>
      </c>
      <c r="G192" s="11">
        <f t="shared" si="3"/>
        <v>16</v>
      </c>
      <c r="H192" s="7">
        <f t="shared" si="4"/>
        <v>2010</v>
      </c>
      <c r="I192" s="9">
        <v>40269.0</v>
      </c>
      <c r="J192" s="11">
        <f t="shared" si="5"/>
        <v>16</v>
      </c>
      <c r="K192" s="7" t="s">
        <v>322</v>
      </c>
      <c r="L192" s="7" t="s">
        <v>478</v>
      </c>
      <c r="M192" s="7" t="str">
        <f>VLOOKUP(L192,countries, 2,false)</f>
        <v>Malta</v>
      </c>
      <c r="N192" s="7" t="str">
        <f>VLOOKUP(L192,countries, 4,false)</f>
        <v>Europe</v>
      </c>
      <c r="O192" s="7" t="str">
        <f>VLOOKUP(L192,countries, 5,false)</f>
        <v>Southern Europe</v>
      </c>
      <c r="P192" s="7" t="s">
        <v>212</v>
      </c>
      <c r="Q192" s="7">
        <v>6833.0</v>
      </c>
      <c r="R192" s="12">
        <v>255.28</v>
      </c>
      <c r="S192" s="12">
        <v>159.42</v>
      </c>
      <c r="T192" s="13">
        <f t="shared" si="6"/>
        <v>1744328.24</v>
      </c>
      <c r="U192" s="13">
        <f t="shared" si="7"/>
        <v>276159.73</v>
      </c>
      <c r="V192" s="13">
        <f t="shared" si="8"/>
        <v>1468168.51</v>
      </c>
      <c r="W192" s="14">
        <f>Q192/totals!B$2</f>
        <v>0.001038998717</v>
      </c>
      <c r="X192" s="14">
        <f t="shared" si="9"/>
        <v>0.1329472834</v>
      </c>
      <c r="Y192" s="14">
        <f>T192/totals!B$5</f>
        <v>0.001024791788</v>
      </c>
      <c r="Z192" s="14">
        <f t="shared" si="10"/>
        <v>0.1337249285</v>
      </c>
      <c r="AA192" s="14">
        <f>V192/totals!B$4</f>
        <v>0.002927492594</v>
      </c>
      <c r="AB192" s="14">
        <f t="shared" si="11"/>
        <v>0.136172037</v>
      </c>
    </row>
    <row r="193">
      <c r="A193" s="7">
        <v>1270.0</v>
      </c>
      <c r="B193" s="7" t="str">
        <f>VLOOKUP($A193,product_category,2, False)</f>
        <v>Beverages</v>
      </c>
      <c r="C193" s="7">
        <v>2.23199975E8</v>
      </c>
      <c r="D193" s="9">
        <v>42695.0</v>
      </c>
      <c r="E193" s="10">
        <f t="shared" si="1"/>
        <v>11</v>
      </c>
      <c r="F193" s="10" t="str">
        <f t="shared" si="2"/>
        <v>Nov</v>
      </c>
      <c r="G193" s="11">
        <f t="shared" si="3"/>
        <v>21</v>
      </c>
      <c r="H193" s="7">
        <f t="shared" si="4"/>
        <v>2016</v>
      </c>
      <c r="I193" s="9">
        <v>42739.0</v>
      </c>
      <c r="J193" s="11">
        <f t="shared" si="5"/>
        <v>44</v>
      </c>
      <c r="K193" s="7" t="s">
        <v>322</v>
      </c>
      <c r="L193" s="7" t="s">
        <v>237</v>
      </c>
      <c r="M193" s="7" t="str">
        <f>VLOOKUP(L193,countries, 2,false)</f>
        <v>Denmark</v>
      </c>
      <c r="N193" s="7" t="str">
        <f>VLOOKUP(L193,countries, 4,false)</f>
        <v>Europe</v>
      </c>
      <c r="O193" s="7" t="str">
        <f>VLOOKUP(L193,countries, 5,false)</f>
        <v>Northern Europe</v>
      </c>
      <c r="P193" s="7" t="s">
        <v>129</v>
      </c>
      <c r="Q193" s="7">
        <v>8687.0</v>
      </c>
      <c r="R193" s="12">
        <v>47.45</v>
      </c>
      <c r="S193" s="12">
        <v>31.79</v>
      </c>
      <c r="T193" s="13">
        <f t="shared" si="6"/>
        <v>412198.15</v>
      </c>
      <c r="U193" s="13">
        <f t="shared" si="7"/>
        <v>47062.92</v>
      </c>
      <c r="V193" s="13">
        <f t="shared" si="8"/>
        <v>365135.23</v>
      </c>
      <c r="W193" s="14">
        <f>Q193/totals!B$2</f>
        <v>0.00132091056</v>
      </c>
      <c r="X193" s="14">
        <f t="shared" si="9"/>
        <v>0.134268194</v>
      </c>
      <c r="Y193" s="14">
        <f>T193/totals!B$5</f>
        <v>0.0002421661643</v>
      </c>
      <c r="Z193" s="14">
        <f t="shared" si="10"/>
        <v>0.1339670946</v>
      </c>
      <c r="AA193" s="14">
        <f>V193/totals!B$4</f>
        <v>0.0007280708408</v>
      </c>
      <c r="AB193" s="14">
        <f t="shared" si="11"/>
        <v>0.1369001079</v>
      </c>
    </row>
    <row r="194">
      <c r="A194" s="7">
        <v>4594.0</v>
      </c>
      <c r="B194" s="7" t="str">
        <f>VLOOKUP($A194,product_category,2, False)</f>
        <v>Fruits</v>
      </c>
      <c r="C194" s="7">
        <v>2.23869454E8</v>
      </c>
      <c r="D194" s="9">
        <v>40328.0</v>
      </c>
      <c r="E194" s="10">
        <f t="shared" si="1"/>
        <v>5</v>
      </c>
      <c r="F194" s="10" t="str">
        <f t="shared" si="2"/>
        <v>May</v>
      </c>
      <c r="G194" s="11">
        <f t="shared" si="3"/>
        <v>30</v>
      </c>
      <c r="H194" s="7">
        <f t="shared" si="4"/>
        <v>2010</v>
      </c>
      <c r="I194" s="9">
        <v>40356.0</v>
      </c>
      <c r="J194" s="11">
        <f t="shared" si="5"/>
        <v>28</v>
      </c>
      <c r="K194" s="7" t="s">
        <v>322</v>
      </c>
      <c r="L194" s="7" t="s">
        <v>383</v>
      </c>
      <c r="M194" s="7" t="str">
        <f>VLOOKUP(L194,countries, 2,false)</f>
        <v>Ireland</v>
      </c>
      <c r="N194" s="7" t="str">
        <f>VLOOKUP(L194,countries, 4,false)</f>
        <v>Europe</v>
      </c>
      <c r="O194" s="7" t="str">
        <f>VLOOKUP(L194,countries, 5,false)</f>
        <v>Northern Europe</v>
      </c>
      <c r="P194" s="7" t="s">
        <v>129</v>
      </c>
      <c r="Q194" s="7">
        <v>6801.0</v>
      </c>
      <c r="R194" s="12">
        <v>9.33</v>
      </c>
      <c r="S194" s="12">
        <v>6.92</v>
      </c>
      <c r="T194" s="13">
        <f t="shared" si="6"/>
        <v>63453.33</v>
      </c>
      <c r="U194" s="13">
        <f t="shared" si="7"/>
        <v>3631673.28</v>
      </c>
      <c r="V194" s="13">
        <f t="shared" si="8"/>
        <v>-3568219.95</v>
      </c>
      <c r="W194" s="14">
        <f>Q194/totals!B$2</f>
        <v>0.001034132925</v>
      </c>
      <c r="X194" s="14">
        <f t="shared" si="9"/>
        <v>0.1353023269</v>
      </c>
      <c r="Y194" s="14">
        <f>T194/totals!B$5</f>
        <v>0.00003727879308</v>
      </c>
      <c r="Z194" s="14">
        <f t="shared" si="10"/>
        <v>0.1340043734</v>
      </c>
      <c r="AA194" s="14">
        <f>V194/totals!B$4</f>
        <v>-0.007114944507</v>
      </c>
      <c r="AB194" s="14">
        <f t="shared" si="11"/>
        <v>0.1297851633</v>
      </c>
    </row>
    <row r="195">
      <c r="A195" s="7">
        <v>8681.0</v>
      </c>
      <c r="B195" s="7" t="str">
        <f>VLOOKUP($A195,product_category,2, False)</f>
        <v>Office Supplies</v>
      </c>
      <c r="C195" s="7">
        <v>2.2464708E8</v>
      </c>
      <c r="D195" s="9">
        <v>41813.0</v>
      </c>
      <c r="E195" s="10">
        <f t="shared" si="1"/>
        <v>6</v>
      </c>
      <c r="F195" s="10" t="str">
        <f t="shared" si="2"/>
        <v>Jun</v>
      </c>
      <c r="G195" s="11">
        <f t="shared" si="3"/>
        <v>23</v>
      </c>
      <c r="H195" s="7">
        <f t="shared" si="4"/>
        <v>2014</v>
      </c>
      <c r="I195" s="9">
        <v>41850.0</v>
      </c>
      <c r="J195" s="11">
        <f t="shared" si="5"/>
        <v>37</v>
      </c>
      <c r="K195" s="7" t="s">
        <v>382</v>
      </c>
      <c r="L195" s="7" t="s">
        <v>439</v>
      </c>
      <c r="M195" s="7" t="str">
        <f>VLOOKUP(L195,countries, 2,false)</f>
        <v>Slovakia</v>
      </c>
      <c r="N195" s="7" t="str">
        <f>VLOOKUP(L195,countries, 4,false)</f>
        <v>Europe</v>
      </c>
      <c r="O195" s="7" t="str">
        <f>VLOOKUP(L195,countries, 5,false)</f>
        <v>Eastern Europe</v>
      </c>
      <c r="P195" s="7" t="s">
        <v>212</v>
      </c>
      <c r="Q195" s="7">
        <v>6918.0</v>
      </c>
      <c r="R195" s="12">
        <v>651.21</v>
      </c>
      <c r="S195" s="12">
        <v>524.96</v>
      </c>
      <c r="T195" s="13">
        <f t="shared" si="6"/>
        <v>4505070.78</v>
      </c>
      <c r="U195" s="13">
        <f t="shared" si="7"/>
        <v>426594.6</v>
      </c>
      <c r="V195" s="13">
        <f t="shared" si="8"/>
        <v>4078476.18</v>
      </c>
      <c r="W195" s="14">
        <f>Q195/totals!B$2</f>
        <v>0.001051923478</v>
      </c>
      <c r="X195" s="14">
        <f t="shared" si="9"/>
        <v>0.1363542504</v>
      </c>
      <c r="Y195" s="14">
        <f>T195/totals!B$5</f>
        <v>0.002646726364</v>
      </c>
      <c r="Z195" s="14">
        <f t="shared" si="10"/>
        <v>0.1366510998</v>
      </c>
      <c r="AA195" s="14">
        <f>V195/totals!B$4</f>
        <v>0.008132383121</v>
      </c>
      <c r="AB195" s="14">
        <f t="shared" si="11"/>
        <v>0.1379175465</v>
      </c>
    </row>
    <row r="196">
      <c r="A196" s="7">
        <v>8293.0</v>
      </c>
      <c r="B196" s="7" t="str">
        <f>VLOOKUP($A196,product_category,2, False)</f>
        <v>Cosmetics</v>
      </c>
      <c r="C196" s="7">
        <v>2.282112E8</v>
      </c>
      <c r="D196" s="9">
        <v>41243.0</v>
      </c>
      <c r="E196" s="10">
        <f t="shared" si="1"/>
        <v>11</v>
      </c>
      <c r="F196" s="10" t="str">
        <f t="shared" si="2"/>
        <v>Nov</v>
      </c>
      <c r="G196" s="11">
        <f t="shared" si="3"/>
        <v>30</v>
      </c>
      <c r="H196" s="7">
        <f t="shared" si="4"/>
        <v>2012</v>
      </c>
      <c r="I196" s="9">
        <v>41246.0</v>
      </c>
      <c r="J196" s="11">
        <f t="shared" si="5"/>
        <v>3</v>
      </c>
      <c r="K196" s="7" t="s">
        <v>382</v>
      </c>
      <c r="L196" s="7" t="s">
        <v>642</v>
      </c>
      <c r="M196" s="7" t="str">
        <f>VLOOKUP(L196,countries, 2,false)</f>
        <v>San Marino</v>
      </c>
      <c r="N196" s="7" t="str">
        <f>VLOOKUP(L196,countries, 4,false)</f>
        <v>Europe</v>
      </c>
      <c r="O196" s="7" t="str">
        <f>VLOOKUP(L196,countries, 5,false)</f>
        <v>Southern Europe</v>
      </c>
      <c r="P196" s="7" t="s">
        <v>129</v>
      </c>
      <c r="Q196" s="7">
        <v>1620.0</v>
      </c>
      <c r="R196" s="12">
        <v>437.2</v>
      </c>
      <c r="S196" s="12">
        <v>263.33</v>
      </c>
      <c r="T196" s="13">
        <f t="shared" si="6"/>
        <v>708264</v>
      </c>
      <c r="U196" s="13">
        <f t="shared" si="7"/>
        <v>2290253.2</v>
      </c>
      <c r="V196" s="13">
        <f t="shared" si="8"/>
        <v>-1581989.2</v>
      </c>
      <c r="W196" s="14">
        <f>Q196/totals!B$2</f>
        <v>0.0002463307364</v>
      </c>
      <c r="X196" s="14">
        <f t="shared" si="9"/>
        <v>0.1366005811</v>
      </c>
      <c r="Y196" s="14">
        <f>T196/totals!B$5</f>
        <v>0.0004161046725</v>
      </c>
      <c r="Z196" s="14">
        <f t="shared" si="10"/>
        <v>0.1370672045</v>
      </c>
      <c r="AA196" s="14">
        <f>V196/totals!B$4</f>
        <v>-0.003154448304</v>
      </c>
      <c r="AB196" s="14">
        <f t="shared" si="11"/>
        <v>0.1347630982</v>
      </c>
    </row>
    <row r="197">
      <c r="A197" s="7">
        <v>8875.0</v>
      </c>
      <c r="B197" s="7" t="str">
        <f>VLOOKUP($A197,product_category,2, False)</f>
        <v>Meat</v>
      </c>
      <c r="C197" s="7">
        <v>2.29105556E8</v>
      </c>
      <c r="D197" s="9">
        <v>40343.0</v>
      </c>
      <c r="E197" s="10">
        <f t="shared" si="1"/>
        <v>6</v>
      </c>
      <c r="F197" s="10" t="str">
        <f t="shared" si="2"/>
        <v>Jun</v>
      </c>
      <c r="G197" s="11">
        <f t="shared" si="3"/>
        <v>14</v>
      </c>
      <c r="H197" s="7">
        <f t="shared" si="4"/>
        <v>2010</v>
      </c>
      <c r="I197" s="9">
        <v>40393.0</v>
      </c>
      <c r="J197" s="11">
        <f t="shared" si="5"/>
        <v>50</v>
      </c>
      <c r="K197" s="7" t="s">
        <v>322</v>
      </c>
      <c r="L197" s="7" t="e">
        <v>#N/A</v>
      </c>
      <c r="M197" s="7"/>
      <c r="N197" s="7"/>
      <c r="O197" s="7"/>
      <c r="P197" s="7" t="s">
        <v>212</v>
      </c>
      <c r="Q197" s="7">
        <v>6280.0</v>
      </c>
      <c r="R197" s="12">
        <v>421.89</v>
      </c>
      <c r="S197" s="12">
        <v>364.69</v>
      </c>
      <c r="T197" s="13">
        <f t="shared" si="6"/>
        <v>2649469.2</v>
      </c>
      <c r="U197" s="13">
        <f t="shared" si="7"/>
        <v>17458.56</v>
      </c>
      <c r="V197" s="13">
        <f t="shared" si="8"/>
        <v>2632010.64</v>
      </c>
      <c r="W197" s="14">
        <f>Q197/totals!B$2</f>
        <v>0.0009549117437</v>
      </c>
      <c r="X197" s="14">
        <f t="shared" si="9"/>
        <v>0.1375554928</v>
      </c>
      <c r="Y197" s="14">
        <f>T197/totals!B$5</f>
        <v>0.001556561556</v>
      </c>
      <c r="Z197" s="14">
        <f t="shared" si="10"/>
        <v>0.138623766</v>
      </c>
      <c r="AA197" s="14">
        <f>V197/totals!B$4</f>
        <v>0.005248165726</v>
      </c>
      <c r="AB197" s="14">
        <f t="shared" si="11"/>
        <v>0.1400112639</v>
      </c>
    </row>
    <row r="198">
      <c r="A198" s="7">
        <v>5988.0</v>
      </c>
      <c r="B198" s="7" t="str">
        <f>VLOOKUP($A198,product_category,2, False)</f>
        <v>Vegetables</v>
      </c>
      <c r="C198" s="7">
        <v>2.29355323E8</v>
      </c>
      <c r="D198" s="9">
        <v>40875.0</v>
      </c>
      <c r="E198" s="10">
        <f t="shared" si="1"/>
        <v>11</v>
      </c>
      <c r="F198" s="10" t="str">
        <f t="shared" si="2"/>
        <v>Nov</v>
      </c>
      <c r="G198" s="11">
        <f t="shared" si="3"/>
        <v>28</v>
      </c>
      <c r="H198" s="7">
        <f t="shared" si="4"/>
        <v>2011</v>
      </c>
      <c r="I198" s="9">
        <v>40887.0</v>
      </c>
      <c r="J198" s="11">
        <f t="shared" si="5"/>
        <v>12</v>
      </c>
      <c r="K198" s="7" t="s">
        <v>322</v>
      </c>
      <c r="L198" s="7" t="s">
        <v>448</v>
      </c>
      <c r="M198" s="7" t="str">
        <f>VLOOKUP(L198,countries, 2,false)</f>
        <v>Liechtenstein</v>
      </c>
      <c r="N198" s="7" t="str">
        <f>VLOOKUP(L198,countries, 4,false)</f>
        <v>Europe</v>
      </c>
      <c r="O198" s="7" t="str">
        <f>VLOOKUP(L198,countries, 5,false)</f>
        <v>Western Europe</v>
      </c>
      <c r="P198" s="7" t="s">
        <v>212</v>
      </c>
      <c r="Q198" s="7">
        <v>192.0</v>
      </c>
      <c r="R198" s="12">
        <v>154.06</v>
      </c>
      <c r="S198" s="12">
        <v>90.93</v>
      </c>
      <c r="T198" s="13">
        <f t="shared" si="6"/>
        <v>29579.52</v>
      </c>
      <c r="U198" s="13">
        <f t="shared" si="7"/>
        <v>36339.54</v>
      </c>
      <c r="V198" s="13">
        <f t="shared" si="8"/>
        <v>-6760.02</v>
      </c>
      <c r="W198" s="14">
        <f>Q198/totals!B$2</f>
        <v>0.00002919475395</v>
      </c>
      <c r="X198" s="14">
        <f t="shared" si="9"/>
        <v>0.1375846876</v>
      </c>
      <c r="Y198" s="14">
        <f>T198/totals!B$5</f>
        <v>0.00001737795015</v>
      </c>
      <c r="Z198" s="14">
        <f t="shared" si="10"/>
        <v>0.138641144</v>
      </c>
      <c r="AA198" s="14">
        <f>V198/totals!B$4</f>
        <v>-0.00001347931681</v>
      </c>
      <c r="AB198" s="14">
        <f t="shared" si="11"/>
        <v>0.1399977846</v>
      </c>
    </row>
    <row r="199">
      <c r="A199" s="7">
        <v>8293.0</v>
      </c>
      <c r="B199" s="7" t="str">
        <f>VLOOKUP($A199,product_category,2, False)</f>
        <v>Cosmetics</v>
      </c>
      <c r="C199" s="7">
        <v>2.29693067E8</v>
      </c>
      <c r="D199" s="9">
        <v>41105.0</v>
      </c>
      <c r="E199" s="10">
        <f t="shared" si="1"/>
        <v>7</v>
      </c>
      <c r="F199" s="10" t="str">
        <f t="shared" si="2"/>
        <v>Jul</v>
      </c>
      <c r="G199" s="11">
        <f t="shared" si="3"/>
        <v>15</v>
      </c>
      <c r="H199" s="7">
        <f t="shared" si="4"/>
        <v>2012</v>
      </c>
      <c r="I199" s="9">
        <v>41105.0</v>
      </c>
      <c r="J199" s="11">
        <f t="shared" si="5"/>
        <v>0</v>
      </c>
      <c r="K199" s="7" t="s">
        <v>322</v>
      </c>
      <c r="L199" s="7" t="s">
        <v>448</v>
      </c>
      <c r="M199" s="7" t="str">
        <f>VLOOKUP(L199,countries, 2,false)</f>
        <v>Liechtenstein</v>
      </c>
      <c r="N199" s="7" t="str">
        <f>VLOOKUP(L199,countries, 4,false)</f>
        <v>Europe</v>
      </c>
      <c r="O199" s="7" t="str">
        <f>VLOOKUP(L199,countries, 5,false)</f>
        <v>Western Europe</v>
      </c>
      <c r="P199" s="7" t="s">
        <v>129</v>
      </c>
      <c r="Q199" s="7">
        <v>138.0</v>
      </c>
      <c r="R199" s="12">
        <v>437.2</v>
      </c>
      <c r="S199" s="12">
        <v>263.33</v>
      </c>
      <c r="T199" s="13">
        <f t="shared" si="6"/>
        <v>60333.6</v>
      </c>
      <c r="U199" s="13">
        <f t="shared" si="7"/>
        <v>252062.91</v>
      </c>
      <c r="V199" s="13">
        <f t="shared" si="8"/>
        <v>-191729.31</v>
      </c>
      <c r="W199" s="14">
        <f>Q199/totals!B$2</f>
        <v>0.0000209837294</v>
      </c>
      <c r="X199" s="14">
        <f t="shared" si="9"/>
        <v>0.1376056713</v>
      </c>
      <c r="Y199" s="14">
        <f>T199/totals!B$5</f>
        <v>0.00003544595359</v>
      </c>
      <c r="Z199" s="14">
        <f t="shared" si="10"/>
        <v>0.1386765899</v>
      </c>
      <c r="AA199" s="14">
        <f>V199/totals!B$4</f>
        <v>-0.0003823036192</v>
      </c>
      <c r="AB199" s="14">
        <f t="shared" si="11"/>
        <v>0.139615481</v>
      </c>
    </row>
    <row r="200">
      <c r="A200" s="7">
        <v>1270.0</v>
      </c>
      <c r="B200" s="7" t="str">
        <f>VLOOKUP($A200,product_category,2, False)</f>
        <v>Beverages</v>
      </c>
      <c r="C200" s="7">
        <v>2.31341445E8</v>
      </c>
      <c r="D200" s="9">
        <v>42244.0</v>
      </c>
      <c r="E200" s="10">
        <f t="shared" si="1"/>
        <v>8</v>
      </c>
      <c r="F200" s="10" t="str">
        <f t="shared" si="2"/>
        <v>Aug</v>
      </c>
      <c r="G200" s="11">
        <f t="shared" si="3"/>
        <v>28</v>
      </c>
      <c r="H200" s="7">
        <f t="shared" si="4"/>
        <v>2015</v>
      </c>
      <c r="I200" s="9">
        <v>42284.0</v>
      </c>
      <c r="J200" s="11">
        <f t="shared" si="5"/>
        <v>40</v>
      </c>
      <c r="K200" s="7" t="s">
        <v>110</v>
      </c>
      <c r="L200" s="7" t="s">
        <v>136</v>
      </c>
      <c r="M200" s="7" t="str">
        <f>VLOOKUP(L200,countries, 2,false)</f>
        <v>Bosnia and Herzegovina</v>
      </c>
      <c r="N200" s="7" t="str">
        <f>VLOOKUP(L200,countries, 4,false)</f>
        <v>Europe</v>
      </c>
      <c r="O200" s="7" t="str">
        <f>VLOOKUP(L200,countries, 5,false)</f>
        <v>Southern Europe</v>
      </c>
      <c r="P200" s="7" t="s">
        <v>129</v>
      </c>
      <c r="Q200" s="7">
        <v>7929.0</v>
      </c>
      <c r="R200" s="12">
        <v>47.45</v>
      </c>
      <c r="S200" s="12">
        <v>31.79</v>
      </c>
      <c r="T200" s="13">
        <f t="shared" si="6"/>
        <v>376231.05</v>
      </c>
      <c r="U200" s="13">
        <f t="shared" si="7"/>
        <v>226186.24</v>
      </c>
      <c r="V200" s="13">
        <f t="shared" si="8"/>
        <v>150044.81</v>
      </c>
      <c r="W200" s="14">
        <f>Q200/totals!B$2</f>
        <v>0.001205652104</v>
      </c>
      <c r="X200" s="14">
        <f t="shared" si="9"/>
        <v>0.1388113234</v>
      </c>
      <c r="Y200" s="14">
        <f>T200/totals!B$5</f>
        <v>0.0002210355148</v>
      </c>
      <c r="Z200" s="14">
        <f t="shared" si="10"/>
        <v>0.1388976254</v>
      </c>
      <c r="AA200" s="14">
        <f>V200/totals!B$4</f>
        <v>0.0002991857317</v>
      </c>
      <c r="AB200" s="14">
        <f t="shared" si="11"/>
        <v>0.1399146667</v>
      </c>
    </row>
    <row r="201">
      <c r="A201" s="7">
        <v>2455.0</v>
      </c>
      <c r="B201" s="7" t="str">
        <f>VLOOKUP($A201,product_category,2, False)</f>
        <v>Clothes</v>
      </c>
      <c r="C201" s="7">
        <v>2.31369769E8</v>
      </c>
      <c r="D201" s="9">
        <v>42133.0</v>
      </c>
      <c r="E201" s="10">
        <f t="shared" si="1"/>
        <v>5</v>
      </c>
      <c r="F201" s="10" t="str">
        <f t="shared" si="2"/>
        <v>May</v>
      </c>
      <c r="G201" s="11">
        <f t="shared" si="3"/>
        <v>9</v>
      </c>
      <c r="H201" s="7">
        <f t="shared" si="4"/>
        <v>2015</v>
      </c>
      <c r="I201" s="9">
        <v>42140.0</v>
      </c>
      <c r="J201" s="11">
        <f t="shared" si="5"/>
        <v>7</v>
      </c>
      <c r="K201" s="7" t="s">
        <v>110</v>
      </c>
      <c r="L201" s="7" t="s">
        <v>439</v>
      </c>
      <c r="M201" s="7" t="str">
        <f>VLOOKUP(L201,countries, 2,false)</f>
        <v>Slovakia</v>
      </c>
      <c r="N201" s="7" t="str">
        <f>VLOOKUP(L201,countries, 4,false)</f>
        <v>Europe</v>
      </c>
      <c r="O201" s="7" t="str">
        <f>VLOOKUP(L201,countries, 5,false)</f>
        <v>Eastern Europe</v>
      </c>
      <c r="P201" s="7" t="s">
        <v>129</v>
      </c>
      <c r="Q201" s="7">
        <v>6311.0</v>
      </c>
      <c r="R201" s="12">
        <v>109.28</v>
      </c>
      <c r="S201" s="12">
        <v>35.84</v>
      </c>
      <c r="T201" s="13">
        <f t="shared" si="6"/>
        <v>689666.08</v>
      </c>
      <c r="U201" s="13">
        <f t="shared" si="7"/>
        <v>11217.92</v>
      </c>
      <c r="V201" s="13">
        <f t="shared" si="8"/>
        <v>678448.16</v>
      </c>
      <c r="W201" s="14">
        <f>Q201/totals!B$2</f>
        <v>0.00095962548</v>
      </c>
      <c r="X201" s="14">
        <f t="shared" si="9"/>
        <v>0.1397709489</v>
      </c>
      <c r="Y201" s="14">
        <f>T201/totals!B$5</f>
        <v>0.0004051784058</v>
      </c>
      <c r="Z201" s="14">
        <f t="shared" si="10"/>
        <v>0.1393028038</v>
      </c>
      <c r="AA201" s="14">
        <f>V201/totals!B$4</f>
        <v>0.001352809265</v>
      </c>
      <c r="AB201" s="14">
        <f t="shared" si="11"/>
        <v>0.141267476</v>
      </c>
    </row>
    <row r="202">
      <c r="A202" s="7">
        <v>2455.0</v>
      </c>
      <c r="B202" s="7" t="str">
        <f>VLOOKUP($A202,product_category,2, False)</f>
        <v>Clothes</v>
      </c>
      <c r="C202" s="7">
        <v>2.31450879E8</v>
      </c>
      <c r="D202" s="9">
        <v>40181.0</v>
      </c>
      <c r="E202" s="10">
        <f t="shared" si="1"/>
        <v>1</v>
      </c>
      <c r="F202" s="10" t="str">
        <f t="shared" si="2"/>
        <v>Jan</v>
      </c>
      <c r="G202" s="11">
        <f t="shared" si="3"/>
        <v>3</v>
      </c>
      <c r="H202" s="7">
        <f t="shared" si="4"/>
        <v>2010</v>
      </c>
      <c r="I202" s="9">
        <v>40231.0</v>
      </c>
      <c r="J202" s="11">
        <f t="shared" si="5"/>
        <v>50</v>
      </c>
      <c r="K202" s="7" t="s">
        <v>322</v>
      </c>
      <c r="L202" s="7" t="s">
        <v>77</v>
      </c>
      <c r="M202" s="7" t="str">
        <f>VLOOKUP(L202,countries, 2,false)</f>
        <v>Armenia</v>
      </c>
      <c r="N202" s="7" t="str">
        <f>VLOOKUP(L202,countries, 4,false)</f>
        <v>Asia</v>
      </c>
      <c r="O202" s="7" t="str">
        <f>VLOOKUP(L202,countries, 5,false)</f>
        <v>Western Asia</v>
      </c>
      <c r="P202" s="7" t="s">
        <v>129</v>
      </c>
      <c r="Q202" s="7">
        <v>313.0</v>
      </c>
      <c r="R202" s="12">
        <v>109.28</v>
      </c>
      <c r="S202" s="12">
        <v>35.84</v>
      </c>
      <c r="T202" s="13">
        <f t="shared" si="6"/>
        <v>34204.64</v>
      </c>
      <c r="U202" s="13">
        <f t="shared" si="7"/>
        <v>453454.26</v>
      </c>
      <c r="V202" s="13">
        <f t="shared" si="8"/>
        <v>-419249.62</v>
      </c>
      <c r="W202" s="14">
        <f>Q202/totals!B$2</f>
        <v>0.00004759353117</v>
      </c>
      <c r="X202" s="14">
        <f t="shared" si="9"/>
        <v>0.1398185424</v>
      </c>
      <c r="Y202" s="14">
        <f>T202/totals!B$5</f>
        <v>0.00002009520536</v>
      </c>
      <c r="Z202" s="14">
        <f t="shared" si="10"/>
        <v>0.139322899</v>
      </c>
      <c r="AA202" s="14">
        <f>V202/totals!B$4</f>
        <v>-0.0008359736291</v>
      </c>
      <c r="AB202" s="14">
        <f t="shared" si="11"/>
        <v>0.1404315023</v>
      </c>
    </row>
    <row r="203">
      <c r="A203" s="7">
        <v>8293.0</v>
      </c>
      <c r="B203" s="7" t="str">
        <f>VLOOKUP($A203,product_category,2, False)</f>
        <v>Cosmetics</v>
      </c>
      <c r="C203" s="7">
        <v>2.3186115E8</v>
      </c>
      <c r="D203" s="9">
        <v>41929.0</v>
      </c>
      <c r="E203" s="10">
        <f t="shared" si="1"/>
        <v>10</v>
      </c>
      <c r="F203" s="10" t="str">
        <f t="shared" si="2"/>
        <v>Oct</v>
      </c>
      <c r="G203" s="11">
        <f t="shared" si="3"/>
        <v>17</v>
      </c>
      <c r="H203" s="7">
        <f t="shared" si="4"/>
        <v>2014</v>
      </c>
      <c r="I203" s="9">
        <v>41944.0</v>
      </c>
      <c r="J203" s="11">
        <f t="shared" si="5"/>
        <v>15</v>
      </c>
      <c r="K203" s="7" t="s">
        <v>322</v>
      </c>
      <c r="L203" s="7" t="s">
        <v>107</v>
      </c>
      <c r="M203" s="7" t="str">
        <f>VLOOKUP(L203,countries, 2,false)</f>
        <v>Belarus</v>
      </c>
      <c r="N203" s="7" t="str">
        <f>VLOOKUP(L203,countries, 4,false)</f>
        <v>Europe</v>
      </c>
      <c r="O203" s="7" t="str">
        <f>VLOOKUP(L203,countries, 5,false)</f>
        <v>Eastern Europe</v>
      </c>
      <c r="P203" s="7" t="s">
        <v>129</v>
      </c>
      <c r="Q203" s="7">
        <v>1722.0</v>
      </c>
      <c r="R203" s="12">
        <v>437.2</v>
      </c>
      <c r="S203" s="12">
        <v>263.33</v>
      </c>
      <c r="T203" s="13">
        <f t="shared" si="6"/>
        <v>752858.4</v>
      </c>
      <c r="U203" s="13">
        <f t="shared" si="7"/>
        <v>454798.7</v>
      </c>
      <c r="V203" s="13">
        <f t="shared" si="8"/>
        <v>298059.7</v>
      </c>
      <c r="W203" s="14">
        <f>Q203/totals!B$2</f>
        <v>0.0002618404495</v>
      </c>
      <c r="X203" s="14">
        <f t="shared" si="9"/>
        <v>0.1400803829</v>
      </c>
      <c r="Y203" s="14">
        <f>T203/totals!B$5</f>
        <v>0.0004423038556</v>
      </c>
      <c r="Z203" s="14">
        <f t="shared" si="10"/>
        <v>0.1397652029</v>
      </c>
      <c r="AA203" s="14">
        <f>V203/totals!B$4</f>
        <v>0.000594323852</v>
      </c>
      <c r="AB203" s="14">
        <f t="shared" si="11"/>
        <v>0.1410258262</v>
      </c>
    </row>
    <row r="204">
      <c r="A204" s="7">
        <v>7940.0</v>
      </c>
      <c r="B204" s="7" t="str">
        <f>VLOOKUP($A204,product_category,2, False)</f>
        <v>Household</v>
      </c>
      <c r="C204" s="7">
        <v>2.32196319E8</v>
      </c>
      <c r="D204" s="9">
        <v>42923.0</v>
      </c>
      <c r="E204" s="10">
        <f t="shared" si="1"/>
        <v>7</v>
      </c>
      <c r="F204" s="10" t="str">
        <f t="shared" si="2"/>
        <v>Jul</v>
      </c>
      <c r="G204" s="11">
        <f t="shared" si="3"/>
        <v>7</v>
      </c>
      <c r="H204" s="7">
        <f t="shared" si="4"/>
        <v>2017</v>
      </c>
      <c r="I204" s="9">
        <v>42951.0</v>
      </c>
      <c r="J204" s="11">
        <f t="shared" si="5"/>
        <v>28</v>
      </c>
      <c r="K204" s="7" t="s">
        <v>322</v>
      </c>
      <c r="L204" s="7" t="s">
        <v>594</v>
      </c>
      <c r="M204" s="7" t="str">
        <f>VLOOKUP(L204,countries, 2,false)</f>
        <v>Poland</v>
      </c>
      <c r="N204" s="7" t="str">
        <f>VLOOKUP(L204,countries, 4,false)</f>
        <v>Europe</v>
      </c>
      <c r="O204" s="7" t="str">
        <f>VLOOKUP(L204,countries, 5,false)</f>
        <v>Eastern Europe</v>
      </c>
      <c r="P204" s="7" t="s">
        <v>212</v>
      </c>
      <c r="Q204" s="7">
        <v>905.0</v>
      </c>
      <c r="R204" s="12">
        <v>668.27</v>
      </c>
      <c r="S204" s="12">
        <v>502.54</v>
      </c>
      <c r="T204" s="13">
        <f t="shared" si="6"/>
        <v>604784.35</v>
      </c>
      <c r="U204" s="13">
        <f t="shared" si="7"/>
        <v>4759812.32</v>
      </c>
      <c r="V204" s="13">
        <f t="shared" si="8"/>
        <v>-4155027.97</v>
      </c>
      <c r="W204" s="14">
        <f>Q204/totals!B$2</f>
        <v>0.0001376106892</v>
      </c>
      <c r="X204" s="14">
        <f t="shared" si="9"/>
        <v>0.1402179936</v>
      </c>
      <c r="Y204" s="14">
        <f>T204/totals!B$5</f>
        <v>0.0003553104406</v>
      </c>
      <c r="Z204" s="14">
        <f t="shared" si="10"/>
        <v>0.1401205133</v>
      </c>
      <c r="AA204" s="14">
        <f>V204/totals!B$4</f>
        <v>-0.008285025544</v>
      </c>
      <c r="AB204" s="14">
        <f t="shared" si="11"/>
        <v>0.1327408006</v>
      </c>
    </row>
    <row r="205">
      <c r="A205" s="7">
        <v>8681.0</v>
      </c>
      <c r="B205" s="7" t="str">
        <f>VLOOKUP($A205,product_category,2, False)</f>
        <v>Office Supplies</v>
      </c>
      <c r="C205" s="7">
        <v>2.33440434E8</v>
      </c>
      <c r="D205" s="9">
        <v>42374.0</v>
      </c>
      <c r="E205" s="10">
        <f t="shared" si="1"/>
        <v>1</v>
      </c>
      <c r="F205" s="10" t="str">
        <f t="shared" si="2"/>
        <v>Jan</v>
      </c>
      <c r="G205" s="11">
        <f t="shared" si="3"/>
        <v>5</v>
      </c>
      <c r="H205" s="7">
        <f t="shared" si="4"/>
        <v>2016</v>
      </c>
      <c r="I205" s="9">
        <v>42417.0</v>
      </c>
      <c r="J205" s="11">
        <f t="shared" si="5"/>
        <v>43</v>
      </c>
      <c r="K205" s="7" t="s">
        <v>110</v>
      </c>
      <c r="L205" s="7" t="s">
        <v>113</v>
      </c>
      <c r="M205" s="7" t="str">
        <f>VLOOKUP(L205,countries, 2,false)</f>
        <v>Belgium</v>
      </c>
      <c r="N205" s="7" t="str">
        <f>VLOOKUP(L205,countries, 4,false)</f>
        <v>Europe</v>
      </c>
      <c r="O205" s="7" t="str">
        <f>VLOOKUP(L205,countries, 5,false)</f>
        <v>Western Europe</v>
      </c>
      <c r="P205" s="7" t="s">
        <v>212</v>
      </c>
      <c r="Q205" s="7">
        <v>9067.0</v>
      </c>
      <c r="R205" s="12">
        <v>651.21</v>
      </c>
      <c r="S205" s="12">
        <v>524.96</v>
      </c>
      <c r="T205" s="13">
        <f t="shared" si="6"/>
        <v>5904521.07</v>
      </c>
      <c r="U205" s="13">
        <f t="shared" si="7"/>
        <v>307005.44</v>
      </c>
      <c r="V205" s="13">
        <f t="shared" si="8"/>
        <v>5597515.63</v>
      </c>
      <c r="W205" s="14">
        <f>Q205/totals!B$2</f>
        <v>0.001378691844</v>
      </c>
      <c r="X205" s="14">
        <f t="shared" si="9"/>
        <v>0.1415966854</v>
      </c>
      <c r="Y205" s="14">
        <f>T205/totals!B$5</f>
        <v>0.003468902565</v>
      </c>
      <c r="Z205" s="14">
        <f t="shared" si="10"/>
        <v>0.1435894159</v>
      </c>
      <c r="AA205" s="14">
        <f>V205/totals!B$4</f>
        <v>0.01116131114</v>
      </c>
      <c r="AB205" s="14">
        <f t="shared" si="11"/>
        <v>0.1439021118</v>
      </c>
    </row>
    <row r="206">
      <c r="A206" s="7">
        <v>2455.0</v>
      </c>
      <c r="B206" s="7" t="str">
        <f>VLOOKUP($A206,product_category,2, False)</f>
        <v>Clothes</v>
      </c>
      <c r="C206" s="7">
        <v>2.33709084E8</v>
      </c>
      <c r="D206" s="9">
        <v>41910.0</v>
      </c>
      <c r="E206" s="10">
        <f t="shared" si="1"/>
        <v>9</v>
      </c>
      <c r="F206" s="10" t="str">
        <f t="shared" si="2"/>
        <v>Sep</v>
      </c>
      <c r="G206" s="11">
        <f t="shared" si="3"/>
        <v>28</v>
      </c>
      <c r="H206" s="7">
        <f t="shared" si="4"/>
        <v>2014</v>
      </c>
      <c r="I206" s="9">
        <v>41928.0</v>
      </c>
      <c r="J206" s="11">
        <f t="shared" si="5"/>
        <v>18</v>
      </c>
      <c r="K206" s="7" t="s">
        <v>110</v>
      </c>
      <c r="L206" s="7" t="s">
        <v>432</v>
      </c>
      <c r="M206" s="7" t="str">
        <f>VLOOKUP(L206,countries, 2,false)</f>
        <v>Latvia</v>
      </c>
      <c r="N206" s="7" t="str">
        <f>VLOOKUP(L206,countries, 4,false)</f>
        <v>Europe</v>
      </c>
      <c r="O206" s="7" t="str">
        <f>VLOOKUP(L206,countries, 5,false)</f>
        <v>Northern Europe</v>
      </c>
      <c r="P206" s="7" t="s">
        <v>212</v>
      </c>
      <c r="Q206" s="7">
        <v>8566.0</v>
      </c>
      <c r="R206" s="12">
        <v>109.28</v>
      </c>
      <c r="S206" s="12">
        <v>35.84</v>
      </c>
      <c r="T206" s="13">
        <f t="shared" si="6"/>
        <v>936092.48</v>
      </c>
      <c r="U206" s="13">
        <f t="shared" si="7"/>
        <v>2315197.36</v>
      </c>
      <c r="V206" s="13">
        <f t="shared" si="8"/>
        <v>-1379104.88</v>
      </c>
      <c r="W206" s="14">
        <f>Q206/totals!B$2</f>
        <v>0.001302511783</v>
      </c>
      <c r="X206" s="14">
        <f t="shared" si="9"/>
        <v>0.1428991972</v>
      </c>
      <c r="Y206" s="14">
        <f>T206/totals!B$5</f>
        <v>0.000549953767</v>
      </c>
      <c r="Z206" s="14">
        <f t="shared" si="10"/>
        <v>0.1441393697</v>
      </c>
      <c r="AA206" s="14">
        <f>V206/totals!B$4</f>
        <v>-0.002749901864</v>
      </c>
      <c r="AB206" s="14">
        <f t="shared" si="11"/>
        <v>0.1411522099</v>
      </c>
    </row>
    <row r="207">
      <c r="A207" s="7">
        <v>8293.0</v>
      </c>
      <c r="B207" s="7" t="str">
        <f>VLOOKUP($A207,product_category,2, False)</f>
        <v>Cosmetics</v>
      </c>
      <c r="C207" s="7">
        <v>2.33811223E8</v>
      </c>
      <c r="D207" s="9">
        <v>42936.0</v>
      </c>
      <c r="E207" s="10">
        <f t="shared" si="1"/>
        <v>7</v>
      </c>
      <c r="F207" s="10" t="str">
        <f t="shared" si="2"/>
        <v>Jul</v>
      </c>
      <c r="G207" s="11">
        <f t="shared" si="3"/>
        <v>20</v>
      </c>
      <c r="H207" s="7">
        <f t="shared" si="4"/>
        <v>2017</v>
      </c>
      <c r="I207" s="9">
        <v>42936.0</v>
      </c>
      <c r="J207" s="11">
        <f t="shared" si="5"/>
        <v>0</v>
      </c>
      <c r="K207" s="7" t="s">
        <v>198</v>
      </c>
      <c r="L207" s="7" t="s">
        <v>705</v>
      </c>
      <c r="M207" s="7" t="str">
        <f>VLOOKUP(L207,countries, 2,false)</f>
        <v>Switzerland</v>
      </c>
      <c r="N207" s="7" t="str">
        <f>VLOOKUP(L207,countries, 4,false)</f>
        <v>Europe</v>
      </c>
      <c r="O207" s="7" t="str">
        <f>VLOOKUP(L207,countries, 5,false)</f>
        <v>Western Europe</v>
      </c>
      <c r="P207" s="7" t="s">
        <v>129</v>
      </c>
      <c r="Q207" s="7">
        <v>8792.0</v>
      </c>
      <c r="R207" s="12">
        <v>437.2</v>
      </c>
      <c r="S207" s="12">
        <v>263.33</v>
      </c>
      <c r="T207" s="13">
        <f t="shared" si="6"/>
        <v>3843862.4</v>
      </c>
      <c r="U207" s="13">
        <f t="shared" si="7"/>
        <v>324459.52</v>
      </c>
      <c r="V207" s="13">
        <f t="shared" si="8"/>
        <v>3519402.88</v>
      </c>
      <c r="W207" s="14">
        <f>Q207/totals!B$2</f>
        <v>0.001336876441</v>
      </c>
      <c r="X207" s="14">
        <f t="shared" si="9"/>
        <v>0.1442360736</v>
      </c>
      <c r="Y207" s="14">
        <f>T207/totals!B$5</f>
        <v>0.00225826684</v>
      </c>
      <c r="Z207" s="14">
        <f t="shared" si="10"/>
        <v>0.1463976365</v>
      </c>
      <c r="AA207" s="14">
        <f>V207/totals!B$4</f>
        <v>0.007017604447</v>
      </c>
      <c r="AB207" s="14">
        <f t="shared" si="11"/>
        <v>0.1481698144</v>
      </c>
    </row>
    <row r="208">
      <c r="A208" s="7">
        <v>2455.0</v>
      </c>
      <c r="B208" s="7" t="str">
        <f>VLOOKUP($A208,product_category,2, False)</f>
        <v>Clothes</v>
      </c>
      <c r="C208" s="7">
        <v>2.34082448E8</v>
      </c>
      <c r="D208" s="9">
        <v>41707.0</v>
      </c>
      <c r="E208" s="10">
        <f t="shared" si="1"/>
        <v>3</v>
      </c>
      <c r="F208" s="10" t="str">
        <f t="shared" si="2"/>
        <v>Mar</v>
      </c>
      <c r="G208" s="11">
        <f t="shared" si="3"/>
        <v>9</v>
      </c>
      <c r="H208" s="7">
        <f t="shared" si="4"/>
        <v>2014</v>
      </c>
      <c r="I208" s="9">
        <v>41707.0</v>
      </c>
      <c r="J208" s="11">
        <f t="shared" si="5"/>
        <v>0</v>
      </c>
      <c r="K208" s="7" t="s">
        <v>198</v>
      </c>
      <c r="L208" s="7" t="s">
        <v>323</v>
      </c>
      <c r="M208" s="7" t="str">
        <f>VLOOKUP(L208,countries, 2,false)</f>
        <v>Montenegro</v>
      </c>
      <c r="N208" s="7" t="str">
        <f>VLOOKUP(L208,countries, 4,false)</f>
        <v>Europe</v>
      </c>
      <c r="O208" s="7" t="str">
        <f>VLOOKUP(L208,countries, 5,false)</f>
        <v>Southern Europe</v>
      </c>
      <c r="P208" s="7" t="s">
        <v>129</v>
      </c>
      <c r="Q208" s="7">
        <v>9053.0</v>
      </c>
      <c r="R208" s="12">
        <v>109.28</v>
      </c>
      <c r="S208" s="12">
        <v>35.84</v>
      </c>
      <c r="T208" s="13">
        <f t="shared" si="6"/>
        <v>989311.84</v>
      </c>
      <c r="U208" s="13">
        <f t="shared" si="7"/>
        <v>4747738.24</v>
      </c>
      <c r="V208" s="13">
        <f t="shared" si="8"/>
        <v>-3758426.4</v>
      </c>
      <c r="W208" s="14">
        <f>Q208/totals!B$2</f>
        <v>0.00137656306</v>
      </c>
      <c r="X208" s="14">
        <f t="shared" si="9"/>
        <v>0.1456126367</v>
      </c>
      <c r="Y208" s="14">
        <f>T208/totals!B$5</f>
        <v>0.0005812201089</v>
      </c>
      <c r="Z208" s="14">
        <f t="shared" si="10"/>
        <v>0.1469788566</v>
      </c>
      <c r="AA208" s="14">
        <f>V208/totals!B$4</f>
        <v>-0.00749421158</v>
      </c>
      <c r="AB208" s="14">
        <f t="shared" si="11"/>
        <v>0.1406756028</v>
      </c>
    </row>
    <row r="209">
      <c r="A209" s="7">
        <v>8681.0</v>
      </c>
      <c r="B209" s="7" t="str">
        <f>VLOOKUP($A209,product_category,2, False)</f>
        <v>Office Supplies</v>
      </c>
      <c r="C209" s="7">
        <v>2.36042392E8</v>
      </c>
      <c r="D209" s="9">
        <v>41627.0</v>
      </c>
      <c r="E209" s="10">
        <f t="shared" si="1"/>
        <v>12</v>
      </c>
      <c r="F209" s="10" t="str">
        <f t="shared" si="2"/>
        <v>Dec</v>
      </c>
      <c r="G209" s="11">
        <f t="shared" si="3"/>
        <v>19</v>
      </c>
      <c r="H209" s="7">
        <f t="shared" si="4"/>
        <v>2013</v>
      </c>
      <c r="I209" s="9">
        <v>41665.0</v>
      </c>
      <c r="J209" s="11">
        <f t="shared" si="5"/>
        <v>38</v>
      </c>
      <c r="K209" s="7" t="s">
        <v>382</v>
      </c>
      <c r="L209" s="7" t="s">
        <v>307</v>
      </c>
      <c r="M209" s="7" t="str">
        <f>VLOOKUP(L209,countries, 2,false)</f>
        <v>Germany</v>
      </c>
      <c r="N209" s="7" t="str">
        <f>VLOOKUP(L209,countries, 4,false)</f>
        <v>Europe</v>
      </c>
      <c r="O209" s="7" t="str">
        <f>VLOOKUP(L209,countries, 5,false)</f>
        <v>Western Europe</v>
      </c>
      <c r="P209" s="7" t="s">
        <v>212</v>
      </c>
      <c r="Q209" s="7">
        <v>9044.0</v>
      </c>
      <c r="R209" s="12">
        <v>651.21</v>
      </c>
      <c r="S209" s="12">
        <v>524.96</v>
      </c>
      <c r="T209" s="13">
        <f t="shared" si="6"/>
        <v>5889543.24</v>
      </c>
      <c r="U209" s="13">
        <f t="shared" si="7"/>
        <v>284329.76</v>
      </c>
      <c r="V209" s="13">
        <f t="shared" si="8"/>
        <v>5605213.48</v>
      </c>
      <c r="W209" s="14">
        <f>Q209/totals!B$2</f>
        <v>0.001375194556</v>
      </c>
      <c r="X209" s="14">
        <f t="shared" si="9"/>
        <v>0.1469878313</v>
      </c>
      <c r="Y209" s="14">
        <f>T209/totals!B$5</f>
        <v>0.003460103099</v>
      </c>
      <c r="Z209" s="14">
        <f t="shared" si="10"/>
        <v>0.1504389597</v>
      </c>
      <c r="AA209" s="14">
        <f>V209/totals!B$4</f>
        <v>0.01117666047</v>
      </c>
      <c r="AB209" s="14">
        <f t="shared" si="11"/>
        <v>0.1518522632</v>
      </c>
    </row>
    <row r="210">
      <c r="A210" s="7">
        <v>1270.0</v>
      </c>
      <c r="B210" s="7" t="str">
        <f>VLOOKUP($A210,product_category,2, False)</f>
        <v>Beverages</v>
      </c>
      <c r="C210" s="7">
        <v>2.38170993E8</v>
      </c>
      <c r="D210" s="9">
        <v>41265.0</v>
      </c>
      <c r="E210" s="10">
        <f t="shared" si="1"/>
        <v>12</v>
      </c>
      <c r="F210" s="10" t="str">
        <f t="shared" si="2"/>
        <v>Dec</v>
      </c>
      <c r="G210" s="11">
        <f t="shared" si="3"/>
        <v>22</v>
      </c>
      <c r="H210" s="7">
        <f t="shared" si="4"/>
        <v>2012</v>
      </c>
      <c r="I210" s="9">
        <v>41312.0</v>
      </c>
      <c r="J210" s="11">
        <f t="shared" si="5"/>
        <v>47</v>
      </c>
      <c r="K210" s="7" t="s">
        <v>322</v>
      </c>
      <c r="L210" s="7" t="s">
        <v>111</v>
      </c>
      <c r="M210" s="7" t="str">
        <f>VLOOKUP(L210,countries, 2,false)</f>
        <v>Norway</v>
      </c>
      <c r="N210" s="7" t="str">
        <f>VLOOKUP(L210,countries, 4,false)</f>
        <v>Europe</v>
      </c>
      <c r="O210" s="7" t="str">
        <f>VLOOKUP(L210,countries, 5,false)</f>
        <v>Northern Europe</v>
      </c>
      <c r="P210" s="7" t="s">
        <v>212</v>
      </c>
      <c r="Q210" s="7">
        <v>8944.0</v>
      </c>
      <c r="R210" s="12">
        <v>47.45</v>
      </c>
      <c r="S210" s="12">
        <v>31.79</v>
      </c>
      <c r="T210" s="13">
        <f t="shared" si="6"/>
        <v>424392.8</v>
      </c>
      <c r="U210" s="13">
        <f t="shared" si="7"/>
        <v>490252.17</v>
      </c>
      <c r="V210" s="13">
        <f t="shared" si="8"/>
        <v>-65859.37</v>
      </c>
      <c r="W210" s="14">
        <f>Q210/totals!B$2</f>
        <v>0.001359988955</v>
      </c>
      <c r="X210" s="14">
        <f t="shared" si="9"/>
        <v>0.1483478202</v>
      </c>
      <c r="Y210" s="14">
        <f>T210/totals!B$5</f>
        <v>0.0002493305139</v>
      </c>
      <c r="Z210" s="14">
        <f t="shared" si="10"/>
        <v>0.1506882902</v>
      </c>
      <c r="AA210" s="14">
        <f>V210/totals!B$4</f>
        <v>-0.0001313219951</v>
      </c>
      <c r="AB210" s="14">
        <f t="shared" si="11"/>
        <v>0.1517209412</v>
      </c>
    </row>
    <row r="211">
      <c r="A211" s="7">
        <v>3127.0</v>
      </c>
      <c r="B211" s="7" t="str">
        <f>VLOOKUP($A211,product_category,2, False)</f>
        <v>Personal Care</v>
      </c>
      <c r="C211" s="7">
        <v>2.39048612E8</v>
      </c>
      <c r="D211" s="9">
        <v>42568.0</v>
      </c>
      <c r="E211" s="10">
        <f t="shared" si="1"/>
        <v>7</v>
      </c>
      <c r="F211" s="10" t="str">
        <f t="shared" si="2"/>
        <v>Jul</v>
      </c>
      <c r="G211" s="11">
        <f t="shared" si="3"/>
        <v>17</v>
      </c>
      <c r="H211" s="7">
        <f t="shared" si="4"/>
        <v>2016</v>
      </c>
      <c r="I211" s="9">
        <v>42577.0</v>
      </c>
      <c r="J211" s="11">
        <f t="shared" si="5"/>
        <v>9</v>
      </c>
      <c r="K211" s="7" t="s">
        <v>322</v>
      </c>
      <c r="L211" s="7" t="s">
        <v>642</v>
      </c>
      <c r="M211" s="7" t="str">
        <f>VLOOKUP(L211,countries, 2,false)</f>
        <v>San Marino</v>
      </c>
      <c r="N211" s="7" t="str">
        <f>VLOOKUP(L211,countries, 4,false)</f>
        <v>Europe</v>
      </c>
      <c r="O211" s="7" t="str">
        <f>VLOOKUP(L211,countries, 5,false)</f>
        <v>Southern Europe</v>
      </c>
      <c r="P211" s="7" t="s">
        <v>129</v>
      </c>
      <c r="Q211" s="7">
        <v>8651.0</v>
      </c>
      <c r="R211" s="12">
        <v>81.73</v>
      </c>
      <c r="S211" s="12">
        <v>56.67</v>
      </c>
      <c r="T211" s="13">
        <f t="shared" si="6"/>
        <v>707046.23</v>
      </c>
      <c r="U211" s="13">
        <f t="shared" si="7"/>
        <v>4513081.12</v>
      </c>
      <c r="V211" s="13">
        <f t="shared" si="8"/>
        <v>-3806034.89</v>
      </c>
      <c r="W211" s="14">
        <f>Q211/totals!B$2</f>
        <v>0.001315436544</v>
      </c>
      <c r="X211" s="14">
        <f t="shared" si="9"/>
        <v>0.1496632568</v>
      </c>
      <c r="Y211" s="14">
        <f>T211/totals!B$5</f>
        <v>0.0004153892334</v>
      </c>
      <c r="Z211" s="14">
        <f t="shared" si="10"/>
        <v>0.1511036795</v>
      </c>
      <c r="AA211" s="14">
        <f>V211/totals!B$4</f>
        <v>-0.007589141761</v>
      </c>
      <c r="AB211" s="14">
        <f t="shared" si="11"/>
        <v>0.1441317995</v>
      </c>
    </row>
    <row r="212">
      <c r="A212" s="7">
        <v>8681.0</v>
      </c>
      <c r="B212" s="7" t="str">
        <f>VLOOKUP($A212,product_category,2, False)</f>
        <v>Office Supplies</v>
      </c>
      <c r="C212" s="7">
        <v>2.39386355E8</v>
      </c>
      <c r="D212" s="9">
        <v>42798.0</v>
      </c>
      <c r="E212" s="10">
        <f t="shared" si="1"/>
        <v>3</v>
      </c>
      <c r="F212" s="10" t="str">
        <f t="shared" si="2"/>
        <v>Mar</v>
      </c>
      <c r="G212" s="11">
        <f t="shared" si="3"/>
        <v>4</v>
      </c>
      <c r="H212" s="7">
        <f t="shared" si="4"/>
        <v>2017</v>
      </c>
      <c r="I212" s="9">
        <v>42845.0</v>
      </c>
      <c r="J212" s="11">
        <f t="shared" si="5"/>
        <v>47</v>
      </c>
      <c r="K212" s="7" t="s">
        <v>322</v>
      </c>
      <c r="L212" s="7" t="s">
        <v>642</v>
      </c>
      <c r="M212" s="7" t="str">
        <f>VLOOKUP(L212,countries, 2,false)</f>
        <v>San Marino</v>
      </c>
      <c r="N212" s="7" t="str">
        <f>VLOOKUP(L212,countries, 4,false)</f>
        <v>Europe</v>
      </c>
      <c r="O212" s="7" t="str">
        <f>VLOOKUP(L212,countries, 5,false)</f>
        <v>Southern Europe</v>
      </c>
      <c r="P212" s="7" t="s">
        <v>212</v>
      </c>
      <c r="Q212" s="7">
        <v>8597.0</v>
      </c>
      <c r="R212" s="12">
        <v>651.21</v>
      </c>
      <c r="S212" s="12">
        <v>524.96</v>
      </c>
      <c r="T212" s="13">
        <f t="shared" si="6"/>
        <v>5598452.37</v>
      </c>
      <c r="U212" s="13">
        <f t="shared" si="7"/>
        <v>4332494.88</v>
      </c>
      <c r="V212" s="13">
        <f t="shared" si="8"/>
        <v>1265957.49</v>
      </c>
      <c r="W212" s="14">
        <f>Q212/totals!B$2</f>
        <v>0.001307225519</v>
      </c>
      <c r="X212" s="14">
        <f t="shared" si="9"/>
        <v>0.1509704823</v>
      </c>
      <c r="Y212" s="14">
        <f>T212/totals!B$5</f>
        <v>0.003289087388</v>
      </c>
      <c r="Z212" s="14">
        <f t="shared" si="10"/>
        <v>0.1543927669</v>
      </c>
      <c r="AA212" s="14">
        <f>V212/totals!B$4</f>
        <v>0.002524288697</v>
      </c>
      <c r="AB212" s="14">
        <f t="shared" si="11"/>
        <v>0.1466560882</v>
      </c>
    </row>
    <row r="213">
      <c r="A213" s="7">
        <v>8681.0</v>
      </c>
      <c r="B213" s="7" t="str">
        <f>VLOOKUP($A213,product_category,2, False)</f>
        <v>Office Supplies</v>
      </c>
      <c r="C213" s="7">
        <v>2.39554154E8</v>
      </c>
      <c r="D213" s="9">
        <v>40926.0</v>
      </c>
      <c r="E213" s="10">
        <f t="shared" si="1"/>
        <v>1</v>
      </c>
      <c r="F213" s="10" t="str">
        <f t="shared" si="2"/>
        <v>Jan</v>
      </c>
      <c r="G213" s="11">
        <f t="shared" si="3"/>
        <v>18</v>
      </c>
      <c r="H213" s="7">
        <f t="shared" si="4"/>
        <v>2012</v>
      </c>
      <c r="I213" s="9">
        <v>40952.0</v>
      </c>
      <c r="J213" s="11">
        <f t="shared" si="5"/>
        <v>26</v>
      </c>
      <c r="K213" s="7" t="s">
        <v>322</v>
      </c>
      <c r="L213" s="7" t="s">
        <v>367</v>
      </c>
      <c r="M213" s="7" t="str">
        <f>VLOOKUP(L213,countries, 2,false)</f>
        <v>Iceland</v>
      </c>
      <c r="N213" s="7" t="str">
        <f>VLOOKUP(L213,countries, 4,false)</f>
        <v>Europe</v>
      </c>
      <c r="O213" s="7" t="str">
        <f>VLOOKUP(L213,countries, 5,false)</f>
        <v>Northern Europe</v>
      </c>
      <c r="P213" s="7" t="s">
        <v>212</v>
      </c>
      <c r="Q213" s="7">
        <v>8253.0</v>
      </c>
      <c r="R213" s="12">
        <v>651.21</v>
      </c>
      <c r="S213" s="12">
        <v>524.96</v>
      </c>
      <c r="T213" s="13">
        <f t="shared" si="6"/>
        <v>5374436.13</v>
      </c>
      <c r="U213" s="13">
        <f t="shared" si="7"/>
        <v>1157852.16</v>
      </c>
      <c r="V213" s="13">
        <f t="shared" si="8"/>
        <v>4216583.97</v>
      </c>
      <c r="W213" s="14">
        <f>Q213/totals!B$2</f>
        <v>0.001254918252</v>
      </c>
      <c r="X213" s="14">
        <f t="shared" si="9"/>
        <v>0.1522254005</v>
      </c>
      <c r="Y213" s="14">
        <f>T213/totals!B$5</f>
        <v>0.003157477983</v>
      </c>
      <c r="Z213" s="14">
        <f t="shared" si="10"/>
        <v>0.1575502448</v>
      </c>
      <c r="AA213" s="14">
        <f>V213/totals!B$4</f>
        <v>0.008407766723</v>
      </c>
      <c r="AB213" s="14">
        <f t="shared" si="11"/>
        <v>0.1550638549</v>
      </c>
    </row>
    <row r="214">
      <c r="A214" s="7">
        <v>7940.0</v>
      </c>
      <c r="B214" s="7" t="str">
        <f>VLOOKUP($A214,product_category,2, False)</f>
        <v>Household</v>
      </c>
      <c r="C214" s="7">
        <v>2.41392648E8</v>
      </c>
      <c r="D214" s="9">
        <v>42788.0</v>
      </c>
      <c r="E214" s="10">
        <f t="shared" si="1"/>
        <v>2</v>
      </c>
      <c r="F214" s="10" t="str">
        <f t="shared" si="2"/>
        <v>Feb</v>
      </c>
      <c r="G214" s="11">
        <f t="shared" si="3"/>
        <v>22</v>
      </c>
      <c r="H214" s="7">
        <f t="shared" si="4"/>
        <v>2017</v>
      </c>
      <c r="I214" s="9">
        <v>42810.0</v>
      </c>
      <c r="J214" s="11">
        <f t="shared" si="5"/>
        <v>22</v>
      </c>
      <c r="K214" s="7" t="s">
        <v>382</v>
      </c>
      <c r="L214" s="7" t="s">
        <v>460</v>
      </c>
      <c r="M214" s="7" t="str">
        <f>VLOOKUP(L214,countries, 2,false)</f>
        <v>Macedonia</v>
      </c>
      <c r="N214" s="7" t="str">
        <f>VLOOKUP(L214,countries, 4,false)</f>
        <v>Europe</v>
      </c>
      <c r="O214" s="7" t="str">
        <f>VLOOKUP(L214,countries, 5,false)</f>
        <v>Southern Europe</v>
      </c>
      <c r="P214" s="7" t="s">
        <v>129</v>
      </c>
      <c r="Q214" s="7">
        <v>2304.0</v>
      </c>
      <c r="R214" s="12">
        <v>668.27</v>
      </c>
      <c r="S214" s="12">
        <v>502.54</v>
      </c>
      <c r="T214" s="13">
        <f t="shared" si="6"/>
        <v>1539694.08</v>
      </c>
      <c r="U214" s="13">
        <f t="shared" si="7"/>
        <v>56745.15</v>
      </c>
      <c r="V214" s="13">
        <f t="shared" si="8"/>
        <v>1482948.93</v>
      </c>
      <c r="W214" s="14">
        <f>Q214/totals!B$2</f>
        <v>0.0003503370474</v>
      </c>
      <c r="X214" s="14">
        <f t="shared" si="9"/>
        <v>0.1525757376</v>
      </c>
      <c r="Y214" s="14">
        <f>T214/totals!B$5</f>
        <v>0.0009045693427</v>
      </c>
      <c r="Z214" s="14">
        <f t="shared" si="10"/>
        <v>0.1584548142</v>
      </c>
      <c r="AA214" s="14">
        <f>V214/totals!B$4</f>
        <v>0.002956964394</v>
      </c>
      <c r="AB214" s="14">
        <f t="shared" si="11"/>
        <v>0.1580208193</v>
      </c>
    </row>
    <row r="215">
      <c r="A215" s="7">
        <v>1270.0</v>
      </c>
      <c r="B215" s="7" t="str">
        <f>VLOOKUP($A215,product_category,2, False)</f>
        <v>Beverages</v>
      </c>
      <c r="C215" s="7">
        <v>2.42168128E8</v>
      </c>
      <c r="D215" s="9">
        <v>40300.0</v>
      </c>
      <c r="E215" s="10">
        <f t="shared" si="1"/>
        <v>5</v>
      </c>
      <c r="F215" s="10" t="str">
        <f t="shared" si="2"/>
        <v>May</v>
      </c>
      <c r="G215" s="11">
        <f t="shared" si="3"/>
        <v>2</v>
      </c>
      <c r="H215" s="7">
        <f t="shared" si="4"/>
        <v>2010</v>
      </c>
      <c r="I215" s="9">
        <v>40301.0</v>
      </c>
      <c r="J215" s="11">
        <f t="shared" si="5"/>
        <v>1</v>
      </c>
      <c r="K215" s="7" t="s">
        <v>110</v>
      </c>
      <c r="L215" s="7" t="s">
        <v>234</v>
      </c>
      <c r="M215" s="7" t="str">
        <f>VLOOKUP(L215,countries, 2,false)</f>
        <v>Czech Republic</v>
      </c>
      <c r="N215" s="7" t="str">
        <f>VLOOKUP(L215,countries, 4,false)</f>
        <v>Europe</v>
      </c>
      <c r="O215" s="7" t="str">
        <f>VLOOKUP(L215,countries, 5,false)</f>
        <v>Eastern Europe</v>
      </c>
      <c r="P215" s="7" t="s">
        <v>129</v>
      </c>
      <c r="Q215" s="7">
        <v>1785.0</v>
      </c>
      <c r="R215" s="12">
        <v>47.45</v>
      </c>
      <c r="S215" s="12">
        <v>31.79</v>
      </c>
      <c r="T215" s="13">
        <f t="shared" si="6"/>
        <v>84698.25</v>
      </c>
      <c r="U215" s="13">
        <f t="shared" si="7"/>
        <v>4248.88</v>
      </c>
      <c r="V215" s="13">
        <f t="shared" si="8"/>
        <v>80449.37</v>
      </c>
      <c r="W215" s="14">
        <f>Q215/totals!B$2</f>
        <v>0.0002714199781</v>
      </c>
      <c r="X215" s="14">
        <f t="shared" si="9"/>
        <v>0.1528471576</v>
      </c>
      <c r="Y215" s="14">
        <f>T215/totals!B$5</f>
        <v>0.00004976017076</v>
      </c>
      <c r="Z215" s="14">
        <f t="shared" si="10"/>
        <v>0.1585045744</v>
      </c>
      <c r="AA215" s="14">
        <f>V215/totals!B$4</f>
        <v>0.0001604141032</v>
      </c>
      <c r="AB215" s="14">
        <f t="shared" si="11"/>
        <v>0.1581812334</v>
      </c>
    </row>
    <row r="216">
      <c r="A216" s="7">
        <v>4594.0</v>
      </c>
      <c r="B216" s="7" t="str">
        <f>VLOOKUP($A216,product_category,2, False)</f>
        <v>Fruits</v>
      </c>
      <c r="C216" s="7">
        <v>2.42265546E8</v>
      </c>
      <c r="D216" s="9">
        <v>40883.0</v>
      </c>
      <c r="E216" s="10">
        <f t="shared" si="1"/>
        <v>12</v>
      </c>
      <c r="F216" s="10" t="str">
        <f t="shared" si="2"/>
        <v>Dec</v>
      </c>
      <c r="G216" s="11">
        <f t="shared" si="3"/>
        <v>6</v>
      </c>
      <c r="H216" s="7">
        <f t="shared" si="4"/>
        <v>2011</v>
      </c>
      <c r="I216" s="9">
        <v>40915.0</v>
      </c>
      <c r="J216" s="11">
        <f t="shared" si="5"/>
        <v>32</v>
      </c>
      <c r="K216" s="7" t="s">
        <v>322</v>
      </c>
      <c r="L216" s="7" t="s">
        <v>454</v>
      </c>
      <c r="M216" s="7" t="str">
        <f>VLOOKUP(L216,countries, 2,false)</f>
        <v>Luxembourg</v>
      </c>
      <c r="N216" s="7" t="str">
        <f>VLOOKUP(L216,countries, 4,false)</f>
        <v>Europe</v>
      </c>
      <c r="O216" s="7" t="str">
        <f>VLOOKUP(L216,countries, 5,false)</f>
        <v>Western Europe</v>
      </c>
      <c r="P216" s="7" t="s">
        <v>212</v>
      </c>
      <c r="Q216" s="7">
        <v>614.0</v>
      </c>
      <c r="R216" s="12">
        <v>9.33</v>
      </c>
      <c r="S216" s="12">
        <v>6.92</v>
      </c>
      <c r="T216" s="13">
        <f t="shared" si="6"/>
        <v>5728.62</v>
      </c>
      <c r="U216" s="13">
        <f t="shared" si="7"/>
        <v>4650095.68</v>
      </c>
      <c r="V216" s="13">
        <f t="shared" si="8"/>
        <v>-4644367.06</v>
      </c>
      <c r="W216" s="14">
        <f>Q216/totals!B$2</f>
        <v>0.00009336239022</v>
      </c>
      <c r="X216" s="14">
        <f t="shared" si="9"/>
        <v>0.1529405199</v>
      </c>
      <c r="Y216" s="14">
        <f>T216/totals!B$5</f>
        <v>0.000003365560792</v>
      </c>
      <c r="Z216" s="14">
        <f t="shared" si="10"/>
        <v>0.1585079399</v>
      </c>
      <c r="AA216" s="14">
        <f>V216/totals!B$4</f>
        <v>-0.009260755885</v>
      </c>
      <c r="AB216" s="14">
        <f t="shared" si="11"/>
        <v>0.1489204775</v>
      </c>
    </row>
    <row r="217">
      <c r="A217" s="7">
        <v>8681.0</v>
      </c>
      <c r="B217" s="7" t="str">
        <f>VLOOKUP($A217,product_category,2, False)</f>
        <v>Office Supplies</v>
      </c>
      <c r="C217" s="7">
        <v>2.43070638E8</v>
      </c>
      <c r="D217" s="9">
        <v>40668.0</v>
      </c>
      <c r="E217" s="10">
        <f t="shared" si="1"/>
        <v>5</v>
      </c>
      <c r="F217" s="10" t="str">
        <f t="shared" si="2"/>
        <v>May</v>
      </c>
      <c r="G217" s="11">
        <f t="shared" si="3"/>
        <v>5</v>
      </c>
      <c r="H217" s="7">
        <f t="shared" si="4"/>
        <v>2011</v>
      </c>
      <c r="I217" s="9">
        <v>40685.0</v>
      </c>
      <c r="J217" s="11">
        <f t="shared" si="5"/>
        <v>17</v>
      </c>
      <c r="K217" s="7" t="s">
        <v>110</v>
      </c>
      <c r="L217" s="7" t="s">
        <v>478</v>
      </c>
      <c r="M217" s="7" t="str">
        <f>VLOOKUP(L217,countries, 2,false)</f>
        <v>Malta</v>
      </c>
      <c r="N217" s="7" t="str">
        <f>VLOOKUP(L217,countries, 4,false)</f>
        <v>Europe</v>
      </c>
      <c r="O217" s="7" t="str">
        <f>VLOOKUP(L217,countries, 5,false)</f>
        <v>Southern Europe</v>
      </c>
      <c r="P217" s="7" t="s">
        <v>212</v>
      </c>
      <c r="Q217" s="7">
        <v>8858.0</v>
      </c>
      <c r="R217" s="12">
        <v>651.21</v>
      </c>
      <c r="S217" s="12">
        <v>524.96</v>
      </c>
      <c r="T217" s="13">
        <f t="shared" si="6"/>
        <v>5768418.18</v>
      </c>
      <c r="U217" s="13">
        <f t="shared" si="7"/>
        <v>82094.11</v>
      </c>
      <c r="V217" s="13">
        <f t="shared" si="8"/>
        <v>5686324.07</v>
      </c>
      <c r="W217" s="14">
        <f>Q217/totals!B$2</f>
        <v>0.001346912138</v>
      </c>
      <c r="X217" s="14">
        <f t="shared" si="9"/>
        <v>0.1542874321</v>
      </c>
      <c r="Y217" s="14">
        <f>T217/totals!B$5</f>
        <v>0.003388942199</v>
      </c>
      <c r="Z217" s="14">
        <f t="shared" si="10"/>
        <v>0.1618968821</v>
      </c>
      <c r="AA217" s="14">
        <f>V217/totals!B$4</f>
        <v>0.01133839303</v>
      </c>
      <c r="AB217" s="14">
        <f t="shared" si="11"/>
        <v>0.1602588706</v>
      </c>
    </row>
    <row r="218">
      <c r="A218" s="7">
        <v>2103.0</v>
      </c>
      <c r="B218" s="7" t="str">
        <f>VLOOKUP($A218,product_category,2, False)</f>
        <v>Cereal</v>
      </c>
      <c r="C218" s="7">
        <v>2.43144452E8</v>
      </c>
      <c r="D218" s="9">
        <v>41804.0</v>
      </c>
      <c r="E218" s="10">
        <f t="shared" si="1"/>
        <v>6</v>
      </c>
      <c r="F218" s="10" t="str">
        <f t="shared" si="2"/>
        <v>Jun</v>
      </c>
      <c r="G218" s="11">
        <f t="shared" si="3"/>
        <v>14</v>
      </c>
      <c r="H218" s="7">
        <f t="shared" si="4"/>
        <v>2014</v>
      </c>
      <c r="I218" s="9">
        <v>41836.0</v>
      </c>
      <c r="J218" s="11">
        <f t="shared" si="5"/>
        <v>32</v>
      </c>
      <c r="K218" s="7" t="s">
        <v>382</v>
      </c>
      <c r="L218" s="7" t="s">
        <v>304</v>
      </c>
      <c r="M218" s="7" t="str">
        <f>VLOOKUP(L218,countries, 2,false)</f>
        <v>Georgia</v>
      </c>
      <c r="N218" s="7" t="str">
        <f>VLOOKUP(L218,countries, 4,false)</f>
        <v>Asia</v>
      </c>
      <c r="O218" s="7" t="str">
        <f>VLOOKUP(L218,countries, 5,false)</f>
        <v>Western Asia</v>
      </c>
      <c r="P218" s="7" t="s">
        <v>129</v>
      </c>
      <c r="Q218" s="7">
        <v>701.0</v>
      </c>
      <c r="R218" s="12">
        <v>205.7</v>
      </c>
      <c r="S218" s="12">
        <v>117.11</v>
      </c>
      <c r="T218" s="13">
        <f t="shared" si="6"/>
        <v>144195.7</v>
      </c>
      <c r="U218" s="13">
        <f t="shared" si="7"/>
        <v>157614.82</v>
      </c>
      <c r="V218" s="13">
        <f t="shared" si="8"/>
        <v>-13419.12</v>
      </c>
      <c r="W218" s="14">
        <f>Q218/totals!B$2</f>
        <v>0.0001065912631</v>
      </c>
      <c r="X218" s="14">
        <f t="shared" si="9"/>
        <v>0.1543940233</v>
      </c>
      <c r="Y218" s="14">
        <f>T218/totals!B$5</f>
        <v>0.00008471488672</v>
      </c>
      <c r="Z218" s="14">
        <f t="shared" si="10"/>
        <v>0.161981597</v>
      </c>
      <c r="AA218" s="14">
        <f>V218/totals!B$4</f>
        <v>-0.00002675740158</v>
      </c>
      <c r="AB218" s="14">
        <f t="shared" si="11"/>
        <v>0.1602321131</v>
      </c>
    </row>
    <row r="219">
      <c r="A219" s="7">
        <v>1270.0</v>
      </c>
      <c r="B219" s="7" t="str">
        <f>VLOOKUP($A219,product_category,2, False)</f>
        <v>Beverages</v>
      </c>
      <c r="C219" s="7">
        <v>2.4322642E8</v>
      </c>
      <c r="D219" s="9">
        <v>41442.0</v>
      </c>
      <c r="E219" s="10">
        <f t="shared" si="1"/>
        <v>6</v>
      </c>
      <c r="F219" s="10" t="str">
        <f t="shared" si="2"/>
        <v>Jun</v>
      </c>
      <c r="G219" s="11">
        <f t="shared" si="3"/>
        <v>17</v>
      </c>
      <c r="H219" s="7">
        <f t="shared" si="4"/>
        <v>2013</v>
      </c>
      <c r="I219" s="9">
        <v>41458.0</v>
      </c>
      <c r="J219" s="11">
        <f t="shared" si="5"/>
        <v>16</v>
      </c>
      <c r="K219" s="7" t="s">
        <v>382</v>
      </c>
      <c r="L219" s="7" t="e">
        <v>#N/A</v>
      </c>
      <c r="M219" s="7"/>
      <c r="N219" s="7"/>
      <c r="O219" s="7"/>
      <c r="P219" s="7" t="s">
        <v>212</v>
      </c>
      <c r="Q219" s="7">
        <v>4958.0</v>
      </c>
      <c r="R219" s="12">
        <v>47.45</v>
      </c>
      <c r="S219" s="12">
        <v>31.79</v>
      </c>
      <c r="T219" s="13">
        <f t="shared" si="6"/>
        <v>235257.1</v>
      </c>
      <c r="U219" s="13">
        <f t="shared" si="7"/>
        <v>277812.81</v>
      </c>
      <c r="V219" s="13">
        <f t="shared" si="8"/>
        <v>-42555.71</v>
      </c>
      <c r="W219" s="14">
        <f>Q219/totals!B$2</f>
        <v>0.0007538936983</v>
      </c>
      <c r="X219" s="14">
        <f t="shared" si="9"/>
        <v>0.155147917</v>
      </c>
      <c r="Y219" s="14">
        <f>T219/totals!B$5</f>
        <v>0.0001382134043</v>
      </c>
      <c r="Z219" s="14">
        <f t="shared" si="10"/>
        <v>0.1621198104</v>
      </c>
      <c r="AA219" s="14">
        <f>V219/totals!B$4</f>
        <v>-0.0000848550592</v>
      </c>
      <c r="AB219" s="14">
        <f t="shared" si="11"/>
        <v>0.1601472581</v>
      </c>
    </row>
    <row r="220">
      <c r="A220" s="7">
        <v>1270.0</v>
      </c>
      <c r="B220" s="7" t="str">
        <f>VLOOKUP($A220,product_category,2, False)</f>
        <v>Beverages</v>
      </c>
      <c r="C220" s="7">
        <v>2.43340575E8</v>
      </c>
      <c r="D220" s="9">
        <v>42588.0</v>
      </c>
      <c r="E220" s="10">
        <f t="shared" si="1"/>
        <v>8</v>
      </c>
      <c r="F220" s="10" t="str">
        <f t="shared" si="2"/>
        <v>Aug</v>
      </c>
      <c r="G220" s="11">
        <f t="shared" si="3"/>
        <v>6</v>
      </c>
      <c r="H220" s="7">
        <f t="shared" si="4"/>
        <v>2016</v>
      </c>
      <c r="I220" s="9">
        <v>42617.0</v>
      </c>
      <c r="J220" s="11">
        <f t="shared" si="5"/>
        <v>29</v>
      </c>
      <c r="K220" s="7" t="s">
        <v>198</v>
      </c>
      <c r="L220" s="7" t="s">
        <v>323</v>
      </c>
      <c r="M220" s="7" t="str">
        <f>VLOOKUP(L220,countries, 2,false)</f>
        <v>Montenegro</v>
      </c>
      <c r="N220" s="7" t="str">
        <f>VLOOKUP(L220,countries, 4,false)</f>
        <v>Europe</v>
      </c>
      <c r="O220" s="7" t="str">
        <f>VLOOKUP(L220,countries, 5,false)</f>
        <v>Southern Europe</v>
      </c>
      <c r="P220" s="7" t="s">
        <v>212</v>
      </c>
      <c r="Q220" s="7">
        <v>8739.0</v>
      </c>
      <c r="R220" s="12">
        <v>47.45</v>
      </c>
      <c r="S220" s="12">
        <v>31.79</v>
      </c>
      <c r="T220" s="13">
        <f t="shared" si="6"/>
        <v>414665.55</v>
      </c>
      <c r="U220" s="13">
        <f t="shared" si="7"/>
        <v>218236.17</v>
      </c>
      <c r="V220" s="13">
        <f t="shared" si="8"/>
        <v>196429.38</v>
      </c>
      <c r="W220" s="14">
        <f>Q220/totals!B$2</f>
        <v>0.001328817473</v>
      </c>
      <c r="X220" s="14">
        <f t="shared" si="9"/>
        <v>0.1564767345</v>
      </c>
      <c r="Y220" s="14">
        <f>T220/totals!B$5</f>
        <v>0.0002436157604</v>
      </c>
      <c r="Z220" s="14">
        <f t="shared" si="10"/>
        <v>0.1623634262</v>
      </c>
      <c r="AA220" s="14">
        <f>V220/totals!B$4</f>
        <v>0.0003916754454</v>
      </c>
      <c r="AB220" s="14">
        <f t="shared" si="11"/>
        <v>0.1605389335</v>
      </c>
    </row>
    <row r="221">
      <c r="A221" s="7">
        <v>3127.0</v>
      </c>
      <c r="B221" s="7" t="str">
        <f>VLOOKUP($A221,product_category,2, False)</f>
        <v>Personal Care</v>
      </c>
      <c r="C221" s="7">
        <v>2.43391644E8</v>
      </c>
      <c r="D221" s="9">
        <v>40335.0</v>
      </c>
      <c r="E221" s="10">
        <f t="shared" si="1"/>
        <v>6</v>
      </c>
      <c r="F221" s="10" t="str">
        <f t="shared" si="2"/>
        <v>Jun</v>
      </c>
      <c r="G221" s="11">
        <f t="shared" si="3"/>
        <v>6</v>
      </c>
      <c r="H221" s="7">
        <f t="shared" si="4"/>
        <v>2010</v>
      </c>
      <c r="I221" s="9">
        <v>40356.0</v>
      </c>
      <c r="J221" s="11">
        <f t="shared" si="5"/>
        <v>21</v>
      </c>
      <c r="K221" s="7" t="s">
        <v>198</v>
      </c>
      <c r="L221" s="7" t="s">
        <v>670</v>
      </c>
      <c r="M221" s="7" t="str">
        <f>VLOOKUP(L221,countries, 2,false)</f>
        <v>Slovenia</v>
      </c>
      <c r="N221" s="7" t="str">
        <f>VLOOKUP(L221,countries, 4,false)</f>
        <v>Europe</v>
      </c>
      <c r="O221" s="7" t="str">
        <f>VLOOKUP(L221,countries, 5,false)</f>
        <v>Southern Europe</v>
      </c>
      <c r="P221" s="7" t="s">
        <v>129</v>
      </c>
      <c r="Q221" s="7">
        <v>3851.0</v>
      </c>
      <c r="R221" s="12">
        <v>81.73</v>
      </c>
      <c r="S221" s="12">
        <v>56.67</v>
      </c>
      <c r="T221" s="13">
        <f t="shared" si="6"/>
        <v>314742.23</v>
      </c>
      <c r="U221" s="13">
        <f t="shared" si="7"/>
        <v>580379.32</v>
      </c>
      <c r="V221" s="13">
        <f t="shared" si="8"/>
        <v>-265637.09</v>
      </c>
      <c r="W221" s="14">
        <f>Q221/totals!B$2</f>
        <v>0.000585567695</v>
      </c>
      <c r="X221" s="14">
        <f t="shared" si="9"/>
        <v>0.1570623022</v>
      </c>
      <c r="Y221" s="14">
        <f>T221/totals!B$5</f>
        <v>0.0001849108702</v>
      </c>
      <c r="Z221" s="14">
        <f t="shared" si="10"/>
        <v>0.162548337</v>
      </c>
      <c r="AA221" s="14">
        <f>V221/totals!B$4</f>
        <v>-0.0005296739497</v>
      </c>
      <c r="AB221" s="14">
        <f t="shared" si="11"/>
        <v>0.1600092596</v>
      </c>
    </row>
    <row r="222">
      <c r="A222" s="7">
        <v>8293.0</v>
      </c>
      <c r="B222" s="7" t="str">
        <f>VLOOKUP($A222,product_category,2, False)</f>
        <v>Cosmetics</v>
      </c>
      <c r="C222" s="7">
        <v>2.43521249E8</v>
      </c>
      <c r="D222" s="9">
        <v>42426.0</v>
      </c>
      <c r="E222" s="10">
        <f t="shared" si="1"/>
        <v>2</v>
      </c>
      <c r="F222" s="10" t="str">
        <f t="shared" si="2"/>
        <v>Feb</v>
      </c>
      <c r="G222" s="11">
        <f t="shared" si="3"/>
        <v>26</v>
      </c>
      <c r="H222" s="7">
        <f t="shared" si="4"/>
        <v>2016</v>
      </c>
      <c r="I222" s="9">
        <v>42457.0</v>
      </c>
      <c r="J222" s="11">
        <f t="shared" si="5"/>
        <v>31</v>
      </c>
      <c r="K222" s="7" t="s">
        <v>322</v>
      </c>
      <c r="L222" s="7" t="s">
        <v>705</v>
      </c>
      <c r="M222" s="7" t="str">
        <f>VLOOKUP(L222,countries, 2,false)</f>
        <v>Switzerland</v>
      </c>
      <c r="N222" s="7" t="str">
        <f>VLOOKUP(L222,countries, 4,false)</f>
        <v>Europe</v>
      </c>
      <c r="O222" s="7" t="str">
        <f>VLOOKUP(L222,countries, 5,false)</f>
        <v>Western Europe</v>
      </c>
      <c r="P222" s="7" t="s">
        <v>129</v>
      </c>
      <c r="Q222" s="7">
        <v>2204.0</v>
      </c>
      <c r="R222" s="12">
        <v>437.2</v>
      </c>
      <c r="S222" s="12">
        <v>263.33</v>
      </c>
      <c r="T222" s="13">
        <f t="shared" si="6"/>
        <v>963588.8</v>
      </c>
      <c r="U222" s="13">
        <f t="shared" si="7"/>
        <v>73652.04</v>
      </c>
      <c r="V222" s="13">
        <f t="shared" si="8"/>
        <v>889936.76</v>
      </c>
      <c r="W222" s="14">
        <f>Q222/totals!B$2</f>
        <v>0.0003351314463</v>
      </c>
      <c r="X222" s="14">
        <f t="shared" si="9"/>
        <v>0.1573974337</v>
      </c>
      <c r="Y222" s="14">
        <f>T222/totals!B$5</f>
        <v>0.0005661078384</v>
      </c>
      <c r="Z222" s="14">
        <f t="shared" si="10"/>
        <v>0.1631144449</v>
      </c>
      <c r="AA222" s="14">
        <f>V222/totals!B$4</f>
        <v>0.001774512432</v>
      </c>
      <c r="AB222" s="14">
        <f t="shared" si="11"/>
        <v>0.161783772</v>
      </c>
    </row>
    <row r="223">
      <c r="A223" s="7">
        <v>7331.0</v>
      </c>
      <c r="B223" s="7" t="str">
        <f>VLOOKUP($A223,product_category,2, False)</f>
        <v>Baby Food</v>
      </c>
      <c r="C223" s="7">
        <v>2.43684327E8</v>
      </c>
      <c r="D223" s="9">
        <v>42878.0</v>
      </c>
      <c r="E223" s="10">
        <f t="shared" si="1"/>
        <v>5</v>
      </c>
      <c r="F223" s="10" t="str">
        <f t="shared" si="2"/>
        <v>May</v>
      </c>
      <c r="G223" s="11">
        <f t="shared" si="3"/>
        <v>23</v>
      </c>
      <c r="H223" s="7">
        <f t="shared" si="4"/>
        <v>2017</v>
      </c>
      <c r="I223" s="9">
        <v>42885.0</v>
      </c>
      <c r="J223" s="11">
        <f t="shared" si="5"/>
        <v>7</v>
      </c>
      <c r="K223" s="7" t="s">
        <v>382</v>
      </c>
      <c r="L223" s="7" t="s">
        <v>383</v>
      </c>
      <c r="M223" s="7" t="str">
        <f>VLOOKUP(L223,countries, 2,false)</f>
        <v>Ireland</v>
      </c>
      <c r="N223" s="7" t="str">
        <f>VLOOKUP(L223,countries, 4,false)</f>
        <v>Europe</v>
      </c>
      <c r="O223" s="7" t="str">
        <f>VLOOKUP(L223,countries, 5,false)</f>
        <v>Northern Europe</v>
      </c>
      <c r="P223" s="7" t="s">
        <v>129</v>
      </c>
      <c r="Q223" s="7">
        <v>462.0</v>
      </c>
      <c r="R223" s="12">
        <v>255.28</v>
      </c>
      <c r="S223" s="12">
        <v>159.42</v>
      </c>
      <c r="T223" s="13">
        <f t="shared" si="6"/>
        <v>117939.36</v>
      </c>
      <c r="U223" s="13">
        <f t="shared" si="7"/>
        <v>25082.31</v>
      </c>
      <c r="V223" s="13">
        <f t="shared" si="8"/>
        <v>92857.05</v>
      </c>
      <c r="W223" s="14">
        <f>Q223/totals!B$2</f>
        <v>0.00007024987668</v>
      </c>
      <c r="X223" s="14">
        <f t="shared" si="9"/>
        <v>0.1574676835</v>
      </c>
      <c r="Y223" s="14">
        <f>T223/totals!B$5</f>
        <v>0.00006928930282</v>
      </c>
      <c r="Z223" s="14">
        <f t="shared" si="10"/>
        <v>0.1631837342</v>
      </c>
      <c r="AA223" s="14">
        <f>V223/totals!B$4</f>
        <v>0.0001851547178</v>
      </c>
      <c r="AB223" s="14">
        <f t="shared" si="11"/>
        <v>0.1619689267</v>
      </c>
    </row>
    <row r="224">
      <c r="A224" s="7">
        <v>1270.0</v>
      </c>
      <c r="B224" s="7" t="str">
        <f>VLOOKUP($A224,product_category,2, False)</f>
        <v>Beverages</v>
      </c>
      <c r="C224" s="7">
        <v>2.44023358E8</v>
      </c>
      <c r="D224" s="9">
        <v>42725.0</v>
      </c>
      <c r="E224" s="10">
        <f t="shared" si="1"/>
        <v>12</v>
      </c>
      <c r="F224" s="10" t="str">
        <f t="shared" si="2"/>
        <v>Dec</v>
      </c>
      <c r="G224" s="11">
        <f t="shared" si="3"/>
        <v>21</v>
      </c>
      <c r="H224" s="7">
        <f t="shared" si="4"/>
        <v>2016</v>
      </c>
      <c r="I224" s="9">
        <v>42757.0</v>
      </c>
      <c r="J224" s="11">
        <f t="shared" si="5"/>
        <v>32</v>
      </c>
      <c r="K224" s="7" t="s">
        <v>322</v>
      </c>
      <c r="L224" s="7" t="s">
        <v>113</v>
      </c>
      <c r="M224" s="7" t="str">
        <f>VLOOKUP(L224,countries, 2,false)</f>
        <v>Belgium</v>
      </c>
      <c r="N224" s="7" t="str">
        <f>VLOOKUP(L224,countries, 4,false)</f>
        <v>Europe</v>
      </c>
      <c r="O224" s="7" t="str">
        <f>VLOOKUP(L224,countries, 5,false)</f>
        <v>Western Europe</v>
      </c>
      <c r="P224" s="7" t="s">
        <v>212</v>
      </c>
      <c r="Q224" s="7">
        <v>789.0</v>
      </c>
      <c r="R224" s="12">
        <v>47.45</v>
      </c>
      <c r="S224" s="12">
        <v>31.79</v>
      </c>
      <c r="T224" s="13">
        <f t="shared" si="6"/>
        <v>37438.05</v>
      </c>
      <c r="U224" s="13">
        <f t="shared" si="7"/>
        <v>93725.33</v>
      </c>
      <c r="V224" s="13">
        <f t="shared" si="8"/>
        <v>-56287.28</v>
      </c>
      <c r="W224" s="14">
        <f>Q224/totals!B$2</f>
        <v>0.000119972192</v>
      </c>
      <c r="X224" s="14">
        <f t="shared" si="9"/>
        <v>0.1575876557</v>
      </c>
      <c r="Y224" s="14">
        <f>T224/totals!B$5</f>
        <v>0.00002199483178</v>
      </c>
      <c r="Z224" s="14">
        <f t="shared" si="10"/>
        <v>0.163205729</v>
      </c>
      <c r="AA224" s="14">
        <f>V224/totals!B$4</f>
        <v>-0.0001122354785</v>
      </c>
      <c r="AB224" s="14">
        <f t="shared" si="11"/>
        <v>0.1618566913</v>
      </c>
    </row>
    <row r="225">
      <c r="A225" s="7">
        <v>8875.0</v>
      </c>
      <c r="B225" s="7" t="str">
        <f>VLOOKUP($A225,product_category,2, False)</f>
        <v>Meat</v>
      </c>
      <c r="C225" s="7">
        <v>2.45440852E8</v>
      </c>
      <c r="D225" s="9">
        <v>42336.0</v>
      </c>
      <c r="E225" s="10">
        <f t="shared" si="1"/>
        <v>11</v>
      </c>
      <c r="F225" s="10" t="str">
        <f t="shared" si="2"/>
        <v>Nov</v>
      </c>
      <c r="G225" s="11">
        <f t="shared" si="3"/>
        <v>28</v>
      </c>
      <c r="H225" s="7">
        <f t="shared" si="4"/>
        <v>2015</v>
      </c>
      <c r="I225" s="9">
        <v>42355.0</v>
      </c>
      <c r="J225" s="11">
        <f t="shared" si="5"/>
        <v>19</v>
      </c>
      <c r="K225" s="7" t="s">
        <v>322</v>
      </c>
      <c r="L225" s="7" t="s">
        <v>286</v>
      </c>
      <c r="M225" s="7" t="str">
        <f>VLOOKUP(L225,countries, 2,false)</f>
        <v>France</v>
      </c>
      <c r="N225" s="7" t="str">
        <f>VLOOKUP(L225,countries, 4,false)</f>
        <v>Europe</v>
      </c>
      <c r="O225" s="7" t="str">
        <f>VLOOKUP(L225,countries, 5,false)</f>
        <v>Western Europe</v>
      </c>
      <c r="P225" s="7" t="s">
        <v>129</v>
      </c>
      <c r="Q225" s="7">
        <v>257.0</v>
      </c>
      <c r="R225" s="12">
        <v>421.89</v>
      </c>
      <c r="S225" s="12">
        <v>364.69</v>
      </c>
      <c r="T225" s="13">
        <f t="shared" si="6"/>
        <v>108425.73</v>
      </c>
      <c r="U225" s="13">
        <f t="shared" si="7"/>
        <v>250424.73</v>
      </c>
      <c r="V225" s="13">
        <f t="shared" si="8"/>
        <v>-141999</v>
      </c>
      <c r="W225" s="14">
        <f>Q225/totals!B$2</f>
        <v>0.0000390783946</v>
      </c>
      <c r="X225" s="14">
        <f t="shared" si="9"/>
        <v>0.1576267341</v>
      </c>
      <c r="Y225" s="14">
        <f>T225/totals!B$5</f>
        <v>0.00006370005093</v>
      </c>
      <c r="Z225" s="14">
        <f t="shared" si="10"/>
        <v>0.1632694291</v>
      </c>
      <c r="AA225" s="14">
        <f>V225/totals!B$4</f>
        <v>-0.0002831425807</v>
      </c>
      <c r="AB225" s="14">
        <f t="shared" si="11"/>
        <v>0.1615735487</v>
      </c>
    </row>
    <row r="226">
      <c r="A226" s="7">
        <v>3127.0</v>
      </c>
      <c r="B226" s="7" t="str">
        <f>VLOOKUP($A226,product_category,2, False)</f>
        <v>Personal Care</v>
      </c>
      <c r="C226" s="7">
        <v>2.45556294E8</v>
      </c>
      <c r="D226" s="9">
        <v>40334.0</v>
      </c>
      <c r="E226" s="10">
        <f t="shared" si="1"/>
        <v>6</v>
      </c>
      <c r="F226" s="10" t="str">
        <f t="shared" si="2"/>
        <v>Jun</v>
      </c>
      <c r="G226" s="11">
        <f t="shared" si="3"/>
        <v>5</v>
      </c>
      <c r="H226" s="7">
        <f t="shared" si="4"/>
        <v>2010</v>
      </c>
      <c r="I226" s="9">
        <v>40354.0</v>
      </c>
      <c r="J226" s="11">
        <f t="shared" si="5"/>
        <v>20</v>
      </c>
      <c r="K226" s="7" t="s">
        <v>198</v>
      </c>
      <c r="L226" s="7" t="s">
        <v>56</v>
      </c>
      <c r="M226" s="7" t="str">
        <f>VLOOKUP(L226,countries, 2,false)</f>
        <v>Andorra</v>
      </c>
      <c r="N226" s="7" t="str">
        <f>VLOOKUP(L226,countries, 4,false)</f>
        <v>Europe</v>
      </c>
      <c r="O226" s="7" t="str">
        <f>VLOOKUP(L226,countries, 5,false)</f>
        <v>Southern Europe</v>
      </c>
      <c r="P226" s="7" t="s">
        <v>129</v>
      </c>
      <c r="Q226" s="7">
        <v>4419.0</v>
      </c>
      <c r="R226" s="12">
        <v>81.73</v>
      </c>
      <c r="S226" s="12">
        <v>56.67</v>
      </c>
      <c r="T226" s="13">
        <f t="shared" si="6"/>
        <v>361164.87</v>
      </c>
      <c r="U226" s="13">
        <f t="shared" si="7"/>
        <v>1163128.61</v>
      </c>
      <c r="V226" s="13">
        <f t="shared" si="8"/>
        <v>-801963.74</v>
      </c>
      <c r="W226" s="14">
        <f>Q226/totals!B$2</f>
        <v>0.0006719355088</v>
      </c>
      <c r="X226" s="14">
        <f t="shared" si="9"/>
        <v>0.1582986696</v>
      </c>
      <c r="Y226" s="14">
        <f>T226/totals!B$5</f>
        <v>0.0002121841431</v>
      </c>
      <c r="Z226" s="14">
        <f t="shared" si="10"/>
        <v>0.1634816132</v>
      </c>
      <c r="AA226" s="14">
        <f>V226/totals!B$4</f>
        <v>-0.001599096352</v>
      </c>
      <c r="AB226" s="14">
        <f t="shared" si="11"/>
        <v>0.1599744523</v>
      </c>
    </row>
    <row r="227">
      <c r="A227" s="7">
        <v>8293.0</v>
      </c>
      <c r="B227" s="7" t="str">
        <f>VLOOKUP($A227,product_category,2, False)</f>
        <v>Cosmetics</v>
      </c>
      <c r="C227" s="7">
        <v>2.46603858E8</v>
      </c>
      <c r="D227" s="9">
        <v>40973.0</v>
      </c>
      <c r="E227" s="10">
        <f t="shared" si="1"/>
        <v>3</v>
      </c>
      <c r="F227" s="10" t="str">
        <f t="shared" si="2"/>
        <v>Mar</v>
      </c>
      <c r="G227" s="11">
        <f t="shared" si="3"/>
        <v>5</v>
      </c>
      <c r="H227" s="7">
        <f t="shared" si="4"/>
        <v>2012</v>
      </c>
      <c r="I227" s="9">
        <v>41014.0</v>
      </c>
      <c r="J227" s="11">
        <f t="shared" si="5"/>
        <v>41</v>
      </c>
      <c r="K227" s="7" t="s">
        <v>382</v>
      </c>
      <c r="L227" s="7" t="s">
        <v>432</v>
      </c>
      <c r="M227" s="7" t="str">
        <f>VLOOKUP(L227,countries, 2,false)</f>
        <v>Latvia</v>
      </c>
      <c r="N227" s="7" t="str">
        <f>VLOOKUP(L227,countries, 4,false)</f>
        <v>Europe</v>
      </c>
      <c r="O227" s="7" t="str">
        <f>VLOOKUP(L227,countries, 5,false)</f>
        <v>Northern Europe</v>
      </c>
      <c r="P227" s="7" t="s">
        <v>212</v>
      </c>
      <c r="Q227" s="7">
        <v>4417.0</v>
      </c>
      <c r="R227" s="12">
        <v>437.2</v>
      </c>
      <c r="S227" s="12">
        <v>263.33</v>
      </c>
      <c r="T227" s="13">
        <f t="shared" si="6"/>
        <v>1931112.4</v>
      </c>
      <c r="U227" s="13">
        <f t="shared" si="7"/>
        <v>4606524</v>
      </c>
      <c r="V227" s="13">
        <f t="shared" si="8"/>
        <v>-2675411.6</v>
      </c>
      <c r="W227" s="14">
        <f>Q227/totals!B$2</f>
        <v>0.0006716313968</v>
      </c>
      <c r="X227" s="14">
        <f t="shared" si="9"/>
        <v>0.158970301</v>
      </c>
      <c r="Y227" s="14">
        <f>T227/totals!B$5</f>
        <v>0.001134527369</v>
      </c>
      <c r="Z227" s="14">
        <f t="shared" si="10"/>
        <v>0.1646161406</v>
      </c>
      <c r="AA227" s="14">
        <f>V227/totals!B$4</f>
        <v>-0.005334706194</v>
      </c>
      <c r="AB227" s="14">
        <f t="shared" si="11"/>
        <v>0.1546397461</v>
      </c>
    </row>
    <row r="228">
      <c r="A228" s="7">
        <v>8681.0</v>
      </c>
      <c r="B228" s="7" t="str">
        <f>VLOOKUP($A228,product_category,2, False)</f>
        <v>Office Supplies</v>
      </c>
      <c r="C228" s="7">
        <v>2.46922719E8</v>
      </c>
      <c r="D228" s="9">
        <v>42198.0</v>
      </c>
      <c r="E228" s="10">
        <f t="shared" si="1"/>
        <v>7</v>
      </c>
      <c r="F228" s="10" t="str">
        <f t="shared" si="2"/>
        <v>Jul</v>
      </c>
      <c r="G228" s="11">
        <f t="shared" si="3"/>
        <v>13</v>
      </c>
      <c r="H228" s="7">
        <f t="shared" si="4"/>
        <v>2015</v>
      </c>
      <c r="I228" s="9">
        <v>42214.0</v>
      </c>
      <c r="J228" s="11">
        <f t="shared" si="5"/>
        <v>16</v>
      </c>
      <c r="K228" s="7" t="s">
        <v>382</v>
      </c>
      <c r="L228" s="7" t="s">
        <v>28</v>
      </c>
      <c r="M228" s="7" t="str">
        <f>VLOOKUP(L228,countries, 2,false)</f>
        <v>Albania</v>
      </c>
      <c r="N228" s="7" t="str">
        <f>VLOOKUP(L228,countries, 4,false)</f>
        <v>Europe</v>
      </c>
      <c r="O228" s="7" t="str">
        <f>VLOOKUP(L228,countries, 5,false)</f>
        <v>Southern Europe</v>
      </c>
      <c r="P228" s="7" t="s">
        <v>129</v>
      </c>
      <c r="Q228" s="7">
        <v>8775.0</v>
      </c>
      <c r="R228" s="12">
        <v>651.21</v>
      </c>
      <c r="S228" s="12">
        <v>524.96</v>
      </c>
      <c r="T228" s="13">
        <f t="shared" si="6"/>
        <v>5714367.75</v>
      </c>
      <c r="U228" s="13">
        <f t="shared" si="7"/>
        <v>465470.67</v>
      </c>
      <c r="V228" s="13">
        <f t="shared" si="8"/>
        <v>5248897.08</v>
      </c>
      <c r="W228" s="14">
        <f>Q228/totals!B$2</f>
        <v>0.001334291489</v>
      </c>
      <c r="X228" s="14">
        <f t="shared" si="9"/>
        <v>0.1603045925</v>
      </c>
      <c r="Y228" s="14">
        <f>T228/totals!B$5</f>
        <v>0.003357187604</v>
      </c>
      <c r="Z228" s="14">
        <f t="shared" si="10"/>
        <v>0.1679733282</v>
      </c>
      <c r="AA228" s="14">
        <f>V228/totals!B$4</f>
        <v>0.01046617416</v>
      </c>
      <c r="AB228" s="14">
        <f t="shared" si="11"/>
        <v>0.1651059203</v>
      </c>
    </row>
    <row r="229">
      <c r="A229" s="7">
        <v>5988.0</v>
      </c>
      <c r="B229" s="7" t="str">
        <f>VLOOKUP($A229,product_category,2, False)</f>
        <v>Vegetables</v>
      </c>
      <c r="C229" s="7">
        <v>2.49039304E8</v>
      </c>
      <c r="D229" s="9">
        <v>41715.0</v>
      </c>
      <c r="E229" s="10">
        <f t="shared" si="1"/>
        <v>3</v>
      </c>
      <c r="F229" s="10" t="str">
        <f t="shared" si="2"/>
        <v>Mar</v>
      </c>
      <c r="G229" s="11">
        <f t="shared" si="3"/>
        <v>17</v>
      </c>
      <c r="H229" s="7">
        <f t="shared" si="4"/>
        <v>2014</v>
      </c>
      <c r="I229" s="9">
        <v>41760.0</v>
      </c>
      <c r="J229" s="11">
        <f t="shared" si="5"/>
        <v>45</v>
      </c>
      <c r="K229" s="7" t="s">
        <v>322</v>
      </c>
      <c r="L229" s="7" t="s">
        <v>612</v>
      </c>
      <c r="M229" s="7" t="str">
        <f>VLOOKUP(L229,countries, 2,false)</f>
        <v>Russia</v>
      </c>
      <c r="N229" s="7" t="str">
        <f>VLOOKUP(L229,countries, 4,false)</f>
        <v>Europe</v>
      </c>
      <c r="O229" s="7" t="str">
        <f>VLOOKUP(L229,countries, 5,false)</f>
        <v>Eastern Europe</v>
      </c>
      <c r="P229" s="7" t="s">
        <v>212</v>
      </c>
      <c r="Q229" s="7">
        <v>5119.0</v>
      </c>
      <c r="R229" s="12">
        <v>154.06</v>
      </c>
      <c r="S229" s="12">
        <v>90.93</v>
      </c>
      <c r="T229" s="13">
        <f t="shared" si="6"/>
        <v>788633.14</v>
      </c>
      <c r="U229" s="13">
        <f t="shared" si="7"/>
        <v>20815.36</v>
      </c>
      <c r="V229" s="13">
        <f t="shared" si="8"/>
        <v>767817.78</v>
      </c>
      <c r="W229" s="14">
        <f>Q229/totals!B$2</f>
        <v>0.0007783747159</v>
      </c>
      <c r="X229" s="14">
        <f t="shared" si="9"/>
        <v>0.1610829672</v>
      </c>
      <c r="Y229" s="14">
        <f>T229/totals!B$5</f>
        <v>0.0004633214938</v>
      </c>
      <c r="Z229" s="14">
        <f t="shared" si="10"/>
        <v>0.1684366497</v>
      </c>
      <c r="AA229" s="14">
        <f>V229/totals!B$4</f>
        <v>0.001531010132</v>
      </c>
      <c r="AB229" s="14">
        <f t="shared" si="11"/>
        <v>0.1666369304</v>
      </c>
    </row>
    <row r="230">
      <c r="A230" s="7">
        <v>4594.0</v>
      </c>
      <c r="B230" s="7" t="str">
        <f>VLOOKUP($A230,product_category,2, False)</f>
        <v>Fruits</v>
      </c>
      <c r="C230" s="7">
        <v>2.49606645E8</v>
      </c>
      <c r="D230" s="9">
        <v>41089.0</v>
      </c>
      <c r="E230" s="10">
        <f t="shared" si="1"/>
        <v>6</v>
      </c>
      <c r="F230" s="10" t="str">
        <f t="shared" si="2"/>
        <v>Jun</v>
      </c>
      <c r="G230" s="11">
        <f t="shared" si="3"/>
        <v>29</v>
      </c>
      <c r="H230" s="7">
        <f t="shared" si="4"/>
        <v>2012</v>
      </c>
      <c r="I230" s="9">
        <v>41135.0</v>
      </c>
      <c r="J230" s="11">
        <f t="shared" si="5"/>
        <v>46</v>
      </c>
      <c r="K230" s="7" t="s">
        <v>198</v>
      </c>
      <c r="L230" s="7" t="s">
        <v>448</v>
      </c>
      <c r="M230" s="7" t="str">
        <f>VLOOKUP(L230,countries, 2,false)</f>
        <v>Liechtenstein</v>
      </c>
      <c r="N230" s="7" t="str">
        <f>VLOOKUP(L230,countries, 4,false)</f>
        <v>Europe</v>
      </c>
      <c r="O230" s="7" t="str">
        <f>VLOOKUP(L230,countries, 5,false)</f>
        <v>Western Europe</v>
      </c>
      <c r="P230" s="7" t="s">
        <v>212</v>
      </c>
      <c r="Q230" s="7">
        <v>3008.0</v>
      </c>
      <c r="R230" s="12">
        <v>9.33</v>
      </c>
      <c r="S230" s="12">
        <v>6.92</v>
      </c>
      <c r="T230" s="13">
        <f t="shared" si="6"/>
        <v>28064.64</v>
      </c>
      <c r="U230" s="13">
        <f t="shared" si="7"/>
        <v>4408.32</v>
      </c>
      <c r="V230" s="13">
        <f t="shared" si="8"/>
        <v>23656.32</v>
      </c>
      <c r="W230" s="14">
        <f>Q230/totals!B$2</f>
        <v>0.0004573844785</v>
      </c>
      <c r="X230" s="14">
        <f t="shared" si="9"/>
        <v>0.1615403517</v>
      </c>
      <c r="Y230" s="14">
        <f>T230/totals!B$5</f>
        <v>0.00001648795906</v>
      </c>
      <c r="Z230" s="14">
        <f t="shared" si="10"/>
        <v>0.1684531376</v>
      </c>
      <c r="AA230" s="14">
        <f>V230/totals!B$4</f>
        <v>0.00004717013144</v>
      </c>
      <c r="AB230" s="14">
        <f t="shared" si="11"/>
        <v>0.1666841006</v>
      </c>
    </row>
    <row r="231">
      <c r="A231" s="7">
        <v>2455.0</v>
      </c>
      <c r="B231" s="7" t="str">
        <f>VLOOKUP($A231,product_category,2, False)</f>
        <v>Clothes</v>
      </c>
      <c r="C231" s="7">
        <v>2.49765861E8</v>
      </c>
      <c r="D231" s="9">
        <v>42687.0</v>
      </c>
      <c r="E231" s="10">
        <f t="shared" si="1"/>
        <v>11</v>
      </c>
      <c r="F231" s="10" t="str">
        <f t="shared" si="2"/>
        <v>Nov</v>
      </c>
      <c r="G231" s="11">
        <f t="shared" si="3"/>
        <v>13</v>
      </c>
      <c r="H231" s="7">
        <f t="shared" si="4"/>
        <v>2016</v>
      </c>
      <c r="I231" s="9">
        <v>42698.0</v>
      </c>
      <c r="J231" s="11">
        <f t="shared" si="5"/>
        <v>11</v>
      </c>
      <c r="K231" s="7" t="s">
        <v>110</v>
      </c>
      <c r="L231" s="7" t="s">
        <v>762</v>
      </c>
      <c r="M231" s="7" t="str">
        <f>VLOOKUP(L231,countries, 2,false)</f>
        <v>United Kingdom</v>
      </c>
      <c r="N231" s="7" t="str">
        <f>VLOOKUP(L231,countries, 4,false)</f>
        <v>Europe</v>
      </c>
      <c r="O231" s="7" t="str">
        <f>VLOOKUP(L231,countries, 5,false)</f>
        <v>Northern Europe</v>
      </c>
      <c r="P231" s="7" t="s">
        <v>129</v>
      </c>
      <c r="Q231" s="7">
        <v>123.0</v>
      </c>
      <c r="R231" s="12">
        <v>109.28</v>
      </c>
      <c r="S231" s="12">
        <v>35.84</v>
      </c>
      <c r="T231" s="13">
        <f t="shared" si="6"/>
        <v>13441.44</v>
      </c>
      <c r="U231" s="13">
        <f t="shared" si="7"/>
        <v>14586.88</v>
      </c>
      <c r="V231" s="13">
        <f t="shared" si="8"/>
        <v>-1145.44</v>
      </c>
      <c r="W231" s="14">
        <f>Q231/totals!B$2</f>
        <v>0.00001870288925</v>
      </c>
      <c r="X231" s="14">
        <f t="shared" si="9"/>
        <v>0.1615590546</v>
      </c>
      <c r="Y231" s="14">
        <f>T231/totals!B$5</f>
        <v>0.000007896837887</v>
      </c>
      <c r="Z231" s="14">
        <f t="shared" si="10"/>
        <v>0.1684610345</v>
      </c>
      <c r="AA231" s="14">
        <f>V231/totals!B$4</f>
        <v>-0.00000228397973</v>
      </c>
      <c r="AB231" s="14">
        <f t="shared" si="11"/>
        <v>0.1666818166</v>
      </c>
    </row>
    <row r="232">
      <c r="A232" s="7">
        <v>2455.0</v>
      </c>
      <c r="B232" s="7" t="str">
        <f>VLOOKUP($A232,product_category,2, False)</f>
        <v>Clothes</v>
      </c>
      <c r="C232" s="7">
        <v>2.50848186E8</v>
      </c>
      <c r="D232" s="9">
        <v>41304.0</v>
      </c>
      <c r="E232" s="10">
        <f t="shared" si="1"/>
        <v>1</v>
      </c>
      <c r="F232" s="10" t="str">
        <f t="shared" si="2"/>
        <v>Jan</v>
      </c>
      <c r="G232" s="11">
        <f t="shared" si="3"/>
        <v>30</v>
      </c>
      <c r="H232" s="7">
        <f t="shared" si="4"/>
        <v>2013</v>
      </c>
      <c r="I232" s="9">
        <v>41340.0</v>
      </c>
      <c r="J232" s="11">
        <f t="shared" si="5"/>
        <v>36</v>
      </c>
      <c r="K232" s="7" t="s">
        <v>110</v>
      </c>
      <c r="L232" s="7" t="s">
        <v>454</v>
      </c>
      <c r="M232" s="7" t="str">
        <f>VLOOKUP(L232,countries, 2,false)</f>
        <v>Luxembourg</v>
      </c>
      <c r="N232" s="7" t="str">
        <f>VLOOKUP(L232,countries, 4,false)</f>
        <v>Europe</v>
      </c>
      <c r="O232" s="7" t="str">
        <f>VLOOKUP(L232,countries, 5,false)</f>
        <v>Western Europe</v>
      </c>
      <c r="P232" s="7" t="s">
        <v>129</v>
      </c>
      <c r="Q232" s="7">
        <v>407.0</v>
      </c>
      <c r="R232" s="12">
        <v>109.28</v>
      </c>
      <c r="S232" s="12">
        <v>35.84</v>
      </c>
      <c r="T232" s="13">
        <f t="shared" si="6"/>
        <v>44476.96</v>
      </c>
      <c r="U232" s="13">
        <f t="shared" si="7"/>
        <v>2583463.96</v>
      </c>
      <c r="V232" s="13">
        <f t="shared" si="8"/>
        <v>-2538987</v>
      </c>
      <c r="W232" s="14">
        <f>Q232/totals!B$2</f>
        <v>0.00006188679613</v>
      </c>
      <c r="X232" s="14">
        <f t="shared" si="9"/>
        <v>0.1616209414</v>
      </c>
      <c r="Y232" s="14">
        <f>T232/totals!B$5</f>
        <v>0.00002613018716</v>
      </c>
      <c r="Z232" s="14">
        <f t="shared" si="10"/>
        <v>0.1684871647</v>
      </c>
      <c r="AA232" s="14">
        <f>V232/totals!B$4</f>
        <v>-0.005062678832</v>
      </c>
      <c r="AB232" s="14">
        <f t="shared" si="11"/>
        <v>0.1616191377</v>
      </c>
    </row>
    <row r="233">
      <c r="A233" s="7">
        <v>8875.0</v>
      </c>
      <c r="B233" s="7" t="str">
        <f>VLOOKUP($A233,product_category,2, False)</f>
        <v>Meat</v>
      </c>
      <c r="C233" s="7">
        <v>2.51208674E8</v>
      </c>
      <c r="D233" s="9">
        <v>42157.0</v>
      </c>
      <c r="E233" s="10">
        <f t="shared" si="1"/>
        <v>6</v>
      </c>
      <c r="F233" s="10" t="str">
        <f t="shared" si="2"/>
        <v>Jun</v>
      </c>
      <c r="G233" s="11">
        <f t="shared" si="3"/>
        <v>2</v>
      </c>
      <c r="H233" s="7">
        <f t="shared" si="4"/>
        <v>2015</v>
      </c>
      <c r="I233" s="9">
        <v>42204.0</v>
      </c>
      <c r="J233" s="11">
        <f t="shared" si="5"/>
        <v>47</v>
      </c>
      <c r="K233" s="7" t="s">
        <v>110</v>
      </c>
      <c r="L233" s="7" t="s">
        <v>77</v>
      </c>
      <c r="M233" s="7" t="str">
        <f>VLOOKUP(L233,countries, 2,false)</f>
        <v>Armenia</v>
      </c>
      <c r="N233" s="7" t="str">
        <f>VLOOKUP(L233,countries, 4,false)</f>
        <v>Asia</v>
      </c>
      <c r="O233" s="7" t="str">
        <f>VLOOKUP(L233,countries, 5,false)</f>
        <v>Western Asia</v>
      </c>
      <c r="P233" s="7" t="s">
        <v>212</v>
      </c>
      <c r="Q233" s="7">
        <v>7084.0</v>
      </c>
      <c r="R233" s="12">
        <v>421.89</v>
      </c>
      <c r="S233" s="12">
        <v>364.69</v>
      </c>
      <c r="T233" s="13">
        <f t="shared" si="6"/>
        <v>2988668.76</v>
      </c>
      <c r="U233" s="13">
        <f t="shared" si="7"/>
        <v>320481.28</v>
      </c>
      <c r="V233" s="13">
        <f t="shared" si="8"/>
        <v>2668187.48</v>
      </c>
      <c r="W233" s="14">
        <f>Q233/totals!B$2</f>
        <v>0.001077164776</v>
      </c>
      <c r="X233" s="14">
        <f t="shared" si="9"/>
        <v>0.1626981062</v>
      </c>
      <c r="Y233" s="14">
        <f>T233/totals!B$5</f>
        <v>0.001755841093</v>
      </c>
      <c r="Z233" s="14">
        <f t="shared" si="10"/>
        <v>0.1702430057</v>
      </c>
      <c r="AA233" s="14">
        <f>V233/totals!B$4</f>
        <v>0.005320301473</v>
      </c>
      <c r="AB233" s="14">
        <f t="shared" si="11"/>
        <v>0.1669394392</v>
      </c>
    </row>
    <row r="234">
      <c r="A234" s="7">
        <v>2455.0</v>
      </c>
      <c r="B234" s="7" t="str">
        <f>VLOOKUP($A234,product_category,2, False)</f>
        <v>Clothes</v>
      </c>
      <c r="C234" s="7">
        <v>2.51823222E8</v>
      </c>
      <c r="D234" s="9">
        <v>40424.0</v>
      </c>
      <c r="E234" s="10">
        <f t="shared" si="1"/>
        <v>9</v>
      </c>
      <c r="F234" s="10" t="str">
        <f t="shared" si="2"/>
        <v>Sep</v>
      </c>
      <c r="G234" s="11">
        <f t="shared" si="3"/>
        <v>3</v>
      </c>
      <c r="H234" s="7">
        <f t="shared" si="4"/>
        <v>2010</v>
      </c>
      <c r="I234" s="9">
        <v>40452.0</v>
      </c>
      <c r="J234" s="11">
        <f t="shared" si="5"/>
        <v>28</v>
      </c>
      <c r="K234" s="7" t="s">
        <v>322</v>
      </c>
      <c r="L234" s="7" t="s">
        <v>762</v>
      </c>
      <c r="M234" s="7" t="str">
        <f>VLOOKUP(L234,countries, 2,false)</f>
        <v>United Kingdom</v>
      </c>
      <c r="N234" s="7" t="str">
        <f>VLOOKUP(L234,countries, 4,false)</f>
        <v>Europe</v>
      </c>
      <c r="O234" s="7" t="str">
        <f>VLOOKUP(L234,countries, 5,false)</f>
        <v>Northern Europe</v>
      </c>
      <c r="P234" s="7" t="s">
        <v>129</v>
      </c>
      <c r="Q234" s="7">
        <v>8942.0</v>
      </c>
      <c r="R234" s="12">
        <v>109.28</v>
      </c>
      <c r="S234" s="12">
        <v>35.84</v>
      </c>
      <c r="T234" s="13">
        <f t="shared" si="6"/>
        <v>977181.76</v>
      </c>
      <c r="U234" s="13">
        <f t="shared" si="7"/>
        <v>385959.84</v>
      </c>
      <c r="V234" s="13">
        <f t="shared" si="8"/>
        <v>591221.92</v>
      </c>
      <c r="W234" s="14">
        <f>Q234/totals!B$2</f>
        <v>0.001359684843</v>
      </c>
      <c r="X234" s="14">
        <f t="shared" si="9"/>
        <v>0.164057791</v>
      </c>
      <c r="Y234" s="14">
        <f>T234/totals!B$5</f>
        <v>0.0005740936942</v>
      </c>
      <c r="Z234" s="14">
        <f t="shared" si="10"/>
        <v>0.1708170994</v>
      </c>
      <c r="AA234" s="14">
        <f>V234/totals!B$4</f>
        <v>0.001178882247</v>
      </c>
      <c r="AB234" s="14">
        <f t="shared" si="11"/>
        <v>0.1681183215</v>
      </c>
    </row>
    <row r="235">
      <c r="A235" s="7">
        <v>8969.0</v>
      </c>
      <c r="B235" s="7" t="str">
        <f>VLOOKUP($A235,product_category,2, False)</f>
        <v>Snacks</v>
      </c>
      <c r="C235" s="7">
        <v>2.51907765E8</v>
      </c>
      <c r="D235" s="9">
        <v>42064.0</v>
      </c>
      <c r="E235" s="10">
        <f t="shared" si="1"/>
        <v>3</v>
      </c>
      <c r="F235" s="10" t="str">
        <f t="shared" si="2"/>
        <v>Mar</v>
      </c>
      <c r="G235" s="11">
        <f t="shared" si="3"/>
        <v>1</v>
      </c>
      <c r="H235" s="7">
        <f t="shared" si="4"/>
        <v>2015</v>
      </c>
      <c r="I235" s="9">
        <v>42101.0</v>
      </c>
      <c r="J235" s="11">
        <f t="shared" si="5"/>
        <v>37</v>
      </c>
      <c r="K235" s="7" t="s">
        <v>198</v>
      </c>
      <c r="L235" s="7" t="e">
        <v>#N/A</v>
      </c>
      <c r="M235" s="7"/>
      <c r="N235" s="7"/>
      <c r="O235" s="7"/>
      <c r="P235" s="7" t="s">
        <v>212</v>
      </c>
      <c r="Q235" s="7">
        <v>3961.0</v>
      </c>
      <c r="R235" s="12">
        <v>152.58</v>
      </c>
      <c r="S235" s="12">
        <v>97.44</v>
      </c>
      <c r="T235" s="13">
        <f t="shared" si="6"/>
        <v>604369.38</v>
      </c>
      <c r="U235" s="13">
        <f t="shared" si="7"/>
        <v>244550.28</v>
      </c>
      <c r="V235" s="13">
        <f t="shared" si="8"/>
        <v>359819.1</v>
      </c>
      <c r="W235" s="14">
        <f>Q235/totals!B$2</f>
        <v>0.0006022938561</v>
      </c>
      <c r="X235" s="14">
        <f t="shared" si="9"/>
        <v>0.1646600849</v>
      </c>
      <c r="Y235" s="14">
        <f>T235/totals!B$5</f>
        <v>0.000355066646</v>
      </c>
      <c r="Z235" s="14">
        <f t="shared" si="10"/>
        <v>0.1711721661</v>
      </c>
      <c r="AA235" s="14">
        <f>V235/totals!B$4</f>
        <v>0.0007174706058</v>
      </c>
      <c r="AB235" s="14">
        <f t="shared" si="11"/>
        <v>0.1688357921</v>
      </c>
    </row>
    <row r="236">
      <c r="A236" s="7">
        <v>7331.0</v>
      </c>
      <c r="B236" s="7" t="str">
        <f>VLOOKUP($A236,product_category,2, False)</f>
        <v>Baby Food</v>
      </c>
      <c r="C236" s="7">
        <v>2.52541625E8</v>
      </c>
      <c r="D236" s="9">
        <v>42895.0</v>
      </c>
      <c r="E236" s="10">
        <f t="shared" si="1"/>
        <v>6</v>
      </c>
      <c r="F236" s="10" t="str">
        <f t="shared" si="2"/>
        <v>Jun</v>
      </c>
      <c r="G236" s="11">
        <f t="shared" si="3"/>
        <v>9</v>
      </c>
      <c r="H236" s="7">
        <f t="shared" si="4"/>
        <v>2017</v>
      </c>
      <c r="I236" s="9">
        <v>42921.0</v>
      </c>
      <c r="J236" s="11">
        <f t="shared" si="5"/>
        <v>26</v>
      </c>
      <c r="K236" s="7" t="s">
        <v>198</v>
      </c>
      <c r="L236" s="7" t="e">
        <v>#N/A</v>
      </c>
      <c r="M236" s="7"/>
      <c r="N236" s="7"/>
      <c r="O236" s="7"/>
      <c r="P236" s="7" t="s">
        <v>212</v>
      </c>
      <c r="Q236" s="7">
        <v>1534.0</v>
      </c>
      <c r="R236" s="12">
        <v>255.28</v>
      </c>
      <c r="S236" s="12">
        <v>159.42</v>
      </c>
      <c r="T236" s="13">
        <f t="shared" si="6"/>
        <v>391599.52</v>
      </c>
      <c r="U236" s="13">
        <f t="shared" si="7"/>
        <v>112790.92</v>
      </c>
      <c r="V236" s="13">
        <f t="shared" si="8"/>
        <v>278808.6</v>
      </c>
      <c r="W236" s="14">
        <f>Q236/totals!B$2</f>
        <v>0.0002332539195</v>
      </c>
      <c r="X236" s="14">
        <f t="shared" si="9"/>
        <v>0.1648933388</v>
      </c>
      <c r="Y236" s="14">
        <f>T236/totals!B$5</f>
        <v>0.0002300644816</v>
      </c>
      <c r="Z236" s="14">
        <f t="shared" si="10"/>
        <v>0.1714022306</v>
      </c>
      <c r="AA236" s="14">
        <f>V236/totals!B$4</f>
        <v>0.0005559376229</v>
      </c>
      <c r="AB236" s="14">
        <f t="shared" si="11"/>
        <v>0.1693917297</v>
      </c>
    </row>
    <row r="237">
      <c r="A237" s="7">
        <v>1270.0</v>
      </c>
      <c r="B237" s="7" t="str">
        <f>VLOOKUP($A237,product_category,2, False)</f>
        <v>Beverages</v>
      </c>
      <c r="C237" s="7">
        <v>2.53055322E8</v>
      </c>
      <c r="D237" s="9">
        <v>42521.0</v>
      </c>
      <c r="E237" s="10">
        <f t="shared" si="1"/>
        <v>5</v>
      </c>
      <c r="F237" s="10" t="str">
        <f t="shared" si="2"/>
        <v>May</v>
      </c>
      <c r="G237" s="11">
        <f t="shared" si="3"/>
        <v>31</v>
      </c>
      <c r="H237" s="7">
        <f t="shared" si="4"/>
        <v>2016</v>
      </c>
      <c r="I237" s="9">
        <v>42533.0</v>
      </c>
      <c r="J237" s="11">
        <f t="shared" si="5"/>
        <v>12</v>
      </c>
      <c r="K237" s="7" t="s">
        <v>382</v>
      </c>
      <c r="L237" s="7" t="s">
        <v>609</v>
      </c>
      <c r="M237" s="7" t="str">
        <f>VLOOKUP(L237,countries, 2,false)</f>
        <v>Romania</v>
      </c>
      <c r="N237" s="7" t="str">
        <f>VLOOKUP(L237,countries, 4,false)</f>
        <v>Europe</v>
      </c>
      <c r="O237" s="7" t="str">
        <f>VLOOKUP(L237,countries, 5,false)</f>
        <v>Eastern Europe</v>
      </c>
      <c r="P237" s="7" t="s">
        <v>129</v>
      </c>
      <c r="Q237" s="7">
        <v>3548.0</v>
      </c>
      <c r="R237" s="12">
        <v>47.45</v>
      </c>
      <c r="S237" s="12">
        <v>31.79</v>
      </c>
      <c r="T237" s="13">
        <f t="shared" si="6"/>
        <v>168352.6</v>
      </c>
      <c r="U237" s="13">
        <f t="shared" si="7"/>
        <v>5064814.08</v>
      </c>
      <c r="V237" s="13">
        <f t="shared" si="8"/>
        <v>-4896461.48</v>
      </c>
      <c r="W237" s="14">
        <f>Q237/totals!B$2</f>
        <v>0.000539494724</v>
      </c>
      <c r="X237" s="14">
        <f t="shared" si="9"/>
        <v>0.1654328335</v>
      </c>
      <c r="Y237" s="14">
        <f>T237/totals!B$5</f>
        <v>0.00009890705089</v>
      </c>
      <c r="Z237" s="14">
        <f t="shared" si="10"/>
        <v>0.1715011376</v>
      </c>
      <c r="AA237" s="14">
        <f>V237/totals!B$4</f>
        <v>-0.009763426078</v>
      </c>
      <c r="AB237" s="14">
        <f t="shared" si="11"/>
        <v>0.1596283036</v>
      </c>
    </row>
    <row r="238">
      <c r="A238" s="7">
        <v>8681.0</v>
      </c>
      <c r="B238" s="7" t="str">
        <f>VLOOKUP($A238,product_category,2, False)</f>
        <v>Office Supplies</v>
      </c>
      <c r="C238" s="7">
        <v>2.53211104E8</v>
      </c>
      <c r="D238" s="9">
        <v>40528.0</v>
      </c>
      <c r="E238" s="10">
        <f t="shared" si="1"/>
        <v>12</v>
      </c>
      <c r="F238" s="10" t="str">
        <f t="shared" si="2"/>
        <v>Dec</v>
      </c>
      <c r="G238" s="11">
        <f t="shared" si="3"/>
        <v>16</v>
      </c>
      <c r="H238" s="7">
        <f t="shared" si="4"/>
        <v>2010</v>
      </c>
      <c r="I238" s="9">
        <v>40539.0</v>
      </c>
      <c r="J238" s="11">
        <f t="shared" si="5"/>
        <v>11</v>
      </c>
      <c r="K238" s="7" t="s">
        <v>198</v>
      </c>
      <c r="L238" s="7" t="s">
        <v>612</v>
      </c>
      <c r="M238" s="7" t="str">
        <f>VLOOKUP(L238,countries, 2,false)</f>
        <v>Russia</v>
      </c>
      <c r="N238" s="7" t="str">
        <f>VLOOKUP(L238,countries, 4,false)</f>
        <v>Europe</v>
      </c>
      <c r="O238" s="7" t="str">
        <f>VLOOKUP(L238,countries, 5,false)</f>
        <v>Eastern Europe</v>
      </c>
      <c r="P238" s="7" t="s">
        <v>129</v>
      </c>
      <c r="Q238" s="7">
        <v>9648.0</v>
      </c>
      <c r="R238" s="12">
        <v>651.21</v>
      </c>
      <c r="S238" s="12">
        <v>524.96</v>
      </c>
      <c r="T238" s="13">
        <f t="shared" si="6"/>
        <v>6282874.08</v>
      </c>
      <c r="U238" s="13">
        <f t="shared" si="7"/>
        <v>298556.16</v>
      </c>
      <c r="V238" s="13">
        <f t="shared" si="8"/>
        <v>5984317.92</v>
      </c>
      <c r="W238" s="14">
        <f>Q238/totals!B$2</f>
        <v>0.001467036386</v>
      </c>
      <c r="X238" s="14">
        <f t="shared" si="9"/>
        <v>0.1668998699</v>
      </c>
      <c r="Y238" s="14">
        <f>T238/totals!B$5</f>
        <v>0.00369118473</v>
      </c>
      <c r="Z238" s="14">
        <f t="shared" si="10"/>
        <v>0.1751923223</v>
      </c>
      <c r="AA238" s="14">
        <f>V238/totals!B$4</f>
        <v>0.01193258558</v>
      </c>
      <c r="AB238" s="14">
        <f t="shared" si="11"/>
        <v>0.1715608892</v>
      </c>
    </row>
    <row r="239">
      <c r="A239" s="7">
        <v>8969.0</v>
      </c>
      <c r="B239" s="7" t="str">
        <f>VLOOKUP($A239,product_category,2, False)</f>
        <v>Snacks</v>
      </c>
      <c r="C239" s="7">
        <v>2.55047452E8</v>
      </c>
      <c r="D239" s="9">
        <v>41183.0</v>
      </c>
      <c r="E239" s="10">
        <f t="shared" si="1"/>
        <v>10</v>
      </c>
      <c r="F239" s="10" t="str">
        <f t="shared" si="2"/>
        <v>Oct</v>
      </c>
      <c r="G239" s="11">
        <f t="shared" si="3"/>
        <v>1</v>
      </c>
      <c r="H239" s="7">
        <f t="shared" si="4"/>
        <v>2012</v>
      </c>
      <c r="I239" s="9">
        <v>41212.0</v>
      </c>
      <c r="J239" s="11">
        <f t="shared" si="5"/>
        <v>29</v>
      </c>
      <c r="K239" s="7" t="s">
        <v>382</v>
      </c>
      <c r="L239" s="7" t="s">
        <v>231</v>
      </c>
      <c r="M239" s="7" t="str">
        <f>VLOOKUP(L239,countries, 2,false)</f>
        <v>Cyprus</v>
      </c>
      <c r="N239" s="7" t="str">
        <f>VLOOKUP(L239,countries, 4,false)</f>
        <v>Asia</v>
      </c>
      <c r="O239" s="7" t="str">
        <f>VLOOKUP(L239,countries, 5,false)</f>
        <v>Western Asia</v>
      </c>
      <c r="P239" s="7" t="s">
        <v>129</v>
      </c>
      <c r="Q239" s="7">
        <v>3064.0</v>
      </c>
      <c r="R239" s="12">
        <v>152.58</v>
      </c>
      <c r="S239" s="12">
        <v>97.44</v>
      </c>
      <c r="T239" s="13">
        <f t="shared" si="6"/>
        <v>467505.12</v>
      </c>
      <c r="U239" s="13">
        <f t="shared" si="7"/>
        <v>1606902.56</v>
      </c>
      <c r="V239" s="13">
        <f t="shared" si="8"/>
        <v>-1139397.44</v>
      </c>
      <c r="W239" s="14">
        <f>Q239/totals!B$2</f>
        <v>0.0004658996151</v>
      </c>
      <c r="X239" s="14">
        <f t="shared" si="9"/>
        <v>0.1673657695</v>
      </c>
      <c r="Y239" s="14">
        <f>T239/totals!B$5</f>
        <v>0.0002746589758</v>
      </c>
      <c r="Z239" s="14">
        <f t="shared" si="10"/>
        <v>0.1754669813</v>
      </c>
      <c r="AA239" s="14">
        <f>V239/totals!B$4</f>
        <v>-0.002271931011</v>
      </c>
      <c r="AB239" s="14">
        <f t="shared" si="11"/>
        <v>0.1692889582</v>
      </c>
    </row>
    <row r="240">
      <c r="A240" s="7">
        <v>8681.0</v>
      </c>
      <c r="B240" s="7" t="str">
        <f>VLOOKUP($A240,product_category,2, False)</f>
        <v>Office Supplies</v>
      </c>
      <c r="C240" s="7">
        <v>2.56095016E8</v>
      </c>
      <c r="D240" s="9">
        <v>41822.0</v>
      </c>
      <c r="E240" s="10">
        <f t="shared" si="1"/>
        <v>7</v>
      </c>
      <c r="F240" s="10" t="str">
        <f t="shared" si="2"/>
        <v>Jul</v>
      </c>
      <c r="G240" s="11">
        <f t="shared" si="3"/>
        <v>2</v>
      </c>
      <c r="H240" s="7">
        <f t="shared" si="4"/>
        <v>2014</v>
      </c>
      <c r="I240" s="9">
        <v>41872.0</v>
      </c>
      <c r="J240" s="11">
        <f t="shared" si="5"/>
        <v>50</v>
      </c>
      <c r="K240" s="7" t="s">
        <v>382</v>
      </c>
      <c r="L240" s="7" t="s">
        <v>323</v>
      </c>
      <c r="M240" s="7" t="str">
        <f>VLOOKUP(L240,countries, 2,false)</f>
        <v>Montenegro</v>
      </c>
      <c r="N240" s="7" t="str">
        <f>VLOOKUP(L240,countries, 4,false)</f>
        <v>Europe</v>
      </c>
      <c r="O240" s="7" t="str">
        <f>VLOOKUP(L240,countries, 5,false)</f>
        <v>Southern Europe</v>
      </c>
      <c r="P240" s="7" t="s">
        <v>212</v>
      </c>
      <c r="Q240" s="7">
        <v>3061.0</v>
      </c>
      <c r="R240" s="12">
        <v>651.21</v>
      </c>
      <c r="S240" s="12">
        <v>524.96</v>
      </c>
      <c r="T240" s="13">
        <f t="shared" si="6"/>
        <v>1993353.81</v>
      </c>
      <c r="U240" s="13">
        <f t="shared" si="7"/>
        <v>2415865.92</v>
      </c>
      <c r="V240" s="13">
        <f t="shared" si="8"/>
        <v>-422512.11</v>
      </c>
      <c r="W240" s="14">
        <f>Q240/totals!B$2</f>
        <v>0.000465443447</v>
      </c>
      <c r="X240" s="14">
        <f t="shared" si="9"/>
        <v>0.167831213</v>
      </c>
      <c r="Y240" s="14">
        <f>T240/totals!B$5</f>
        <v>0.00117109416</v>
      </c>
      <c r="Z240" s="14">
        <f t="shared" si="10"/>
        <v>0.1766380755</v>
      </c>
      <c r="AA240" s="14">
        <f>V240/totals!B$4</f>
        <v>-0.0008424789554</v>
      </c>
      <c r="AB240" s="14">
        <f t="shared" si="11"/>
        <v>0.1684464792</v>
      </c>
    </row>
    <row r="241">
      <c r="A241" s="7">
        <v>8681.0</v>
      </c>
      <c r="B241" s="7" t="str">
        <f>VLOOKUP($A241,product_category,2, False)</f>
        <v>Office Supplies</v>
      </c>
      <c r="C241" s="7">
        <v>2.59006392E8</v>
      </c>
      <c r="D241" s="9">
        <v>41416.0</v>
      </c>
      <c r="E241" s="10">
        <f t="shared" si="1"/>
        <v>5</v>
      </c>
      <c r="F241" s="10" t="str">
        <f t="shared" si="2"/>
        <v>May</v>
      </c>
      <c r="G241" s="11">
        <f t="shared" si="3"/>
        <v>22</v>
      </c>
      <c r="H241" s="7">
        <f t="shared" si="4"/>
        <v>2013</v>
      </c>
      <c r="I241" s="9">
        <v>41431.0</v>
      </c>
      <c r="J241" s="11">
        <f t="shared" si="5"/>
        <v>15</v>
      </c>
      <c r="K241" s="7" t="s">
        <v>198</v>
      </c>
      <c r="L241" s="7" t="s">
        <v>222</v>
      </c>
      <c r="M241" s="7" t="str">
        <f>VLOOKUP(L241,countries, 2,false)</f>
        <v>Croatia</v>
      </c>
      <c r="N241" s="7" t="str">
        <f>VLOOKUP(L241,countries, 4,false)</f>
        <v>Europe</v>
      </c>
      <c r="O241" s="7" t="str">
        <f>VLOOKUP(L241,countries, 5,false)</f>
        <v>Southern Europe</v>
      </c>
      <c r="P241" s="7" t="s">
        <v>129</v>
      </c>
      <c r="Q241" s="7">
        <v>4602.0</v>
      </c>
      <c r="R241" s="12">
        <v>651.21</v>
      </c>
      <c r="S241" s="12">
        <v>524.96</v>
      </c>
      <c r="T241" s="13">
        <f t="shared" si="6"/>
        <v>2996868.42</v>
      </c>
      <c r="U241" s="13">
        <f t="shared" si="7"/>
        <v>213594.57</v>
      </c>
      <c r="V241" s="13">
        <f t="shared" si="8"/>
        <v>2783273.85</v>
      </c>
      <c r="W241" s="14">
        <f>Q241/totals!B$2</f>
        <v>0.0006997617586</v>
      </c>
      <c r="X241" s="14">
        <f t="shared" si="9"/>
        <v>0.1685309747</v>
      </c>
      <c r="Y241" s="14">
        <f>T241/totals!B$5</f>
        <v>0.001760658388</v>
      </c>
      <c r="Z241" s="14">
        <f t="shared" si="10"/>
        <v>0.1783987339</v>
      </c>
      <c r="AA241" s="14">
        <f>V241/totals!B$4</f>
        <v>0.005549780918</v>
      </c>
      <c r="AB241" s="14">
        <f t="shared" si="11"/>
        <v>0.1739962601</v>
      </c>
    </row>
    <row r="242">
      <c r="A242" s="7">
        <v>5988.0</v>
      </c>
      <c r="B242" s="7" t="str">
        <f>VLOOKUP($A242,product_category,2, False)</f>
        <v>Vegetables</v>
      </c>
      <c r="C242" s="7">
        <v>2.59032571E8</v>
      </c>
      <c r="D242" s="9">
        <v>42864.0</v>
      </c>
      <c r="E242" s="10">
        <f t="shared" si="1"/>
        <v>5</v>
      </c>
      <c r="F242" s="10" t="str">
        <f t="shared" si="2"/>
        <v>May</v>
      </c>
      <c r="G242" s="11">
        <f t="shared" si="3"/>
        <v>9</v>
      </c>
      <c r="H242" s="7">
        <f t="shared" si="4"/>
        <v>2017</v>
      </c>
      <c r="I242" s="9">
        <v>42868.0</v>
      </c>
      <c r="J242" s="11">
        <f t="shared" si="5"/>
        <v>4</v>
      </c>
      <c r="K242" s="7" t="s">
        <v>322</v>
      </c>
      <c r="L242" s="7" t="s">
        <v>113</v>
      </c>
      <c r="M242" s="7" t="str">
        <f>VLOOKUP(L242,countries, 2,false)</f>
        <v>Belgium</v>
      </c>
      <c r="N242" s="7" t="str">
        <f>VLOOKUP(L242,countries, 4,false)</f>
        <v>Europe</v>
      </c>
      <c r="O242" s="7" t="str">
        <f>VLOOKUP(L242,countries, 5,false)</f>
        <v>Western Europe</v>
      </c>
      <c r="P242" s="7" t="s">
        <v>129</v>
      </c>
      <c r="Q242" s="7">
        <v>2349.0</v>
      </c>
      <c r="R242" s="12">
        <v>154.06</v>
      </c>
      <c r="S242" s="12">
        <v>90.93</v>
      </c>
      <c r="T242" s="13">
        <f t="shared" si="6"/>
        <v>361886.94</v>
      </c>
      <c r="U242" s="13">
        <f t="shared" si="7"/>
        <v>1390909.06</v>
      </c>
      <c r="V242" s="13">
        <f t="shared" si="8"/>
        <v>-1029022.12</v>
      </c>
      <c r="W242" s="14">
        <f>Q242/totals!B$2</f>
        <v>0.0003571795678</v>
      </c>
      <c r="X242" s="14">
        <f t="shared" si="9"/>
        <v>0.1688881543</v>
      </c>
      <c r="Y242" s="14">
        <f>T242/totals!B$5</f>
        <v>0.0002126083588</v>
      </c>
      <c r="Z242" s="14">
        <f t="shared" si="10"/>
        <v>0.1786113422</v>
      </c>
      <c r="AA242" s="14">
        <f>V242/totals!B$4</f>
        <v>-0.002051845285</v>
      </c>
      <c r="AB242" s="14">
        <f t="shared" si="11"/>
        <v>0.1719444149</v>
      </c>
    </row>
    <row r="243">
      <c r="A243" s="7">
        <v>8293.0</v>
      </c>
      <c r="B243" s="7" t="str">
        <f>VLOOKUP($A243,product_category,2, False)</f>
        <v>Cosmetics</v>
      </c>
      <c r="C243" s="7">
        <v>2.60630738E8</v>
      </c>
      <c r="D243" s="9">
        <v>42313.0</v>
      </c>
      <c r="E243" s="10">
        <f t="shared" si="1"/>
        <v>11</v>
      </c>
      <c r="F243" s="10" t="str">
        <f t="shared" si="2"/>
        <v>Nov</v>
      </c>
      <c r="G243" s="11">
        <f t="shared" si="3"/>
        <v>5</v>
      </c>
      <c r="H243" s="7">
        <f t="shared" si="4"/>
        <v>2015</v>
      </c>
      <c r="I243" s="9">
        <v>42357.0</v>
      </c>
      <c r="J243" s="11">
        <f t="shared" si="5"/>
        <v>44</v>
      </c>
      <c r="K243" s="7" t="s">
        <v>110</v>
      </c>
      <c r="L243" s="7" t="e">
        <v>#N/A</v>
      </c>
      <c r="M243" s="7"/>
      <c r="N243" s="7"/>
      <c r="O243" s="7"/>
      <c r="P243" s="7" t="s">
        <v>129</v>
      </c>
      <c r="Q243" s="7">
        <v>5282.0</v>
      </c>
      <c r="R243" s="12">
        <v>437.2</v>
      </c>
      <c r="S243" s="12">
        <v>263.33</v>
      </c>
      <c r="T243" s="13">
        <f t="shared" si="6"/>
        <v>2309290.4</v>
      </c>
      <c r="U243" s="13">
        <f t="shared" si="7"/>
        <v>358256.64</v>
      </c>
      <c r="V243" s="13">
        <f t="shared" si="8"/>
        <v>1951033.76</v>
      </c>
      <c r="W243" s="14">
        <f>Q243/totals!B$2</f>
        <v>0.0008031598455</v>
      </c>
      <c r="X243" s="14">
        <f t="shared" si="9"/>
        <v>0.1696913141</v>
      </c>
      <c r="Y243" s="14">
        <f>T243/totals!B$5</f>
        <v>0.001356706716</v>
      </c>
      <c r="Z243" s="14">
        <f t="shared" si="10"/>
        <v>0.1799680489</v>
      </c>
      <c r="AA243" s="14">
        <f>V243/totals!B$4</f>
        <v>0.003890314254</v>
      </c>
      <c r="AB243" s="14">
        <f t="shared" si="11"/>
        <v>0.1758347291</v>
      </c>
    </row>
    <row r="244">
      <c r="A244" s="7">
        <v>2455.0</v>
      </c>
      <c r="B244" s="7" t="str">
        <f>VLOOKUP($A244,product_category,2, False)</f>
        <v>Clothes</v>
      </c>
      <c r="C244" s="7">
        <v>2.6118735E8</v>
      </c>
      <c r="D244" s="9">
        <v>41184.0</v>
      </c>
      <c r="E244" s="10">
        <f t="shared" si="1"/>
        <v>10</v>
      </c>
      <c r="F244" s="10" t="str">
        <f t="shared" si="2"/>
        <v>Oct</v>
      </c>
      <c r="G244" s="11">
        <f t="shared" si="3"/>
        <v>2</v>
      </c>
      <c r="H244" s="7">
        <f t="shared" si="4"/>
        <v>2012</v>
      </c>
      <c r="I244" s="9">
        <v>41185.0</v>
      </c>
      <c r="J244" s="11">
        <f t="shared" si="5"/>
        <v>1</v>
      </c>
      <c r="K244" s="7" t="s">
        <v>198</v>
      </c>
      <c r="L244" s="7" t="s">
        <v>383</v>
      </c>
      <c r="M244" s="7" t="str">
        <f>VLOOKUP(L244,countries, 2,false)</f>
        <v>Ireland</v>
      </c>
      <c r="N244" s="7" t="str">
        <f>VLOOKUP(L244,countries, 4,false)</f>
        <v>Europe</v>
      </c>
      <c r="O244" s="7" t="str">
        <f>VLOOKUP(L244,countries, 5,false)</f>
        <v>Northern Europe</v>
      </c>
      <c r="P244" s="7" t="s">
        <v>129</v>
      </c>
      <c r="Q244" s="7">
        <v>9996.0</v>
      </c>
      <c r="R244" s="12">
        <v>109.28</v>
      </c>
      <c r="S244" s="12">
        <v>35.84</v>
      </c>
      <c r="T244" s="13">
        <f t="shared" si="6"/>
        <v>1092362.88</v>
      </c>
      <c r="U244" s="13">
        <f t="shared" si="7"/>
        <v>2062424.16</v>
      </c>
      <c r="V244" s="13">
        <f t="shared" si="8"/>
        <v>-970061.28</v>
      </c>
      <c r="W244" s="14">
        <f>Q244/totals!B$2</f>
        <v>0.001519951877</v>
      </c>
      <c r="X244" s="14">
        <f t="shared" si="9"/>
        <v>0.171211266</v>
      </c>
      <c r="Y244" s="14">
        <f>T244/totals!B$5</f>
        <v>0.0006417625327</v>
      </c>
      <c r="Z244" s="14">
        <f t="shared" si="10"/>
        <v>0.1806098115</v>
      </c>
      <c r="AA244" s="14">
        <f>V244/totals!B$4</f>
        <v>-0.001934278792</v>
      </c>
      <c r="AB244" s="14">
        <f t="shared" si="11"/>
        <v>0.1739004503</v>
      </c>
    </row>
    <row r="245">
      <c r="A245" s="7">
        <v>7940.0</v>
      </c>
      <c r="B245" s="7" t="str">
        <f>VLOOKUP($A245,product_category,2, False)</f>
        <v>Household</v>
      </c>
      <c r="C245" s="7">
        <v>2.61640536E8</v>
      </c>
      <c r="D245" s="9">
        <v>42177.0</v>
      </c>
      <c r="E245" s="10">
        <f t="shared" si="1"/>
        <v>6</v>
      </c>
      <c r="F245" s="10" t="str">
        <f t="shared" si="2"/>
        <v>Jun</v>
      </c>
      <c r="G245" s="11">
        <f t="shared" si="3"/>
        <v>22</v>
      </c>
      <c r="H245" s="7">
        <f t="shared" si="4"/>
        <v>2015</v>
      </c>
      <c r="I245" s="9">
        <v>42217.0</v>
      </c>
      <c r="J245" s="11">
        <f t="shared" si="5"/>
        <v>40</v>
      </c>
      <c r="K245" s="7" t="s">
        <v>110</v>
      </c>
      <c r="L245" s="7" t="s">
        <v>136</v>
      </c>
      <c r="M245" s="7" t="str">
        <f>VLOOKUP(L245,countries, 2,false)</f>
        <v>Bosnia and Herzegovina</v>
      </c>
      <c r="N245" s="7" t="str">
        <f>VLOOKUP(L245,countries, 4,false)</f>
        <v>Europe</v>
      </c>
      <c r="O245" s="7" t="str">
        <f>VLOOKUP(L245,countries, 5,false)</f>
        <v>Southern Europe</v>
      </c>
      <c r="P245" s="7" t="s">
        <v>212</v>
      </c>
      <c r="Q245" s="7">
        <v>4104.0</v>
      </c>
      <c r="R245" s="12">
        <v>668.27</v>
      </c>
      <c r="S245" s="12">
        <v>502.54</v>
      </c>
      <c r="T245" s="13">
        <f t="shared" si="6"/>
        <v>2742580.08</v>
      </c>
      <c r="U245" s="13">
        <f t="shared" si="7"/>
        <v>21472.76</v>
      </c>
      <c r="V245" s="13">
        <f t="shared" si="8"/>
        <v>2721107.32</v>
      </c>
      <c r="W245" s="14">
        <f>Q245/totals!B$2</f>
        <v>0.0006240378656</v>
      </c>
      <c r="X245" s="14">
        <f t="shared" si="9"/>
        <v>0.1718353039</v>
      </c>
      <c r="Y245" s="14">
        <f>T245/totals!B$5</f>
        <v>0.001611264142</v>
      </c>
      <c r="Z245" s="14">
        <f t="shared" si="10"/>
        <v>0.1822210756</v>
      </c>
      <c r="AA245" s="14">
        <f>V245/totals!B$4</f>
        <v>0.005425822357</v>
      </c>
      <c r="AB245" s="14">
        <f t="shared" si="11"/>
        <v>0.1793262727</v>
      </c>
    </row>
    <row r="246">
      <c r="A246" s="7">
        <v>4594.0</v>
      </c>
      <c r="B246" s="7" t="str">
        <f>VLOOKUP($A246,product_category,2, False)</f>
        <v>Fruits</v>
      </c>
      <c r="C246" s="7">
        <v>2.62177836E8</v>
      </c>
      <c r="D246" s="9">
        <v>41249.0</v>
      </c>
      <c r="E246" s="10">
        <f t="shared" si="1"/>
        <v>12</v>
      </c>
      <c r="F246" s="10" t="str">
        <f t="shared" si="2"/>
        <v>Dec</v>
      </c>
      <c r="G246" s="11">
        <f t="shared" si="3"/>
        <v>6</v>
      </c>
      <c r="H246" s="7">
        <f t="shared" si="4"/>
        <v>2012</v>
      </c>
      <c r="I246" s="9">
        <v>41290.0</v>
      </c>
      <c r="J246" s="11">
        <f t="shared" si="5"/>
        <v>41</v>
      </c>
      <c r="K246" s="7" t="s">
        <v>382</v>
      </c>
      <c r="L246" s="7" t="s">
        <v>540</v>
      </c>
      <c r="M246" s="7" t="str">
        <f>VLOOKUP(L246,countries, 2,false)</f>
        <v>Spain</v>
      </c>
      <c r="N246" s="7" t="str">
        <f>VLOOKUP(L246,countries, 4,false)</f>
        <v>Europe</v>
      </c>
      <c r="O246" s="7" t="str">
        <f>VLOOKUP(L246,countries, 5,false)</f>
        <v>Southern Europe</v>
      </c>
      <c r="P246" s="7" t="s">
        <v>212</v>
      </c>
      <c r="Q246" s="7">
        <v>3103.0</v>
      </c>
      <c r="R246" s="12">
        <v>9.33</v>
      </c>
      <c r="S246" s="12">
        <v>6.92</v>
      </c>
      <c r="T246" s="13">
        <f t="shared" si="6"/>
        <v>28950.99</v>
      </c>
      <c r="U246" s="13">
        <f t="shared" si="7"/>
        <v>312195.03</v>
      </c>
      <c r="V246" s="13">
        <f t="shared" si="8"/>
        <v>-283244.04</v>
      </c>
      <c r="W246" s="14">
        <f>Q246/totals!B$2</f>
        <v>0.0004718297995</v>
      </c>
      <c r="X246" s="14">
        <f t="shared" si="9"/>
        <v>0.1723071337</v>
      </c>
      <c r="Y246" s="14">
        <f>T246/totals!B$5</f>
        <v>0.00001700868915</v>
      </c>
      <c r="Z246" s="14">
        <f t="shared" si="10"/>
        <v>0.1822380843</v>
      </c>
      <c r="AA246" s="14">
        <f>V246/totals!B$4</f>
        <v>-0.0005647817833</v>
      </c>
      <c r="AB246" s="14">
        <f t="shared" si="11"/>
        <v>0.1787614909</v>
      </c>
    </row>
    <row r="247">
      <c r="A247" s="7">
        <v>3127.0</v>
      </c>
      <c r="B247" s="7" t="str">
        <f>VLOOKUP($A247,product_category,2, False)</f>
        <v>Personal Care</v>
      </c>
      <c r="C247" s="7">
        <v>2.63098371E8</v>
      </c>
      <c r="D247" s="9">
        <v>41798.0</v>
      </c>
      <c r="E247" s="10">
        <f t="shared" si="1"/>
        <v>6</v>
      </c>
      <c r="F247" s="10" t="str">
        <f t="shared" si="2"/>
        <v>Jun</v>
      </c>
      <c r="G247" s="11">
        <f t="shared" si="3"/>
        <v>8</v>
      </c>
      <c r="H247" s="7">
        <f t="shared" si="4"/>
        <v>2014</v>
      </c>
      <c r="I247" s="9">
        <v>41824.0</v>
      </c>
      <c r="J247" s="11">
        <f t="shared" si="5"/>
        <v>26</v>
      </c>
      <c r="K247" s="7" t="s">
        <v>322</v>
      </c>
      <c r="L247" s="7" t="s">
        <v>505</v>
      </c>
      <c r="M247" s="7" t="str">
        <f>VLOOKUP(L247,countries, 2,false)</f>
        <v>Monaco</v>
      </c>
      <c r="N247" s="7" t="str">
        <f>VLOOKUP(L247,countries, 4,false)</f>
        <v>Europe</v>
      </c>
      <c r="O247" s="7" t="str">
        <f>VLOOKUP(L247,countries, 5,false)</f>
        <v>Western Europe</v>
      </c>
      <c r="P247" s="7" t="s">
        <v>129</v>
      </c>
      <c r="Q247" s="7">
        <v>5509.0</v>
      </c>
      <c r="R247" s="12">
        <v>81.73</v>
      </c>
      <c r="S247" s="12">
        <v>56.67</v>
      </c>
      <c r="T247" s="13">
        <f t="shared" si="6"/>
        <v>450250.57</v>
      </c>
      <c r="U247" s="13">
        <f t="shared" si="7"/>
        <v>21050.64</v>
      </c>
      <c r="V247" s="13">
        <f t="shared" si="8"/>
        <v>429199.93</v>
      </c>
      <c r="W247" s="14">
        <f>Q247/totals!B$2</f>
        <v>0.0008376765598</v>
      </c>
      <c r="X247" s="14">
        <f t="shared" si="9"/>
        <v>0.1731448102</v>
      </c>
      <c r="Y247" s="14">
        <f>T247/totals!B$5</f>
        <v>0.0002645219381</v>
      </c>
      <c r="Z247" s="14">
        <f t="shared" si="10"/>
        <v>0.1825026062</v>
      </c>
      <c r="AA247" s="14">
        <f>V247/totals!B$4</f>
        <v>0.0008558143072</v>
      </c>
      <c r="AB247" s="14">
        <f t="shared" si="11"/>
        <v>0.1796173052</v>
      </c>
    </row>
    <row r="248">
      <c r="A248" s="7">
        <v>4594.0</v>
      </c>
      <c r="B248" s="7" t="str">
        <f>VLOOKUP($A248,product_category,2, False)</f>
        <v>Fruits</v>
      </c>
      <c r="C248" s="7">
        <v>2.6342796E8</v>
      </c>
      <c r="D248" s="9">
        <v>40761.0</v>
      </c>
      <c r="E248" s="10">
        <f t="shared" si="1"/>
        <v>8</v>
      </c>
      <c r="F248" s="10" t="str">
        <f t="shared" si="2"/>
        <v>Aug</v>
      </c>
      <c r="G248" s="11">
        <f t="shared" si="3"/>
        <v>6</v>
      </c>
      <c r="H248" s="7">
        <f t="shared" si="4"/>
        <v>2011</v>
      </c>
      <c r="I248" s="9">
        <v>40806.0</v>
      </c>
      <c r="J248" s="11">
        <f t="shared" si="5"/>
        <v>45</v>
      </c>
      <c r="K248" s="7" t="s">
        <v>382</v>
      </c>
      <c r="L248" s="7" t="s">
        <v>88</v>
      </c>
      <c r="M248" s="7" t="str">
        <f>VLOOKUP(L248,countries, 2,false)</f>
        <v>Austria</v>
      </c>
      <c r="N248" s="7" t="str">
        <f>VLOOKUP(L248,countries, 4,false)</f>
        <v>Europe</v>
      </c>
      <c r="O248" s="7" t="str">
        <f>VLOOKUP(L248,countries, 5,false)</f>
        <v>Western Europe</v>
      </c>
      <c r="P248" s="7" t="s">
        <v>212</v>
      </c>
      <c r="Q248" s="7">
        <v>3042.0</v>
      </c>
      <c r="R248" s="12">
        <v>9.33</v>
      </c>
      <c r="S248" s="12">
        <v>6.92</v>
      </c>
      <c r="T248" s="13">
        <f t="shared" si="6"/>
        <v>28381.86</v>
      </c>
      <c r="U248" s="13">
        <f t="shared" si="7"/>
        <v>289013.76</v>
      </c>
      <c r="V248" s="13">
        <f t="shared" si="8"/>
        <v>-260631.9</v>
      </c>
      <c r="W248" s="14">
        <f>Q248/totals!B$2</f>
        <v>0.0004625543828</v>
      </c>
      <c r="X248" s="14">
        <f t="shared" si="9"/>
        <v>0.1736073646</v>
      </c>
      <c r="Y248" s="14">
        <f>T248/totals!B$5</f>
        <v>0.00001667432562</v>
      </c>
      <c r="Z248" s="14">
        <f t="shared" si="10"/>
        <v>0.1825192806</v>
      </c>
      <c r="AA248" s="14">
        <f>V248/totals!B$4</f>
        <v>-0.0005196937216</v>
      </c>
      <c r="AB248" s="14">
        <f t="shared" si="11"/>
        <v>0.1790976115</v>
      </c>
    </row>
    <row r="249">
      <c r="A249" s="7">
        <v>2455.0</v>
      </c>
      <c r="B249" s="7" t="str">
        <f>VLOOKUP($A249,product_category,2, False)</f>
        <v>Clothes</v>
      </c>
      <c r="C249" s="7">
        <v>2.63647687E8</v>
      </c>
      <c r="D249" s="9">
        <v>40991.0</v>
      </c>
      <c r="E249" s="10">
        <f t="shared" si="1"/>
        <v>3</v>
      </c>
      <c r="F249" s="10" t="str">
        <f t="shared" si="2"/>
        <v>Mar</v>
      </c>
      <c r="G249" s="11">
        <f t="shared" si="3"/>
        <v>23</v>
      </c>
      <c r="H249" s="7">
        <f t="shared" si="4"/>
        <v>2012</v>
      </c>
      <c r="I249" s="9">
        <v>40998.0</v>
      </c>
      <c r="J249" s="11">
        <f t="shared" si="5"/>
        <v>7</v>
      </c>
      <c r="K249" s="7" t="s">
        <v>110</v>
      </c>
      <c r="L249" s="7" t="e">
        <v>#N/A</v>
      </c>
      <c r="M249" s="7"/>
      <c r="N249" s="7"/>
      <c r="O249" s="7"/>
      <c r="P249" s="7" t="s">
        <v>129</v>
      </c>
      <c r="Q249" s="7">
        <v>8064.0</v>
      </c>
      <c r="R249" s="12">
        <v>109.28</v>
      </c>
      <c r="S249" s="12">
        <v>35.84</v>
      </c>
      <c r="T249" s="13">
        <f t="shared" si="6"/>
        <v>881233.92</v>
      </c>
      <c r="U249" s="13">
        <f t="shared" si="7"/>
        <v>1377548.22</v>
      </c>
      <c r="V249" s="13">
        <f t="shared" si="8"/>
        <v>-496314.3</v>
      </c>
      <c r="W249" s="14">
        <f>Q249/totals!B$2</f>
        <v>0.001226179666</v>
      </c>
      <c r="X249" s="14">
        <f t="shared" si="9"/>
        <v>0.1748335443</v>
      </c>
      <c r="Y249" s="14">
        <f>T249/totals!B$5</f>
        <v>0.0005177243961</v>
      </c>
      <c r="Z249" s="14">
        <f t="shared" si="10"/>
        <v>0.183037005</v>
      </c>
      <c r="AA249" s="14">
        <f>V249/totals!B$4</f>
        <v>-0.000989638742</v>
      </c>
      <c r="AB249" s="14">
        <f t="shared" si="11"/>
        <v>0.1781079727</v>
      </c>
    </row>
    <row r="250">
      <c r="A250" s="7">
        <v>7331.0</v>
      </c>
      <c r="B250" s="7" t="str">
        <f>VLOOKUP($A250,product_category,2, False)</f>
        <v>Baby Food</v>
      </c>
      <c r="C250" s="7">
        <v>2.63852393E8</v>
      </c>
      <c r="D250" s="9">
        <v>41070.0</v>
      </c>
      <c r="E250" s="10">
        <f t="shared" si="1"/>
        <v>6</v>
      </c>
      <c r="F250" s="10" t="str">
        <f t="shared" si="2"/>
        <v>Jun</v>
      </c>
      <c r="G250" s="11">
        <f t="shared" si="3"/>
        <v>10</v>
      </c>
      <c r="H250" s="7">
        <f t="shared" si="4"/>
        <v>2012</v>
      </c>
      <c r="I250" s="9">
        <v>41089.0</v>
      </c>
      <c r="J250" s="11">
        <f t="shared" si="5"/>
        <v>19</v>
      </c>
      <c r="K250" s="7" t="s">
        <v>322</v>
      </c>
      <c r="L250" s="7" t="e">
        <v>#N/A</v>
      </c>
      <c r="M250" s="7"/>
      <c r="N250" s="7"/>
      <c r="O250" s="7"/>
      <c r="P250" s="7" t="s">
        <v>212</v>
      </c>
      <c r="Q250" s="7">
        <v>8641.0</v>
      </c>
      <c r="R250" s="12">
        <v>255.28</v>
      </c>
      <c r="S250" s="12">
        <v>159.42</v>
      </c>
      <c r="T250" s="13">
        <f t="shared" si="6"/>
        <v>2205874.48</v>
      </c>
      <c r="U250" s="13">
        <f t="shared" si="7"/>
        <v>235373.16</v>
      </c>
      <c r="V250" s="13">
        <f t="shared" si="8"/>
        <v>1970501.32</v>
      </c>
      <c r="W250" s="14">
        <f>Q250/totals!B$2</f>
        <v>0.001313915984</v>
      </c>
      <c r="X250" s="14">
        <f t="shared" si="9"/>
        <v>0.1761474603</v>
      </c>
      <c r="Y250" s="14">
        <f>T250/totals!B$5</f>
        <v>0.001295949926</v>
      </c>
      <c r="Z250" s="14">
        <f t="shared" si="10"/>
        <v>0.1843329549</v>
      </c>
      <c r="AA250" s="14">
        <f>V250/totals!B$4</f>
        <v>0.003929132099</v>
      </c>
      <c r="AB250" s="14">
        <f t="shared" si="11"/>
        <v>0.1820371048</v>
      </c>
    </row>
    <row r="251">
      <c r="A251" s="7">
        <v>1270.0</v>
      </c>
      <c r="B251" s="7" t="str">
        <f>VLOOKUP($A251,product_category,2, False)</f>
        <v>Beverages</v>
      </c>
      <c r="C251" s="7">
        <v>2.63882005E8</v>
      </c>
      <c r="D251" s="9">
        <v>40577.0</v>
      </c>
      <c r="E251" s="10">
        <f t="shared" si="1"/>
        <v>2</v>
      </c>
      <c r="F251" s="10" t="str">
        <f t="shared" si="2"/>
        <v>Feb</v>
      </c>
      <c r="G251" s="11">
        <f t="shared" si="3"/>
        <v>3</v>
      </c>
      <c r="H251" s="7">
        <f t="shared" si="4"/>
        <v>2011</v>
      </c>
      <c r="I251" s="9">
        <v>40601.0</v>
      </c>
      <c r="J251" s="11">
        <f t="shared" si="5"/>
        <v>24</v>
      </c>
      <c r="K251" s="7" t="s">
        <v>110</v>
      </c>
      <c r="L251" s="7" t="s">
        <v>670</v>
      </c>
      <c r="M251" s="7" t="str">
        <f>VLOOKUP(L251,countries, 2,false)</f>
        <v>Slovenia</v>
      </c>
      <c r="N251" s="7" t="str">
        <f>VLOOKUP(L251,countries, 4,false)</f>
        <v>Europe</v>
      </c>
      <c r="O251" s="7" t="str">
        <f>VLOOKUP(L251,countries, 5,false)</f>
        <v>Southern Europe</v>
      </c>
      <c r="P251" s="7" t="s">
        <v>129</v>
      </c>
      <c r="Q251" s="7">
        <v>7404.0</v>
      </c>
      <c r="R251" s="12">
        <v>47.45</v>
      </c>
      <c r="S251" s="12">
        <v>31.79</v>
      </c>
      <c r="T251" s="13">
        <f t="shared" si="6"/>
        <v>351319.8</v>
      </c>
      <c r="U251" s="13">
        <f t="shared" si="7"/>
        <v>2938201.12</v>
      </c>
      <c r="V251" s="13">
        <f t="shared" si="8"/>
        <v>-2586881.32</v>
      </c>
      <c r="W251" s="14">
        <f>Q251/totals!B$2</f>
        <v>0.001125822699</v>
      </c>
      <c r="X251" s="14">
        <f t="shared" si="9"/>
        <v>0.177273283</v>
      </c>
      <c r="Y251" s="14">
        <f>T251/totals!B$5</f>
        <v>0.0002064001705</v>
      </c>
      <c r="Z251" s="14">
        <f t="shared" si="10"/>
        <v>0.1845393551</v>
      </c>
      <c r="AA251" s="14">
        <f>V251/totals!B$4</f>
        <v>-0.005158178951</v>
      </c>
      <c r="AB251" s="14">
        <f t="shared" si="11"/>
        <v>0.1768789259</v>
      </c>
    </row>
    <row r="252">
      <c r="A252" s="7">
        <v>8681.0</v>
      </c>
      <c r="B252" s="7" t="str">
        <f>VLOOKUP($A252,product_category,2, False)</f>
        <v>Office Supplies</v>
      </c>
      <c r="C252" s="7">
        <v>2.63977277E8</v>
      </c>
      <c r="D252" s="9">
        <v>42719.0</v>
      </c>
      <c r="E252" s="10">
        <f t="shared" si="1"/>
        <v>12</v>
      </c>
      <c r="F252" s="10" t="str">
        <f t="shared" si="2"/>
        <v>Dec</v>
      </c>
      <c r="G252" s="11">
        <f t="shared" si="3"/>
        <v>15</v>
      </c>
      <c r="H252" s="7">
        <f t="shared" si="4"/>
        <v>2016</v>
      </c>
      <c r="I252" s="9">
        <v>42745.0</v>
      </c>
      <c r="J252" s="11">
        <f t="shared" si="5"/>
        <v>26</v>
      </c>
      <c r="K252" s="7" t="s">
        <v>382</v>
      </c>
      <c r="L252" s="7" t="s">
        <v>383</v>
      </c>
      <c r="M252" s="7" t="str">
        <f>VLOOKUP(L252,countries, 2,false)</f>
        <v>Ireland</v>
      </c>
      <c r="N252" s="7" t="str">
        <f>VLOOKUP(L252,countries, 4,false)</f>
        <v>Europe</v>
      </c>
      <c r="O252" s="7" t="str">
        <f>VLOOKUP(L252,countries, 5,false)</f>
        <v>Northern Europe</v>
      </c>
      <c r="P252" s="7" t="s">
        <v>212</v>
      </c>
      <c r="Q252" s="7">
        <v>5597.0</v>
      </c>
      <c r="R252" s="12">
        <v>651.21</v>
      </c>
      <c r="S252" s="12">
        <v>524.96</v>
      </c>
      <c r="T252" s="13">
        <f t="shared" si="6"/>
        <v>3644822.37</v>
      </c>
      <c r="U252" s="13">
        <f t="shared" si="7"/>
        <v>26703.6</v>
      </c>
      <c r="V252" s="13">
        <f t="shared" si="8"/>
        <v>3618118.77</v>
      </c>
      <c r="W252" s="14">
        <f>Q252/totals!B$2</f>
        <v>0.0008510574887</v>
      </c>
      <c r="X252" s="14">
        <f t="shared" si="9"/>
        <v>0.1781243405</v>
      </c>
      <c r="Y252" s="14">
        <f>T252/totals!B$5</f>
        <v>0.002141330943</v>
      </c>
      <c r="Z252" s="14">
        <f t="shared" si="10"/>
        <v>0.186680686</v>
      </c>
      <c r="AA252" s="14">
        <f>V252/totals!B$4</f>
        <v>0.007214441551</v>
      </c>
      <c r="AB252" s="14">
        <f t="shared" si="11"/>
        <v>0.1840933674</v>
      </c>
    </row>
    <row r="253">
      <c r="A253" s="7">
        <v>1270.0</v>
      </c>
      <c r="B253" s="7" t="str">
        <f>VLOOKUP($A253,product_category,2, False)</f>
        <v>Beverages</v>
      </c>
      <c r="C253" s="7">
        <v>2.64163959E8</v>
      </c>
      <c r="D253" s="9">
        <v>42618.0</v>
      </c>
      <c r="E253" s="10">
        <f t="shared" si="1"/>
        <v>9</v>
      </c>
      <c r="F253" s="10" t="str">
        <f t="shared" si="2"/>
        <v>Sep</v>
      </c>
      <c r="G253" s="11">
        <f t="shared" si="3"/>
        <v>5</v>
      </c>
      <c r="H253" s="7">
        <f t="shared" si="4"/>
        <v>2016</v>
      </c>
      <c r="I253" s="9">
        <v>42635.0</v>
      </c>
      <c r="J253" s="11">
        <f t="shared" si="5"/>
        <v>17</v>
      </c>
      <c r="K253" s="7" t="s">
        <v>198</v>
      </c>
      <c r="L253" s="7" t="s">
        <v>448</v>
      </c>
      <c r="M253" s="7" t="str">
        <f>VLOOKUP(L253,countries, 2,false)</f>
        <v>Liechtenstein</v>
      </c>
      <c r="N253" s="7" t="str">
        <f>VLOOKUP(L253,countries, 4,false)</f>
        <v>Europe</v>
      </c>
      <c r="O253" s="7" t="str">
        <f>VLOOKUP(L253,countries, 5,false)</f>
        <v>Western Europe</v>
      </c>
      <c r="P253" s="7" t="s">
        <v>129</v>
      </c>
      <c r="Q253" s="7">
        <v>840.0</v>
      </c>
      <c r="R253" s="12">
        <v>47.45</v>
      </c>
      <c r="S253" s="12">
        <v>31.79</v>
      </c>
      <c r="T253" s="13">
        <f t="shared" si="6"/>
        <v>39858</v>
      </c>
      <c r="U253" s="13">
        <f t="shared" si="7"/>
        <v>461973.84</v>
      </c>
      <c r="V253" s="13">
        <f t="shared" si="8"/>
        <v>-422115.84</v>
      </c>
      <c r="W253" s="14">
        <f>Q253/totals!B$2</f>
        <v>0.0001277270485</v>
      </c>
      <c r="X253" s="14">
        <f t="shared" si="9"/>
        <v>0.1782520675</v>
      </c>
      <c r="Y253" s="14">
        <f>T253/totals!B$5</f>
        <v>0.00002341655094</v>
      </c>
      <c r="Z253" s="14">
        <f t="shared" si="10"/>
        <v>0.1867041026</v>
      </c>
      <c r="AA253" s="14">
        <f>V253/totals!B$4</f>
        <v>-0.0008416888026</v>
      </c>
      <c r="AB253" s="14">
        <f t="shared" si="11"/>
        <v>0.1832516786</v>
      </c>
    </row>
    <row r="254">
      <c r="A254" s="7">
        <v>3127.0</v>
      </c>
      <c r="B254" s="7" t="str">
        <f>VLOOKUP($A254,product_category,2, False)</f>
        <v>Personal Care</v>
      </c>
      <c r="C254" s="7">
        <v>2.64526593E8</v>
      </c>
      <c r="D254" s="9">
        <v>41912.0</v>
      </c>
      <c r="E254" s="10">
        <f t="shared" si="1"/>
        <v>9</v>
      </c>
      <c r="F254" s="10" t="str">
        <f t="shared" si="2"/>
        <v>Sep</v>
      </c>
      <c r="G254" s="11">
        <f t="shared" si="3"/>
        <v>30</v>
      </c>
      <c r="H254" s="7">
        <f t="shared" si="4"/>
        <v>2014</v>
      </c>
      <c r="I254" s="9">
        <v>41919.0</v>
      </c>
      <c r="J254" s="11">
        <f t="shared" si="5"/>
        <v>7</v>
      </c>
      <c r="K254" s="7" t="s">
        <v>382</v>
      </c>
      <c r="L254" s="7" t="s">
        <v>609</v>
      </c>
      <c r="M254" s="7" t="str">
        <f>VLOOKUP(L254,countries, 2,false)</f>
        <v>Romania</v>
      </c>
      <c r="N254" s="7" t="str">
        <f>VLOOKUP(L254,countries, 4,false)</f>
        <v>Europe</v>
      </c>
      <c r="O254" s="7" t="str">
        <f>VLOOKUP(L254,countries, 5,false)</f>
        <v>Eastern Europe</v>
      </c>
      <c r="P254" s="7" t="s">
        <v>212</v>
      </c>
      <c r="Q254" s="7">
        <v>8152.0</v>
      </c>
      <c r="R254" s="12">
        <v>81.73</v>
      </c>
      <c r="S254" s="12">
        <v>56.67</v>
      </c>
      <c r="T254" s="13">
        <f t="shared" si="6"/>
        <v>666262.96</v>
      </c>
      <c r="U254" s="13">
        <f t="shared" si="7"/>
        <v>39340.2</v>
      </c>
      <c r="V254" s="13">
        <f t="shared" si="8"/>
        <v>626922.76</v>
      </c>
      <c r="W254" s="14">
        <f>Q254/totals!B$2</f>
        <v>0.001239560595</v>
      </c>
      <c r="X254" s="14">
        <f t="shared" si="9"/>
        <v>0.1794916281</v>
      </c>
      <c r="Y254" s="14">
        <f>T254/totals!B$5</f>
        <v>0.0003914290869</v>
      </c>
      <c r="Z254" s="14">
        <f t="shared" si="10"/>
        <v>0.1870955316</v>
      </c>
      <c r="AA254" s="14">
        <f>V254/totals!B$4</f>
        <v>0.001250068861</v>
      </c>
      <c r="AB254" s="14">
        <f t="shared" si="11"/>
        <v>0.1845017475</v>
      </c>
    </row>
    <row r="255">
      <c r="A255" s="7">
        <v>4594.0</v>
      </c>
      <c r="B255" s="7" t="str">
        <f>VLOOKUP($A255,product_category,2, False)</f>
        <v>Fruits</v>
      </c>
      <c r="C255" s="7">
        <v>2.64856183E8</v>
      </c>
      <c r="D255" s="9">
        <v>40874.0</v>
      </c>
      <c r="E255" s="10">
        <f t="shared" si="1"/>
        <v>11</v>
      </c>
      <c r="F255" s="10" t="str">
        <f t="shared" si="2"/>
        <v>Nov</v>
      </c>
      <c r="G255" s="11">
        <f t="shared" si="3"/>
        <v>27</v>
      </c>
      <c r="H255" s="7">
        <f t="shared" si="4"/>
        <v>2011</v>
      </c>
      <c r="I255" s="9">
        <v>40900.0</v>
      </c>
      <c r="J255" s="11">
        <f t="shared" si="5"/>
        <v>26</v>
      </c>
      <c r="K255" s="7" t="s">
        <v>322</v>
      </c>
      <c r="L255" s="7" t="s">
        <v>231</v>
      </c>
      <c r="M255" s="7" t="str">
        <f>VLOOKUP(L255,countries, 2,false)</f>
        <v>Cyprus</v>
      </c>
      <c r="N255" s="7" t="str">
        <f>VLOOKUP(L255,countries, 4,false)</f>
        <v>Asia</v>
      </c>
      <c r="O255" s="7" t="str">
        <f>VLOOKUP(L255,countries, 5,false)</f>
        <v>Western Asia</v>
      </c>
      <c r="P255" s="7" t="s">
        <v>129</v>
      </c>
      <c r="Q255" s="7">
        <v>5685.0</v>
      </c>
      <c r="R255" s="12">
        <v>9.33</v>
      </c>
      <c r="S255" s="12">
        <v>6.92</v>
      </c>
      <c r="T255" s="13">
        <f t="shared" si="6"/>
        <v>53041.05</v>
      </c>
      <c r="U255" s="13">
        <f t="shared" si="7"/>
        <v>256148.48</v>
      </c>
      <c r="V255" s="13">
        <f t="shared" si="8"/>
        <v>-203107.43</v>
      </c>
      <c r="W255" s="14">
        <f>Q255/totals!B$2</f>
        <v>0.0008644384176</v>
      </c>
      <c r="X255" s="14">
        <f t="shared" si="9"/>
        <v>0.1803560665</v>
      </c>
      <c r="Y255" s="14">
        <f>T255/totals!B$5</f>
        <v>0.00003116158486</v>
      </c>
      <c r="Z255" s="14">
        <f t="shared" si="10"/>
        <v>0.1871266932</v>
      </c>
      <c r="AA255" s="14">
        <f>V255/totals!B$4</f>
        <v>-0.000404991316</v>
      </c>
      <c r="AB255" s="14">
        <f t="shared" si="11"/>
        <v>0.1840967562</v>
      </c>
    </row>
    <row r="256">
      <c r="A256" s="7">
        <v>2455.0</v>
      </c>
      <c r="B256" s="7" t="str">
        <f>VLOOKUP($A256,product_category,2, False)</f>
        <v>Clothes</v>
      </c>
      <c r="C256" s="7">
        <v>2.6492871E8</v>
      </c>
      <c r="D256" s="9">
        <v>42393.0</v>
      </c>
      <c r="E256" s="10">
        <f t="shared" si="1"/>
        <v>1</v>
      </c>
      <c r="F256" s="10" t="str">
        <f t="shared" si="2"/>
        <v>Jan</v>
      </c>
      <c r="G256" s="11">
        <f t="shared" si="3"/>
        <v>24</v>
      </c>
      <c r="H256" s="7">
        <f t="shared" si="4"/>
        <v>2016</v>
      </c>
      <c r="I256" s="9">
        <v>42396.0</v>
      </c>
      <c r="J256" s="11">
        <f t="shared" si="5"/>
        <v>3</v>
      </c>
      <c r="K256" s="7" t="s">
        <v>322</v>
      </c>
      <c r="L256" s="7" t="s">
        <v>264</v>
      </c>
      <c r="M256" s="7" t="str">
        <f>VLOOKUP(L256,countries, 2,false)</f>
        <v>Estonia</v>
      </c>
      <c r="N256" s="7" t="str">
        <f>VLOOKUP(L256,countries, 4,false)</f>
        <v>Europe</v>
      </c>
      <c r="O256" s="7" t="str">
        <f>VLOOKUP(L256,countries, 5,false)</f>
        <v>Northern Europe</v>
      </c>
      <c r="P256" s="7" t="s">
        <v>212</v>
      </c>
      <c r="Q256" s="7">
        <v>7147.0</v>
      </c>
      <c r="R256" s="12">
        <v>109.28</v>
      </c>
      <c r="S256" s="12">
        <v>35.84</v>
      </c>
      <c r="T256" s="13">
        <f t="shared" si="6"/>
        <v>781024.16</v>
      </c>
      <c r="U256" s="13">
        <f t="shared" si="7"/>
        <v>612995.04</v>
      </c>
      <c r="V256" s="13">
        <f t="shared" si="8"/>
        <v>168029.12</v>
      </c>
      <c r="W256" s="14">
        <f>Q256/totals!B$2</f>
        <v>0.001086744304</v>
      </c>
      <c r="X256" s="14">
        <f t="shared" si="9"/>
        <v>0.1814428108</v>
      </c>
      <c r="Y256" s="14">
        <f>T256/totals!B$5</f>
        <v>0.0004588512226</v>
      </c>
      <c r="Z256" s="14">
        <f t="shared" si="10"/>
        <v>0.1875855445</v>
      </c>
      <c r="AA256" s="14">
        <f>V256/totals!B$4</f>
        <v>0.0003350460121</v>
      </c>
      <c r="AB256" s="14">
        <f t="shared" si="11"/>
        <v>0.1844318022</v>
      </c>
    </row>
    <row r="257">
      <c r="A257" s="7">
        <v>8969.0</v>
      </c>
      <c r="B257" s="7" t="str">
        <f>VLOOKUP($A257,product_category,2, False)</f>
        <v>Snacks</v>
      </c>
      <c r="C257" s="7">
        <v>2.64959609E8</v>
      </c>
      <c r="D257" s="9">
        <v>41518.0</v>
      </c>
      <c r="E257" s="10">
        <f t="shared" si="1"/>
        <v>9</v>
      </c>
      <c r="F257" s="10" t="str">
        <f t="shared" si="2"/>
        <v>Sep</v>
      </c>
      <c r="G257" s="11">
        <f t="shared" si="3"/>
        <v>1</v>
      </c>
      <c r="H257" s="7">
        <f t="shared" si="4"/>
        <v>2013</v>
      </c>
      <c r="I257" s="9">
        <v>41565.0</v>
      </c>
      <c r="J257" s="11">
        <f t="shared" si="5"/>
        <v>47</v>
      </c>
      <c r="K257" s="7" t="s">
        <v>198</v>
      </c>
      <c r="L257" s="7" t="s">
        <v>304</v>
      </c>
      <c r="M257" s="7" t="str">
        <f>VLOOKUP(L257,countries, 2,false)</f>
        <v>Georgia</v>
      </c>
      <c r="N257" s="7" t="str">
        <f>VLOOKUP(L257,countries, 4,false)</f>
        <v>Asia</v>
      </c>
      <c r="O257" s="7" t="str">
        <f>VLOOKUP(L257,countries, 5,false)</f>
        <v>Western Asia</v>
      </c>
      <c r="P257" s="7" t="s">
        <v>129</v>
      </c>
      <c r="Q257" s="7">
        <v>6291.0</v>
      </c>
      <c r="R257" s="12">
        <v>152.58</v>
      </c>
      <c r="S257" s="12">
        <v>97.44</v>
      </c>
      <c r="T257" s="13">
        <f t="shared" si="6"/>
        <v>959880.78</v>
      </c>
      <c r="U257" s="13">
        <f t="shared" si="7"/>
        <v>474435.36</v>
      </c>
      <c r="V257" s="13">
        <f t="shared" si="8"/>
        <v>485445.42</v>
      </c>
      <c r="W257" s="14">
        <f>Q257/totals!B$2</f>
        <v>0.0009565843598</v>
      </c>
      <c r="X257" s="14">
        <f t="shared" si="9"/>
        <v>0.1823993952</v>
      </c>
      <c r="Y257" s="14">
        <f>T257/totals!B$5</f>
        <v>0.0005639293789</v>
      </c>
      <c r="Z257" s="14">
        <f t="shared" si="10"/>
        <v>0.1881494738</v>
      </c>
      <c r="AA257" s="14">
        <f>V257/totals!B$4</f>
        <v>0.0009679664575</v>
      </c>
      <c r="AB257" s="14">
        <f t="shared" si="11"/>
        <v>0.1853997686</v>
      </c>
    </row>
    <row r="258">
      <c r="A258" s="7">
        <v>8969.0</v>
      </c>
      <c r="B258" s="7" t="str">
        <f>VLOOKUP($A258,product_category,2, False)</f>
        <v>Snacks</v>
      </c>
      <c r="C258" s="7">
        <v>2.65191352E8</v>
      </c>
      <c r="D258" s="9">
        <v>41869.0</v>
      </c>
      <c r="E258" s="10">
        <f t="shared" si="1"/>
        <v>8</v>
      </c>
      <c r="F258" s="10" t="str">
        <f t="shared" si="2"/>
        <v>Aug</v>
      </c>
      <c r="G258" s="11">
        <f t="shared" si="3"/>
        <v>18</v>
      </c>
      <c r="H258" s="7">
        <f t="shared" si="4"/>
        <v>2014</v>
      </c>
      <c r="I258" s="9">
        <v>41908.0</v>
      </c>
      <c r="J258" s="11">
        <f t="shared" si="5"/>
        <v>39</v>
      </c>
      <c r="K258" s="7" t="s">
        <v>110</v>
      </c>
      <c r="L258" s="7" t="s">
        <v>200</v>
      </c>
      <c r="M258" s="7" t="str">
        <f>VLOOKUP(L258,countries, 2,false)</f>
        <v>Serbia</v>
      </c>
      <c r="N258" s="7" t="str">
        <f>VLOOKUP(L258,countries, 4,false)</f>
        <v>Europe</v>
      </c>
      <c r="O258" s="7" t="str">
        <f>VLOOKUP(L258,countries, 5,false)</f>
        <v>Southern Europe</v>
      </c>
      <c r="P258" s="7" t="s">
        <v>212</v>
      </c>
      <c r="Q258" s="7">
        <v>4869.0</v>
      </c>
      <c r="R258" s="12">
        <v>152.58</v>
      </c>
      <c r="S258" s="12">
        <v>97.44</v>
      </c>
      <c r="T258" s="13">
        <f t="shared" si="6"/>
        <v>742912.02</v>
      </c>
      <c r="U258" s="13">
        <f t="shared" si="7"/>
        <v>2332313.81</v>
      </c>
      <c r="V258" s="13">
        <f t="shared" si="8"/>
        <v>-1589401.79</v>
      </c>
      <c r="W258" s="14">
        <f>Q258/totals!B$2</f>
        <v>0.0007403607133</v>
      </c>
      <c r="X258" s="14">
        <f t="shared" si="9"/>
        <v>0.1831397559</v>
      </c>
      <c r="Y258" s="14">
        <f>T258/totals!B$5</f>
        <v>0.0004364603634</v>
      </c>
      <c r="Z258" s="14">
        <f t="shared" si="10"/>
        <v>0.1885859342</v>
      </c>
      <c r="AA258" s="14">
        <f>V258/totals!B$4</f>
        <v>-0.003169228829</v>
      </c>
      <c r="AB258" s="14">
        <f t="shared" si="11"/>
        <v>0.1822305398</v>
      </c>
    </row>
    <row r="259">
      <c r="A259" s="7">
        <v>8293.0</v>
      </c>
      <c r="B259" s="7" t="str">
        <f>VLOOKUP($A259,product_category,2, False)</f>
        <v>Cosmetics</v>
      </c>
      <c r="C259" s="7">
        <v>2.65914475E8</v>
      </c>
      <c r="D259" s="9">
        <v>42016.0</v>
      </c>
      <c r="E259" s="10">
        <f t="shared" si="1"/>
        <v>1</v>
      </c>
      <c r="F259" s="10" t="str">
        <f t="shared" si="2"/>
        <v>Jan</v>
      </c>
      <c r="G259" s="11">
        <f t="shared" si="3"/>
        <v>12</v>
      </c>
      <c r="H259" s="7">
        <f t="shared" si="4"/>
        <v>2015</v>
      </c>
      <c r="I259" s="9">
        <v>42056.0</v>
      </c>
      <c r="J259" s="11">
        <f t="shared" si="5"/>
        <v>40</v>
      </c>
      <c r="K259" s="7" t="s">
        <v>110</v>
      </c>
      <c r="L259" s="7" t="s">
        <v>478</v>
      </c>
      <c r="M259" s="7" t="str">
        <f>VLOOKUP(L259,countries, 2,false)</f>
        <v>Malta</v>
      </c>
      <c r="N259" s="7" t="str">
        <f>VLOOKUP(L259,countries, 4,false)</f>
        <v>Europe</v>
      </c>
      <c r="O259" s="7" t="str">
        <f>VLOOKUP(L259,countries, 5,false)</f>
        <v>Southern Europe</v>
      </c>
      <c r="P259" s="7" t="s">
        <v>129</v>
      </c>
      <c r="Q259" s="7">
        <v>8857.0</v>
      </c>
      <c r="R259" s="12">
        <v>437.2</v>
      </c>
      <c r="S259" s="12">
        <v>263.33</v>
      </c>
      <c r="T259" s="13">
        <f t="shared" si="6"/>
        <v>3872280.4</v>
      </c>
      <c r="U259" s="13">
        <f t="shared" si="7"/>
        <v>3073032.1</v>
      </c>
      <c r="V259" s="13">
        <f t="shared" si="8"/>
        <v>799248.3</v>
      </c>
      <c r="W259" s="14">
        <f>Q259/totals!B$2</f>
        <v>0.001346760082</v>
      </c>
      <c r="X259" s="14">
        <f t="shared" si="9"/>
        <v>0.184486516</v>
      </c>
      <c r="Y259" s="14">
        <f>T259/totals!B$5</f>
        <v>0.002274962398</v>
      </c>
      <c r="Z259" s="14">
        <f t="shared" si="10"/>
        <v>0.1908608966</v>
      </c>
      <c r="AA259" s="14">
        <f>V259/totals!B$4</f>
        <v>0.001593681831</v>
      </c>
      <c r="AB259" s="14">
        <f t="shared" si="11"/>
        <v>0.1838242217</v>
      </c>
    </row>
    <row r="260">
      <c r="A260" s="7">
        <v>7940.0</v>
      </c>
      <c r="B260" s="7" t="str">
        <f>VLOOKUP($A260,product_category,2, False)</f>
        <v>Household</v>
      </c>
      <c r="C260" s="7">
        <v>2.66614854E8</v>
      </c>
      <c r="D260" s="9">
        <v>41540.0</v>
      </c>
      <c r="E260" s="10">
        <f t="shared" si="1"/>
        <v>9</v>
      </c>
      <c r="F260" s="10" t="str">
        <f t="shared" si="2"/>
        <v>Sep</v>
      </c>
      <c r="G260" s="11">
        <f t="shared" si="3"/>
        <v>23</v>
      </c>
      <c r="H260" s="7">
        <f t="shared" si="4"/>
        <v>2013</v>
      </c>
      <c r="I260" s="9">
        <v>41557.0</v>
      </c>
      <c r="J260" s="11">
        <f t="shared" si="5"/>
        <v>17</v>
      </c>
      <c r="K260" s="7" t="s">
        <v>110</v>
      </c>
      <c r="L260" s="7" t="s">
        <v>200</v>
      </c>
      <c r="M260" s="7" t="str">
        <f>VLOOKUP(L260,countries, 2,false)</f>
        <v>Serbia</v>
      </c>
      <c r="N260" s="7" t="str">
        <f>VLOOKUP(L260,countries, 4,false)</f>
        <v>Europe</v>
      </c>
      <c r="O260" s="7" t="str">
        <f>VLOOKUP(L260,countries, 5,false)</f>
        <v>Southern Europe</v>
      </c>
      <c r="P260" s="7" t="s">
        <v>129</v>
      </c>
      <c r="Q260" s="7">
        <v>6115.0</v>
      </c>
      <c r="R260" s="12">
        <v>668.27</v>
      </c>
      <c r="S260" s="12">
        <v>502.54</v>
      </c>
      <c r="T260" s="13">
        <f t="shared" si="6"/>
        <v>4086471.05</v>
      </c>
      <c r="U260" s="13">
        <f t="shared" si="7"/>
        <v>1621696.58</v>
      </c>
      <c r="V260" s="13">
        <f t="shared" si="8"/>
        <v>2464774.47</v>
      </c>
      <c r="W260" s="14">
        <f>Q260/totals!B$2</f>
        <v>0.000929822502</v>
      </c>
      <c r="X260" s="14">
        <f t="shared" si="9"/>
        <v>0.1854163385</v>
      </c>
      <c r="Y260" s="14">
        <f>T260/totals!B$5</f>
        <v>0.002400799275</v>
      </c>
      <c r="Z260" s="14">
        <f t="shared" si="10"/>
        <v>0.1932616959</v>
      </c>
      <c r="AA260" s="14">
        <f>V260/totals!B$4</f>
        <v>0.004914700838</v>
      </c>
      <c r="AB260" s="14">
        <f t="shared" si="11"/>
        <v>0.1887389225</v>
      </c>
    </row>
    <row r="261">
      <c r="A261" s="7">
        <v>7940.0</v>
      </c>
      <c r="B261" s="7" t="str">
        <f>VLOOKUP($A261,product_category,2, False)</f>
        <v>Household</v>
      </c>
      <c r="C261" s="7">
        <v>2.66638886E8</v>
      </c>
      <c r="D261" s="9">
        <v>41781.0</v>
      </c>
      <c r="E261" s="10">
        <f t="shared" si="1"/>
        <v>5</v>
      </c>
      <c r="F261" s="10" t="str">
        <f t="shared" si="2"/>
        <v>May</v>
      </c>
      <c r="G261" s="11">
        <f t="shared" si="3"/>
        <v>22</v>
      </c>
      <c r="H261" s="7">
        <f t="shared" si="4"/>
        <v>2014</v>
      </c>
      <c r="I261" s="9">
        <v>41809.0</v>
      </c>
      <c r="J261" s="11">
        <f t="shared" si="5"/>
        <v>28</v>
      </c>
      <c r="K261" s="7" t="s">
        <v>198</v>
      </c>
      <c r="L261" s="7" t="s">
        <v>56</v>
      </c>
      <c r="M261" s="7" t="str">
        <f>VLOOKUP(L261,countries, 2,false)</f>
        <v>Andorra</v>
      </c>
      <c r="N261" s="7" t="str">
        <f>VLOOKUP(L261,countries, 4,false)</f>
        <v>Europe</v>
      </c>
      <c r="O261" s="7" t="str">
        <f>VLOOKUP(L261,countries, 5,false)</f>
        <v>Southern Europe</v>
      </c>
      <c r="P261" s="7" t="s">
        <v>129</v>
      </c>
      <c r="Q261" s="7">
        <v>3227.0</v>
      </c>
      <c r="R261" s="12">
        <v>668.27</v>
      </c>
      <c r="S261" s="12">
        <v>502.54</v>
      </c>
      <c r="T261" s="13">
        <f t="shared" si="6"/>
        <v>2156507.29</v>
      </c>
      <c r="U261" s="13">
        <f t="shared" si="7"/>
        <v>3502533.12</v>
      </c>
      <c r="V261" s="13">
        <f t="shared" si="8"/>
        <v>-1346025.83</v>
      </c>
      <c r="W261" s="14">
        <f>Q261/totals!B$2</f>
        <v>0.0004906847447</v>
      </c>
      <c r="X261" s="14">
        <f t="shared" si="9"/>
        <v>0.1859070232</v>
      </c>
      <c r="Y261" s="14">
        <f>T261/totals!B$5</f>
        <v>0.001266946731</v>
      </c>
      <c r="Z261" s="14">
        <f t="shared" si="10"/>
        <v>0.1945286426</v>
      </c>
      <c r="AA261" s="14">
        <f>V261/totals!B$4</f>
        <v>-0.002683943036</v>
      </c>
      <c r="AB261" s="14">
        <f t="shared" si="11"/>
        <v>0.1860549795</v>
      </c>
    </row>
    <row r="262">
      <c r="A262" s="7">
        <v>8681.0</v>
      </c>
      <c r="B262" s="7" t="str">
        <f>VLOOKUP($A262,product_category,2, False)</f>
        <v>Office Supplies</v>
      </c>
      <c r="C262" s="7">
        <v>2.68373954E8</v>
      </c>
      <c r="D262" s="9">
        <v>40234.0</v>
      </c>
      <c r="E262" s="10">
        <f t="shared" si="1"/>
        <v>2</v>
      </c>
      <c r="F262" s="10" t="str">
        <f t="shared" si="2"/>
        <v>Feb</v>
      </c>
      <c r="G262" s="11">
        <f t="shared" si="3"/>
        <v>25</v>
      </c>
      <c r="H262" s="7">
        <f t="shared" si="4"/>
        <v>2010</v>
      </c>
      <c r="I262" s="9">
        <v>40237.0</v>
      </c>
      <c r="J262" s="11">
        <f t="shared" si="5"/>
        <v>3</v>
      </c>
      <c r="K262" s="7" t="s">
        <v>382</v>
      </c>
      <c r="L262" s="7" t="s">
        <v>88</v>
      </c>
      <c r="M262" s="7" t="str">
        <f>VLOOKUP(L262,countries, 2,false)</f>
        <v>Austria</v>
      </c>
      <c r="N262" s="7" t="str">
        <f>VLOOKUP(L262,countries, 4,false)</f>
        <v>Europe</v>
      </c>
      <c r="O262" s="7" t="str">
        <f>VLOOKUP(L262,countries, 5,false)</f>
        <v>Western Europe</v>
      </c>
      <c r="P262" s="7" t="s">
        <v>129</v>
      </c>
      <c r="Q262" s="7">
        <v>6672.0</v>
      </c>
      <c r="R262" s="12">
        <v>651.21</v>
      </c>
      <c r="S262" s="12">
        <v>524.96</v>
      </c>
      <c r="T262" s="13">
        <f t="shared" si="6"/>
        <v>4344873.12</v>
      </c>
      <c r="U262" s="13">
        <f t="shared" si="7"/>
        <v>128050.12</v>
      </c>
      <c r="V262" s="13">
        <f t="shared" si="8"/>
        <v>4216823</v>
      </c>
      <c r="W262" s="14">
        <f>Q262/totals!B$2</f>
        <v>0.0010145177</v>
      </c>
      <c r="X262" s="14">
        <f t="shared" si="9"/>
        <v>0.1869215409</v>
      </c>
      <c r="Y262" s="14">
        <f>T262/totals!B$5</f>
        <v>0.002552610336</v>
      </c>
      <c r="Z262" s="14">
        <f t="shared" si="10"/>
        <v>0.1970812529</v>
      </c>
      <c r="AA262" s="14">
        <f>V262/totals!B$4</f>
        <v>0.008408243343</v>
      </c>
      <c r="AB262" s="14">
        <f t="shared" si="11"/>
        <v>0.1944632228</v>
      </c>
    </row>
    <row r="263">
      <c r="A263" s="7">
        <v>1270.0</v>
      </c>
      <c r="B263" s="7" t="str">
        <f>VLOOKUP($A263,product_category,2, False)</f>
        <v>Beverages</v>
      </c>
      <c r="C263" s="7">
        <v>2.70358788E8</v>
      </c>
      <c r="D263" s="9">
        <v>41984.0</v>
      </c>
      <c r="E263" s="10">
        <f t="shared" si="1"/>
        <v>12</v>
      </c>
      <c r="F263" s="10" t="str">
        <f t="shared" si="2"/>
        <v>Dec</v>
      </c>
      <c r="G263" s="11">
        <f t="shared" si="3"/>
        <v>11</v>
      </c>
      <c r="H263" s="7">
        <f t="shared" si="4"/>
        <v>2014</v>
      </c>
      <c r="I263" s="9">
        <v>42028.0</v>
      </c>
      <c r="J263" s="11">
        <f t="shared" si="5"/>
        <v>44</v>
      </c>
      <c r="K263" s="7" t="s">
        <v>110</v>
      </c>
      <c r="L263" s="7" t="s">
        <v>28</v>
      </c>
      <c r="M263" s="7" t="str">
        <f>VLOOKUP(L263,countries, 2,false)</f>
        <v>Albania</v>
      </c>
      <c r="N263" s="7" t="str">
        <f>VLOOKUP(L263,countries, 4,false)</f>
        <v>Europe</v>
      </c>
      <c r="O263" s="7" t="str">
        <f>VLOOKUP(L263,countries, 5,false)</f>
        <v>Southern Europe</v>
      </c>
      <c r="P263" s="7" t="s">
        <v>212</v>
      </c>
      <c r="Q263" s="7">
        <v>4028.0</v>
      </c>
      <c r="R263" s="12">
        <v>47.45</v>
      </c>
      <c r="S263" s="12">
        <v>31.79</v>
      </c>
      <c r="T263" s="13">
        <f t="shared" si="6"/>
        <v>191128.6</v>
      </c>
      <c r="U263" s="13">
        <f t="shared" si="7"/>
        <v>642324.48</v>
      </c>
      <c r="V263" s="13">
        <f t="shared" si="8"/>
        <v>-451195.88</v>
      </c>
      <c r="W263" s="14">
        <f>Q263/totals!B$2</f>
        <v>0.0006124816088</v>
      </c>
      <c r="X263" s="14">
        <f t="shared" si="9"/>
        <v>0.1875340225</v>
      </c>
      <c r="Y263" s="14">
        <f>T263/totals!B$5</f>
        <v>0.0001122879371</v>
      </c>
      <c r="Z263" s="14">
        <f t="shared" si="10"/>
        <v>0.1971935409</v>
      </c>
      <c r="AA263" s="14">
        <f>V263/totals!B$4</f>
        <v>-0.0008996737009</v>
      </c>
      <c r="AB263" s="14">
        <f t="shared" si="11"/>
        <v>0.1935635491</v>
      </c>
    </row>
    <row r="264">
      <c r="A264" s="7">
        <v>8969.0</v>
      </c>
      <c r="B264" s="7" t="str">
        <f>VLOOKUP($A264,product_category,2, False)</f>
        <v>Snacks</v>
      </c>
      <c r="C264" s="7">
        <v>2.72361218E8</v>
      </c>
      <c r="D264" s="9">
        <v>40355.0</v>
      </c>
      <c r="E264" s="10">
        <f t="shared" si="1"/>
        <v>6</v>
      </c>
      <c r="F264" s="10" t="str">
        <f t="shared" si="2"/>
        <v>Jun</v>
      </c>
      <c r="G264" s="11">
        <f t="shared" si="3"/>
        <v>26</v>
      </c>
      <c r="H264" s="7">
        <f t="shared" si="4"/>
        <v>2010</v>
      </c>
      <c r="I264" s="9">
        <v>40362.0</v>
      </c>
      <c r="J264" s="11">
        <f t="shared" si="5"/>
        <v>7</v>
      </c>
      <c r="K264" s="7" t="s">
        <v>198</v>
      </c>
      <c r="L264" s="7" t="s">
        <v>597</v>
      </c>
      <c r="M264" s="7" t="str">
        <f>VLOOKUP(L264,countries, 2,false)</f>
        <v>Portugal</v>
      </c>
      <c r="N264" s="7" t="str">
        <f>VLOOKUP(L264,countries, 4,false)</f>
        <v>Europe</v>
      </c>
      <c r="O264" s="7" t="str">
        <f>VLOOKUP(L264,countries, 5,false)</f>
        <v>Southern Europe</v>
      </c>
      <c r="P264" s="7" t="s">
        <v>212</v>
      </c>
      <c r="Q264" s="7">
        <v>6592.0</v>
      </c>
      <c r="R264" s="12">
        <v>152.58</v>
      </c>
      <c r="S264" s="12">
        <v>97.44</v>
      </c>
      <c r="T264" s="13">
        <f t="shared" si="6"/>
        <v>1005807.36</v>
      </c>
      <c r="U264" s="13">
        <f t="shared" si="7"/>
        <v>39035.72</v>
      </c>
      <c r="V264" s="13">
        <f t="shared" si="8"/>
        <v>966771.64</v>
      </c>
      <c r="W264" s="14">
        <f>Q264/totals!B$2</f>
        <v>0.001002353219</v>
      </c>
      <c r="X264" s="14">
        <f t="shared" si="9"/>
        <v>0.1885363758</v>
      </c>
      <c r="Y264" s="14">
        <f>T264/totals!B$5</f>
        <v>0.0005909112169</v>
      </c>
      <c r="Z264" s="14">
        <f t="shared" si="10"/>
        <v>0.1977844521</v>
      </c>
      <c r="AA264" s="14">
        <f>V264/totals!B$4</f>
        <v>0.00192771933</v>
      </c>
      <c r="AB264" s="14">
        <f t="shared" si="11"/>
        <v>0.1954912684</v>
      </c>
    </row>
    <row r="265">
      <c r="A265" s="7">
        <v>4594.0</v>
      </c>
      <c r="B265" s="7" t="str">
        <f>VLOOKUP($A265,product_category,2, False)</f>
        <v>Fruits</v>
      </c>
      <c r="C265" s="7">
        <v>2.72425591E8</v>
      </c>
      <c r="D265" s="9">
        <v>40606.0</v>
      </c>
      <c r="E265" s="10">
        <f t="shared" si="1"/>
        <v>3</v>
      </c>
      <c r="F265" s="10" t="str">
        <f t="shared" si="2"/>
        <v>Mar</v>
      </c>
      <c r="G265" s="11">
        <f t="shared" si="3"/>
        <v>4</v>
      </c>
      <c r="H265" s="7">
        <f t="shared" si="4"/>
        <v>2011</v>
      </c>
      <c r="I265" s="9">
        <v>40623.0</v>
      </c>
      <c r="J265" s="11">
        <f t="shared" si="5"/>
        <v>17</v>
      </c>
      <c r="K265" s="7" t="s">
        <v>322</v>
      </c>
      <c r="L265" s="7" t="s">
        <v>237</v>
      </c>
      <c r="M265" s="7" t="str">
        <f>VLOOKUP(L265,countries, 2,false)</f>
        <v>Denmark</v>
      </c>
      <c r="N265" s="7" t="str">
        <f>VLOOKUP(L265,countries, 4,false)</f>
        <v>Europe</v>
      </c>
      <c r="O265" s="7" t="str">
        <f>VLOOKUP(L265,countries, 5,false)</f>
        <v>Northern Europe</v>
      </c>
      <c r="P265" s="7" t="s">
        <v>129</v>
      </c>
      <c r="Q265" s="7">
        <v>5641.0</v>
      </c>
      <c r="R265" s="12">
        <v>9.33</v>
      </c>
      <c r="S265" s="12">
        <v>6.92</v>
      </c>
      <c r="T265" s="13">
        <f t="shared" si="6"/>
        <v>52630.53</v>
      </c>
      <c r="U265" s="13">
        <f t="shared" si="7"/>
        <v>599550.36</v>
      </c>
      <c r="V265" s="13">
        <f t="shared" si="8"/>
        <v>-546919.83</v>
      </c>
      <c r="W265" s="14">
        <f>Q265/totals!B$2</f>
        <v>0.0008577479532</v>
      </c>
      <c r="X265" s="14">
        <f t="shared" si="9"/>
        <v>0.1893941237</v>
      </c>
      <c r="Y265" s="14">
        <f>T265/totals!B$5</f>
        <v>0.00003092040461</v>
      </c>
      <c r="Z265" s="14">
        <f t="shared" si="10"/>
        <v>0.1978153725</v>
      </c>
      <c r="AA265" s="14">
        <f>V265/totals!B$4</f>
        <v>-0.001090544948</v>
      </c>
      <c r="AB265" s="14">
        <f t="shared" si="11"/>
        <v>0.1944007235</v>
      </c>
    </row>
    <row r="266">
      <c r="A266" s="7">
        <v>8875.0</v>
      </c>
      <c r="B266" s="7" t="str">
        <f>VLOOKUP($A266,product_category,2, False)</f>
        <v>Meat</v>
      </c>
      <c r="C266" s="7">
        <v>2.73662412E8</v>
      </c>
      <c r="D266" s="9">
        <v>40379.0</v>
      </c>
      <c r="E266" s="10">
        <f t="shared" si="1"/>
        <v>7</v>
      </c>
      <c r="F266" s="10" t="str">
        <f t="shared" si="2"/>
        <v>Jul</v>
      </c>
      <c r="G266" s="11">
        <f t="shared" si="3"/>
        <v>20</v>
      </c>
      <c r="H266" s="7">
        <f t="shared" si="4"/>
        <v>2010</v>
      </c>
      <c r="I266" s="9">
        <v>40382.0</v>
      </c>
      <c r="J266" s="11">
        <f t="shared" si="5"/>
        <v>3</v>
      </c>
      <c r="K266" s="7" t="s">
        <v>198</v>
      </c>
      <c r="L266" s="7" t="s">
        <v>155</v>
      </c>
      <c r="M266" s="7" t="str">
        <f>VLOOKUP(L266,countries, 2,false)</f>
        <v>Bulgaria</v>
      </c>
      <c r="N266" s="7" t="str">
        <f>VLOOKUP(L266,countries, 4,false)</f>
        <v>Europe</v>
      </c>
      <c r="O266" s="7" t="str">
        <f>VLOOKUP(L266,countries, 5,false)</f>
        <v>Eastern Europe</v>
      </c>
      <c r="P266" s="7" t="s">
        <v>129</v>
      </c>
      <c r="Q266" s="7">
        <v>1644.0</v>
      </c>
      <c r="R266" s="12">
        <v>421.89</v>
      </c>
      <c r="S266" s="12">
        <v>364.69</v>
      </c>
      <c r="T266" s="13">
        <f t="shared" si="6"/>
        <v>693587.16</v>
      </c>
      <c r="U266" s="13">
        <f t="shared" si="7"/>
        <v>461062.07</v>
      </c>
      <c r="V266" s="13">
        <f t="shared" si="8"/>
        <v>232525.09</v>
      </c>
      <c r="W266" s="14">
        <f>Q266/totals!B$2</f>
        <v>0.0002499800807</v>
      </c>
      <c r="X266" s="14">
        <f t="shared" si="9"/>
        <v>0.1896441038</v>
      </c>
      <c r="Y266" s="14">
        <f>T266/totals!B$5</f>
        <v>0.0004074820379</v>
      </c>
      <c r="Z266" s="14">
        <f t="shared" si="10"/>
        <v>0.1982228545</v>
      </c>
      <c r="AA266" s="14">
        <f>V266/totals!B$4</f>
        <v>0.0004636494205</v>
      </c>
      <c r="AB266" s="14">
        <f t="shared" si="11"/>
        <v>0.1948643729</v>
      </c>
    </row>
    <row r="267">
      <c r="A267" s="7">
        <v>2103.0</v>
      </c>
      <c r="B267" s="7" t="str">
        <f>VLOOKUP($A267,product_category,2, False)</f>
        <v>Cereal</v>
      </c>
      <c r="C267" s="7">
        <v>2.73940503E8</v>
      </c>
      <c r="D267" s="9">
        <v>40800.0</v>
      </c>
      <c r="E267" s="10">
        <f t="shared" si="1"/>
        <v>9</v>
      </c>
      <c r="F267" s="10" t="str">
        <f t="shared" si="2"/>
        <v>Sep</v>
      </c>
      <c r="G267" s="11">
        <f t="shared" si="3"/>
        <v>14</v>
      </c>
      <c r="H267" s="7">
        <f t="shared" si="4"/>
        <v>2011</v>
      </c>
      <c r="I267" s="9">
        <v>40835.0</v>
      </c>
      <c r="J267" s="11">
        <f t="shared" si="5"/>
        <v>35</v>
      </c>
      <c r="K267" s="7" t="s">
        <v>322</v>
      </c>
      <c r="L267" s="7" t="s">
        <v>609</v>
      </c>
      <c r="M267" s="7" t="str">
        <f>VLOOKUP(L267,countries, 2,false)</f>
        <v>Romania</v>
      </c>
      <c r="N267" s="7" t="str">
        <f>VLOOKUP(L267,countries, 4,false)</f>
        <v>Europe</v>
      </c>
      <c r="O267" s="7" t="str">
        <f>VLOOKUP(L267,countries, 5,false)</f>
        <v>Eastern Europe</v>
      </c>
      <c r="P267" s="7" t="s">
        <v>129</v>
      </c>
      <c r="Q267" s="7">
        <v>3937.0</v>
      </c>
      <c r="R267" s="12">
        <v>205.7</v>
      </c>
      <c r="S267" s="12">
        <v>117.11</v>
      </c>
      <c r="T267" s="13">
        <f t="shared" si="6"/>
        <v>809840.9</v>
      </c>
      <c r="U267" s="13">
        <f t="shared" si="7"/>
        <v>400600.23</v>
      </c>
      <c r="V267" s="13">
        <f t="shared" si="8"/>
        <v>409240.67</v>
      </c>
      <c r="W267" s="14">
        <f>Q267/totals!B$2</f>
        <v>0.0005986445119</v>
      </c>
      <c r="X267" s="14">
        <f t="shared" si="9"/>
        <v>0.1902427483</v>
      </c>
      <c r="Y267" s="14">
        <f>T267/totals!B$5</f>
        <v>0.00047578104</v>
      </c>
      <c r="Z267" s="14">
        <f t="shared" si="10"/>
        <v>0.1986986356</v>
      </c>
      <c r="AA267" s="14">
        <f>V267/totals!B$4</f>
        <v>0.0008160160242</v>
      </c>
      <c r="AB267" s="14">
        <f t="shared" si="11"/>
        <v>0.1956803889</v>
      </c>
    </row>
    <row r="268">
      <c r="A268" s="7">
        <v>3127.0</v>
      </c>
      <c r="B268" s="7" t="str">
        <f>VLOOKUP($A268,product_category,2, False)</f>
        <v>Personal Care</v>
      </c>
      <c r="C268" s="7">
        <v>2.74694526E8</v>
      </c>
      <c r="D268" s="9">
        <v>42838.0</v>
      </c>
      <c r="E268" s="10">
        <f t="shared" si="1"/>
        <v>4</v>
      </c>
      <c r="F268" s="10" t="str">
        <f t="shared" si="2"/>
        <v>Apr</v>
      </c>
      <c r="G268" s="11">
        <f t="shared" si="3"/>
        <v>13</v>
      </c>
      <c r="H268" s="7">
        <f t="shared" si="4"/>
        <v>2017</v>
      </c>
      <c r="I268" s="9">
        <v>42866.0</v>
      </c>
      <c r="J268" s="11">
        <f t="shared" si="5"/>
        <v>28</v>
      </c>
      <c r="K268" s="7" t="s">
        <v>198</v>
      </c>
      <c r="L268" s="7" t="s">
        <v>478</v>
      </c>
      <c r="M268" s="7" t="str">
        <f>VLOOKUP(L268,countries, 2,false)</f>
        <v>Malta</v>
      </c>
      <c r="N268" s="7" t="str">
        <f>VLOOKUP(L268,countries, 4,false)</f>
        <v>Europe</v>
      </c>
      <c r="O268" s="7" t="str">
        <f>VLOOKUP(L268,countries, 5,false)</f>
        <v>Southern Europe</v>
      </c>
      <c r="P268" s="7" t="s">
        <v>212</v>
      </c>
      <c r="Q268" s="7">
        <v>7069.0</v>
      </c>
      <c r="R268" s="12">
        <v>81.73</v>
      </c>
      <c r="S268" s="12">
        <v>56.67</v>
      </c>
      <c r="T268" s="13">
        <f t="shared" si="6"/>
        <v>577749.37</v>
      </c>
      <c r="U268" s="13">
        <f t="shared" si="7"/>
        <v>420551.04</v>
      </c>
      <c r="V268" s="13">
        <f t="shared" si="8"/>
        <v>157198.33</v>
      </c>
      <c r="W268" s="14">
        <f>Q268/totals!B$2</f>
        <v>0.001074883936</v>
      </c>
      <c r="X268" s="14">
        <f t="shared" si="9"/>
        <v>0.1913176322</v>
      </c>
      <c r="Y268" s="14">
        <f>T268/totals!B$5</f>
        <v>0.0003394274062</v>
      </c>
      <c r="Z268" s="14">
        <f t="shared" si="10"/>
        <v>0.199038063</v>
      </c>
      <c r="AA268" s="14">
        <f>V268/totals!B$4</f>
        <v>0.0003134496781</v>
      </c>
      <c r="AB268" s="14">
        <f t="shared" si="11"/>
        <v>0.1959938386</v>
      </c>
    </row>
    <row r="269">
      <c r="A269" s="7">
        <v>8969.0</v>
      </c>
      <c r="B269" s="7" t="str">
        <f>VLOOKUP($A269,product_category,2, False)</f>
        <v>Snacks</v>
      </c>
      <c r="C269" s="7">
        <v>2.74989354E8</v>
      </c>
      <c r="D269" s="9">
        <v>41057.0</v>
      </c>
      <c r="E269" s="10">
        <f t="shared" si="1"/>
        <v>5</v>
      </c>
      <c r="F269" s="10" t="str">
        <f t="shared" si="2"/>
        <v>May</v>
      </c>
      <c r="G269" s="11">
        <f t="shared" si="3"/>
        <v>28</v>
      </c>
      <c r="H269" s="7">
        <f t="shared" si="4"/>
        <v>2012</v>
      </c>
      <c r="I269" s="9">
        <v>41100.0</v>
      </c>
      <c r="J269" s="11">
        <f t="shared" si="5"/>
        <v>43</v>
      </c>
      <c r="K269" s="7" t="s">
        <v>110</v>
      </c>
      <c r="L269" s="7" t="s">
        <v>702</v>
      </c>
      <c r="M269" s="7" t="str">
        <f>VLOOKUP(L269,countries, 2,false)</f>
        <v>Sweden</v>
      </c>
      <c r="N269" s="7" t="str">
        <f>VLOOKUP(L269,countries, 4,false)</f>
        <v>Europe</v>
      </c>
      <c r="O269" s="7" t="str">
        <f>VLOOKUP(L269,countries, 5,false)</f>
        <v>Northern Europe</v>
      </c>
      <c r="P269" s="7" t="s">
        <v>129</v>
      </c>
      <c r="Q269" s="7">
        <v>4316.0</v>
      </c>
      <c r="R269" s="12">
        <v>152.58</v>
      </c>
      <c r="S269" s="12">
        <v>97.44</v>
      </c>
      <c r="T269" s="13">
        <f t="shared" si="6"/>
        <v>658535.28</v>
      </c>
      <c r="U269" s="13">
        <f t="shared" si="7"/>
        <v>194001.92</v>
      </c>
      <c r="V269" s="13">
        <f t="shared" si="8"/>
        <v>464533.36</v>
      </c>
      <c r="W269" s="14">
        <f>Q269/totals!B$2</f>
        <v>0.0006562737397</v>
      </c>
      <c r="X269" s="14">
        <f t="shared" si="9"/>
        <v>0.191973906</v>
      </c>
      <c r="Y269" s="14">
        <f>T269/totals!B$5</f>
        <v>0.0003868890795</v>
      </c>
      <c r="Z269" s="14">
        <f t="shared" si="10"/>
        <v>0.1994249521</v>
      </c>
      <c r="AA269" s="14">
        <f>V269/totals!B$4</f>
        <v>0.0009262683143</v>
      </c>
      <c r="AB269" s="14">
        <f t="shared" si="11"/>
        <v>0.1969201069</v>
      </c>
    </row>
    <row r="270">
      <c r="A270" s="7">
        <v>2455.0</v>
      </c>
      <c r="B270" s="7" t="str">
        <f>VLOOKUP($A270,product_category,2, False)</f>
        <v>Clothes</v>
      </c>
      <c r="C270" s="7">
        <v>2.76784074E8</v>
      </c>
      <c r="D270" s="9">
        <v>42084.0</v>
      </c>
      <c r="E270" s="10">
        <f t="shared" si="1"/>
        <v>3</v>
      </c>
      <c r="F270" s="10" t="str">
        <f t="shared" si="2"/>
        <v>Mar</v>
      </c>
      <c r="G270" s="11">
        <f t="shared" si="3"/>
        <v>21</v>
      </c>
      <c r="H270" s="7">
        <f t="shared" si="4"/>
        <v>2015</v>
      </c>
      <c r="I270" s="9">
        <v>42109.0</v>
      </c>
      <c r="J270" s="11">
        <f t="shared" si="5"/>
        <v>25</v>
      </c>
      <c r="K270" s="7" t="s">
        <v>198</v>
      </c>
      <c r="L270" s="7" t="s">
        <v>307</v>
      </c>
      <c r="M270" s="7" t="str">
        <f>VLOOKUP(L270,countries, 2,false)</f>
        <v>Germany</v>
      </c>
      <c r="N270" s="7" t="str">
        <f>VLOOKUP(L270,countries, 4,false)</f>
        <v>Europe</v>
      </c>
      <c r="O270" s="7" t="str">
        <f>VLOOKUP(L270,countries, 5,false)</f>
        <v>Western Europe</v>
      </c>
      <c r="P270" s="7" t="s">
        <v>129</v>
      </c>
      <c r="Q270" s="7">
        <v>5413.0</v>
      </c>
      <c r="R270" s="12">
        <v>109.28</v>
      </c>
      <c r="S270" s="12">
        <v>35.84</v>
      </c>
      <c r="T270" s="13">
        <f t="shared" si="6"/>
        <v>591532.64</v>
      </c>
      <c r="U270" s="13">
        <f t="shared" si="7"/>
        <v>812563.74</v>
      </c>
      <c r="V270" s="13">
        <f t="shared" si="8"/>
        <v>-221031.1</v>
      </c>
      <c r="W270" s="14">
        <f>Q270/totals!B$2</f>
        <v>0.0008230791829</v>
      </c>
      <c r="X270" s="14">
        <f t="shared" si="9"/>
        <v>0.1927969852</v>
      </c>
      <c r="Y270" s="14">
        <f>T270/totals!B$5</f>
        <v>0.000347525069</v>
      </c>
      <c r="Z270" s="14">
        <f t="shared" si="10"/>
        <v>0.1997724771</v>
      </c>
      <c r="AA270" s="14">
        <f>V270/totals!B$4</f>
        <v>-0.0004407306817</v>
      </c>
      <c r="AB270" s="14">
        <f t="shared" si="11"/>
        <v>0.1964793762</v>
      </c>
    </row>
    <row r="271">
      <c r="A271" s="7">
        <v>7331.0</v>
      </c>
      <c r="B271" s="7" t="str">
        <f>VLOOKUP($A271,product_category,2, False)</f>
        <v>Baby Food</v>
      </c>
      <c r="C271" s="7">
        <v>2.76850593E8</v>
      </c>
      <c r="D271" s="9">
        <v>40776.0</v>
      </c>
      <c r="E271" s="10">
        <f t="shared" si="1"/>
        <v>8</v>
      </c>
      <c r="F271" s="10" t="str">
        <f t="shared" si="2"/>
        <v>Aug</v>
      </c>
      <c r="G271" s="11">
        <f t="shared" si="3"/>
        <v>21</v>
      </c>
      <c r="H271" s="7">
        <f t="shared" si="4"/>
        <v>2011</v>
      </c>
      <c r="I271" s="9">
        <v>40789.0</v>
      </c>
      <c r="J271" s="11">
        <f t="shared" si="5"/>
        <v>13</v>
      </c>
      <c r="K271" s="7" t="s">
        <v>322</v>
      </c>
      <c r="L271" s="7" t="s">
        <v>478</v>
      </c>
      <c r="M271" s="7" t="str">
        <f>VLOOKUP(L271,countries, 2,false)</f>
        <v>Malta</v>
      </c>
      <c r="N271" s="7" t="str">
        <f>VLOOKUP(L271,countries, 4,false)</f>
        <v>Europe</v>
      </c>
      <c r="O271" s="7" t="str">
        <f>VLOOKUP(L271,countries, 5,false)</f>
        <v>Southern Europe</v>
      </c>
      <c r="P271" s="7" t="s">
        <v>212</v>
      </c>
      <c r="Q271" s="7">
        <v>5097.0</v>
      </c>
      <c r="R271" s="12">
        <v>255.28</v>
      </c>
      <c r="S271" s="12">
        <v>159.42</v>
      </c>
      <c r="T271" s="13">
        <f t="shared" si="6"/>
        <v>1301162.16</v>
      </c>
      <c r="U271" s="13">
        <f t="shared" si="7"/>
        <v>48993.6</v>
      </c>
      <c r="V271" s="13">
        <f t="shared" si="8"/>
        <v>1252168.56</v>
      </c>
      <c r="W271" s="14">
        <f>Q271/totals!B$2</f>
        <v>0.0007750294837</v>
      </c>
      <c r="X271" s="14">
        <f t="shared" si="9"/>
        <v>0.1935720146</v>
      </c>
      <c r="Y271" s="14">
        <f>T271/totals!B$5</f>
        <v>0.0007644319837</v>
      </c>
      <c r="Z271" s="14">
        <f t="shared" si="10"/>
        <v>0.2005369091</v>
      </c>
      <c r="AA271" s="14">
        <f>V271/totals!B$4</f>
        <v>0.002496793904</v>
      </c>
      <c r="AB271" s="14">
        <f t="shared" si="11"/>
        <v>0.1989761701</v>
      </c>
    </row>
    <row r="272">
      <c r="A272" s="7">
        <v>4594.0</v>
      </c>
      <c r="B272" s="7" t="str">
        <f>VLOOKUP($A272,product_category,2, False)</f>
        <v>Fruits</v>
      </c>
      <c r="C272" s="7">
        <v>2.78513133E8</v>
      </c>
      <c r="D272" s="9">
        <v>40476.0</v>
      </c>
      <c r="E272" s="10">
        <f t="shared" si="1"/>
        <v>10</v>
      </c>
      <c r="F272" s="10" t="str">
        <f t="shared" si="2"/>
        <v>Oct</v>
      </c>
      <c r="G272" s="11">
        <f t="shared" si="3"/>
        <v>25</v>
      </c>
      <c r="H272" s="7">
        <f t="shared" si="4"/>
        <v>2010</v>
      </c>
      <c r="I272" s="9">
        <v>40487.0</v>
      </c>
      <c r="J272" s="11">
        <f t="shared" si="5"/>
        <v>11</v>
      </c>
      <c r="K272" s="7" t="s">
        <v>382</v>
      </c>
      <c r="L272" s="7" t="s">
        <v>460</v>
      </c>
      <c r="M272" s="7" t="str">
        <f>VLOOKUP(L272,countries, 2,false)</f>
        <v>Macedonia</v>
      </c>
      <c r="N272" s="7" t="str">
        <f>VLOOKUP(L272,countries, 4,false)</f>
        <v>Europe</v>
      </c>
      <c r="O272" s="7" t="str">
        <f>VLOOKUP(L272,countries, 5,false)</f>
        <v>Southern Europe</v>
      </c>
      <c r="P272" s="7" t="s">
        <v>129</v>
      </c>
      <c r="Q272" s="7">
        <v>7080.0</v>
      </c>
      <c r="R272" s="12">
        <v>9.33</v>
      </c>
      <c r="S272" s="12">
        <v>6.92</v>
      </c>
      <c r="T272" s="13">
        <f t="shared" si="6"/>
        <v>66056.4</v>
      </c>
      <c r="U272" s="13">
        <f t="shared" si="7"/>
        <v>151423.23</v>
      </c>
      <c r="V272" s="13">
        <f t="shared" si="8"/>
        <v>-85366.83</v>
      </c>
      <c r="W272" s="14">
        <f>Q272/totals!B$2</f>
        <v>0.001076556552</v>
      </c>
      <c r="X272" s="14">
        <f t="shared" si="9"/>
        <v>0.1946485712</v>
      </c>
      <c r="Y272" s="14">
        <f>T272/totals!B$5</f>
        <v>0.00003880809513</v>
      </c>
      <c r="Z272" s="14">
        <f t="shared" si="10"/>
        <v>0.2005757172</v>
      </c>
      <c r="AA272" s="14">
        <f>V272/totals!B$4</f>
        <v>-0.0001702193998</v>
      </c>
      <c r="AB272" s="14">
        <f t="shared" si="11"/>
        <v>0.1988059507</v>
      </c>
    </row>
    <row r="273">
      <c r="A273" s="7">
        <v>2103.0</v>
      </c>
      <c r="B273" s="7" t="str">
        <f>VLOOKUP($A273,product_category,2, False)</f>
        <v>Cereal</v>
      </c>
      <c r="C273" s="7">
        <v>2.79338395E8</v>
      </c>
      <c r="D273" s="9">
        <v>41649.0</v>
      </c>
      <c r="E273" s="10">
        <f t="shared" si="1"/>
        <v>1</v>
      </c>
      <c r="F273" s="10" t="str">
        <f t="shared" si="2"/>
        <v>Jan</v>
      </c>
      <c r="G273" s="11">
        <f t="shared" si="3"/>
        <v>10</v>
      </c>
      <c r="H273" s="7">
        <f t="shared" si="4"/>
        <v>2014</v>
      </c>
      <c r="I273" s="9">
        <v>41694.0</v>
      </c>
      <c r="J273" s="11">
        <f t="shared" si="5"/>
        <v>45</v>
      </c>
      <c r="K273" s="7" t="s">
        <v>322</v>
      </c>
      <c r="L273" s="7" t="s">
        <v>612</v>
      </c>
      <c r="M273" s="7" t="str">
        <f>VLOOKUP(L273,countries, 2,false)</f>
        <v>Russia</v>
      </c>
      <c r="N273" s="7" t="str">
        <f>VLOOKUP(L273,countries, 4,false)</f>
        <v>Europe</v>
      </c>
      <c r="O273" s="7" t="str">
        <f>VLOOKUP(L273,countries, 5,false)</f>
        <v>Eastern Europe</v>
      </c>
      <c r="P273" s="7" t="s">
        <v>129</v>
      </c>
      <c r="Q273" s="7">
        <v>1293.0</v>
      </c>
      <c r="R273" s="12">
        <v>205.7</v>
      </c>
      <c r="S273" s="12">
        <v>117.11</v>
      </c>
      <c r="T273" s="13">
        <f t="shared" si="6"/>
        <v>265970.1</v>
      </c>
      <c r="U273" s="13">
        <f t="shared" si="7"/>
        <v>1493287.14</v>
      </c>
      <c r="V273" s="13">
        <f t="shared" si="8"/>
        <v>-1227317.04</v>
      </c>
      <c r="W273" s="14">
        <f>Q273/totals!B$2</f>
        <v>0.0001966084211</v>
      </c>
      <c r="X273" s="14">
        <f t="shared" si="9"/>
        <v>0.1948451796</v>
      </c>
      <c r="Y273" s="14">
        <f>T273/totals!B$5</f>
        <v>0.0001562572732</v>
      </c>
      <c r="Z273" s="14">
        <f t="shared" si="10"/>
        <v>0.2007319745</v>
      </c>
      <c r="AA273" s="14">
        <f>V273/totals!B$4</f>
        <v>-0.002447240572</v>
      </c>
      <c r="AB273" s="14">
        <f t="shared" si="11"/>
        <v>0.1963587102</v>
      </c>
    </row>
    <row r="274">
      <c r="A274" s="7">
        <v>7331.0</v>
      </c>
      <c r="B274" s="7" t="str">
        <f>VLOOKUP($A274,product_category,2, False)</f>
        <v>Baby Food</v>
      </c>
      <c r="C274" s="7">
        <v>2.79703605E8</v>
      </c>
      <c r="D274" s="9">
        <v>40179.0</v>
      </c>
      <c r="E274" s="10">
        <f t="shared" si="1"/>
        <v>1</v>
      </c>
      <c r="F274" s="10" t="str">
        <f t="shared" si="2"/>
        <v>Jan</v>
      </c>
      <c r="G274" s="11">
        <f t="shared" si="3"/>
        <v>1</v>
      </c>
      <c r="H274" s="7">
        <f t="shared" si="4"/>
        <v>2010</v>
      </c>
      <c r="I274" s="9">
        <v>40188.0</v>
      </c>
      <c r="J274" s="11">
        <f t="shared" si="5"/>
        <v>9</v>
      </c>
      <c r="K274" s="7" t="s">
        <v>198</v>
      </c>
      <c r="L274" s="7" t="s">
        <v>364</v>
      </c>
      <c r="M274" s="7" t="str">
        <f>VLOOKUP(L274,countries, 2,false)</f>
        <v>Hungary</v>
      </c>
      <c r="N274" s="7" t="str">
        <f>VLOOKUP(L274,countries, 4,false)</f>
        <v>Europe</v>
      </c>
      <c r="O274" s="7" t="str">
        <f>VLOOKUP(L274,countries, 5,false)</f>
        <v>Eastern Europe</v>
      </c>
      <c r="P274" s="7" t="s">
        <v>212</v>
      </c>
      <c r="Q274" s="7">
        <v>9367.0</v>
      </c>
      <c r="R274" s="12">
        <v>255.28</v>
      </c>
      <c r="S274" s="12">
        <v>159.42</v>
      </c>
      <c r="T274" s="13">
        <f t="shared" si="6"/>
        <v>2391207.76</v>
      </c>
      <c r="U274" s="13">
        <f t="shared" si="7"/>
        <v>269616.48</v>
      </c>
      <c r="V274" s="13">
        <f t="shared" si="8"/>
        <v>2121591.28</v>
      </c>
      <c r="W274" s="14">
        <f>Q274/totals!B$2</f>
        <v>0.001424308647</v>
      </c>
      <c r="X274" s="14">
        <f t="shared" si="9"/>
        <v>0.1962694883</v>
      </c>
      <c r="Y274" s="14">
        <f>T274/totals!B$5</f>
        <v>0.001404833116</v>
      </c>
      <c r="Z274" s="14">
        <f t="shared" si="10"/>
        <v>0.2021368076</v>
      </c>
      <c r="AA274" s="14">
        <f>V274/totals!B$4</f>
        <v>0.004230401835</v>
      </c>
      <c r="AB274" s="14">
        <f t="shared" si="11"/>
        <v>0.200589112</v>
      </c>
    </row>
    <row r="275">
      <c r="A275" s="7">
        <v>8969.0</v>
      </c>
      <c r="B275" s="7" t="str">
        <f>VLOOKUP($A275,product_category,2, False)</f>
        <v>Snacks</v>
      </c>
      <c r="C275" s="7">
        <v>2.79816472E8</v>
      </c>
      <c r="D275" s="9">
        <v>41707.0</v>
      </c>
      <c r="E275" s="10">
        <f t="shared" si="1"/>
        <v>3</v>
      </c>
      <c r="F275" s="10" t="str">
        <f t="shared" si="2"/>
        <v>Mar</v>
      </c>
      <c r="G275" s="11">
        <f t="shared" si="3"/>
        <v>9</v>
      </c>
      <c r="H275" s="7">
        <f t="shared" si="4"/>
        <v>2014</v>
      </c>
      <c r="I275" s="9">
        <v>41743.0</v>
      </c>
      <c r="J275" s="11">
        <f t="shared" si="5"/>
        <v>36</v>
      </c>
      <c r="K275" s="7" t="s">
        <v>382</v>
      </c>
      <c r="L275" s="7" t="s">
        <v>597</v>
      </c>
      <c r="M275" s="7" t="str">
        <f>VLOOKUP(L275,countries, 2,false)</f>
        <v>Portugal</v>
      </c>
      <c r="N275" s="7" t="str">
        <f>VLOOKUP(L275,countries, 4,false)</f>
        <v>Europe</v>
      </c>
      <c r="O275" s="7" t="str">
        <f>VLOOKUP(L275,countries, 5,false)</f>
        <v>Southern Europe</v>
      </c>
      <c r="P275" s="7" t="s">
        <v>212</v>
      </c>
      <c r="Q275" s="7">
        <v>2767.0</v>
      </c>
      <c r="R275" s="12">
        <v>152.58</v>
      </c>
      <c r="S275" s="12">
        <v>97.44</v>
      </c>
      <c r="T275" s="13">
        <f t="shared" si="6"/>
        <v>422188.86</v>
      </c>
      <c r="U275" s="13">
        <f t="shared" si="7"/>
        <v>470313.76</v>
      </c>
      <c r="V275" s="13">
        <f t="shared" si="8"/>
        <v>-48124.9</v>
      </c>
      <c r="W275" s="14">
        <f>Q275/totals!B$2</f>
        <v>0.00042073898</v>
      </c>
      <c r="X275" s="14">
        <f t="shared" si="9"/>
        <v>0.1966902272</v>
      </c>
      <c r="Y275" s="14">
        <f>T275/totals!B$5</f>
        <v>0.0002480357004</v>
      </c>
      <c r="Z275" s="14">
        <f t="shared" si="10"/>
        <v>0.2023848433</v>
      </c>
      <c r="AA275" s="14">
        <f>V275/totals!B$4</f>
        <v>-0.00009595988972</v>
      </c>
      <c r="AB275" s="14">
        <f t="shared" si="11"/>
        <v>0.2004931521</v>
      </c>
    </row>
    <row r="276">
      <c r="A276" s="7">
        <v>2103.0</v>
      </c>
      <c r="B276" s="7" t="str">
        <f>VLOOKUP($A276,product_category,2, False)</f>
        <v>Cereal</v>
      </c>
      <c r="C276" s="7">
        <v>2.8019241E8</v>
      </c>
      <c r="D276" s="9">
        <v>40740.0</v>
      </c>
      <c r="E276" s="10">
        <f t="shared" si="1"/>
        <v>7</v>
      </c>
      <c r="F276" s="10" t="str">
        <f t="shared" si="2"/>
        <v>Jul</v>
      </c>
      <c r="G276" s="11">
        <f t="shared" si="3"/>
        <v>16</v>
      </c>
      <c r="H276" s="7">
        <f t="shared" si="4"/>
        <v>2011</v>
      </c>
      <c r="I276" s="9">
        <v>40783.0</v>
      </c>
      <c r="J276" s="11">
        <f t="shared" si="5"/>
        <v>43</v>
      </c>
      <c r="K276" s="7" t="s">
        <v>382</v>
      </c>
      <c r="L276" s="7" t="s">
        <v>283</v>
      </c>
      <c r="M276" s="7" t="str">
        <f>VLOOKUP(L276,countries, 2,false)</f>
        <v>Finland</v>
      </c>
      <c r="N276" s="7" t="str">
        <f>VLOOKUP(L276,countries, 4,false)</f>
        <v>Europe</v>
      </c>
      <c r="O276" s="7" t="str">
        <f>VLOOKUP(L276,countries, 5,false)</f>
        <v>Northern Europe</v>
      </c>
      <c r="P276" s="7" t="s">
        <v>129</v>
      </c>
      <c r="Q276" s="7">
        <v>4016.0</v>
      </c>
      <c r="R276" s="12">
        <v>205.7</v>
      </c>
      <c r="S276" s="12">
        <v>117.11</v>
      </c>
      <c r="T276" s="13">
        <f t="shared" si="6"/>
        <v>826091.2</v>
      </c>
      <c r="U276" s="13">
        <f t="shared" si="7"/>
        <v>991687.48</v>
      </c>
      <c r="V276" s="13">
        <f t="shared" si="8"/>
        <v>-165596.28</v>
      </c>
      <c r="W276" s="14">
        <f>Q276/totals!B$2</f>
        <v>0.0006106569367</v>
      </c>
      <c r="X276" s="14">
        <f t="shared" si="9"/>
        <v>0.1973008842</v>
      </c>
      <c r="Y276" s="14">
        <f>T276/totals!B$5</f>
        <v>0.0004853280814</v>
      </c>
      <c r="Z276" s="14">
        <f t="shared" si="10"/>
        <v>0.2028701714</v>
      </c>
      <c r="AA276" s="14">
        <f>V276/totals!B$4</f>
        <v>-0.0003301949878</v>
      </c>
      <c r="AB276" s="14">
        <f t="shared" si="11"/>
        <v>0.2001629571</v>
      </c>
    </row>
    <row r="277">
      <c r="A277" s="7">
        <v>2103.0</v>
      </c>
      <c r="B277" s="7" t="str">
        <f>VLOOKUP($A277,product_category,2, False)</f>
        <v>Cereal</v>
      </c>
      <c r="C277" s="7">
        <v>2.80477797E8</v>
      </c>
      <c r="D277" s="9">
        <v>40839.0</v>
      </c>
      <c r="E277" s="10">
        <f t="shared" si="1"/>
        <v>10</v>
      </c>
      <c r="F277" s="10" t="str">
        <f t="shared" si="2"/>
        <v>Oct</v>
      </c>
      <c r="G277" s="11">
        <f t="shared" si="3"/>
        <v>23</v>
      </c>
      <c r="H277" s="7">
        <f t="shared" si="4"/>
        <v>2011</v>
      </c>
      <c r="I277" s="9">
        <v>40840.0</v>
      </c>
      <c r="J277" s="11">
        <f t="shared" si="5"/>
        <v>1</v>
      </c>
      <c r="K277" s="7" t="s">
        <v>322</v>
      </c>
      <c r="L277" s="7" t="s">
        <v>316</v>
      </c>
      <c r="M277" s="7" t="str">
        <f>VLOOKUP(L277,countries, 2,false)</f>
        <v>Greece</v>
      </c>
      <c r="N277" s="7" t="str">
        <f>VLOOKUP(L277,countries, 4,false)</f>
        <v>Europe</v>
      </c>
      <c r="O277" s="7" t="str">
        <f>VLOOKUP(L277,countries, 5,false)</f>
        <v>Southern Europe</v>
      </c>
      <c r="P277" s="7" t="s">
        <v>212</v>
      </c>
      <c r="Q277" s="7">
        <v>8468.0</v>
      </c>
      <c r="R277" s="12">
        <v>205.7</v>
      </c>
      <c r="S277" s="12">
        <v>117.11</v>
      </c>
      <c r="T277" s="13">
        <f t="shared" si="6"/>
        <v>1741867.6</v>
      </c>
      <c r="U277" s="13">
        <f t="shared" si="7"/>
        <v>279263.04</v>
      </c>
      <c r="V277" s="13">
        <f t="shared" si="8"/>
        <v>1462604.56</v>
      </c>
      <c r="W277" s="14">
        <f>Q277/totals!B$2</f>
        <v>0.001287610294</v>
      </c>
      <c r="X277" s="14">
        <f t="shared" si="9"/>
        <v>0.1985884945</v>
      </c>
      <c r="Y277" s="14">
        <f>T277/totals!B$5</f>
        <v>0.001023346164</v>
      </c>
      <c r="Z277" s="14">
        <f t="shared" si="10"/>
        <v>0.2038935175</v>
      </c>
      <c r="AA277" s="14">
        <f>V277/totals!B$4</f>
        <v>0.002916398211</v>
      </c>
      <c r="AB277" s="14">
        <f t="shared" si="11"/>
        <v>0.2030793553</v>
      </c>
    </row>
    <row r="278">
      <c r="A278" s="7">
        <v>8969.0</v>
      </c>
      <c r="B278" s="7" t="str">
        <f>VLOOKUP($A278,product_category,2, False)</f>
        <v>Snacks</v>
      </c>
      <c r="C278" s="7">
        <v>2.81100928E8</v>
      </c>
      <c r="D278" s="9">
        <v>41168.0</v>
      </c>
      <c r="E278" s="10">
        <f t="shared" si="1"/>
        <v>9</v>
      </c>
      <c r="F278" s="10" t="str">
        <f t="shared" si="2"/>
        <v>Sep</v>
      </c>
      <c r="G278" s="11">
        <f t="shared" si="3"/>
        <v>16</v>
      </c>
      <c r="H278" s="7">
        <f t="shared" si="4"/>
        <v>2012</v>
      </c>
      <c r="I278" s="9">
        <v>41216.0</v>
      </c>
      <c r="J278" s="11">
        <f t="shared" si="5"/>
        <v>48</v>
      </c>
      <c r="K278" s="7" t="s">
        <v>382</v>
      </c>
      <c r="L278" s="7" t="s">
        <v>392</v>
      </c>
      <c r="M278" s="7" t="str">
        <f>VLOOKUP(L278,countries, 2,false)</f>
        <v>Italy</v>
      </c>
      <c r="N278" s="7" t="str">
        <f>VLOOKUP(L278,countries, 4,false)</f>
        <v>Europe</v>
      </c>
      <c r="O278" s="7" t="str">
        <f>VLOOKUP(L278,countries, 5,false)</f>
        <v>Southern Europe</v>
      </c>
      <c r="P278" s="7" t="s">
        <v>129</v>
      </c>
      <c r="Q278" s="7">
        <v>2866.0</v>
      </c>
      <c r="R278" s="12">
        <v>152.58</v>
      </c>
      <c r="S278" s="12">
        <v>97.44</v>
      </c>
      <c r="T278" s="13">
        <f t="shared" si="6"/>
        <v>437294.28</v>
      </c>
      <c r="U278" s="13">
        <f t="shared" si="7"/>
        <v>297652.32</v>
      </c>
      <c r="V278" s="13">
        <f t="shared" si="8"/>
        <v>139641.96</v>
      </c>
      <c r="W278" s="14">
        <f>Q278/totals!B$2</f>
        <v>0.000435792525</v>
      </c>
      <c r="X278" s="14">
        <f t="shared" si="9"/>
        <v>0.199024287</v>
      </c>
      <c r="Y278" s="14">
        <f>T278/totals!B$5</f>
        <v>0.0002569101256</v>
      </c>
      <c r="Z278" s="14">
        <f t="shared" si="10"/>
        <v>0.2041504277</v>
      </c>
      <c r="AA278" s="14">
        <f>V278/totals!B$4</f>
        <v>0.0002784426998</v>
      </c>
      <c r="AB278" s="14">
        <f t="shared" si="11"/>
        <v>0.203357798</v>
      </c>
    </row>
    <row r="279">
      <c r="A279" s="7">
        <v>8681.0</v>
      </c>
      <c r="B279" s="7" t="str">
        <f>VLOOKUP($A279,product_category,2, False)</f>
        <v>Office Supplies</v>
      </c>
      <c r="C279" s="7">
        <v>2.82917964E8</v>
      </c>
      <c r="D279" s="9">
        <v>42024.0</v>
      </c>
      <c r="E279" s="10">
        <f t="shared" si="1"/>
        <v>1</v>
      </c>
      <c r="F279" s="10" t="str">
        <f t="shared" si="2"/>
        <v>Jan</v>
      </c>
      <c r="G279" s="11">
        <f t="shared" si="3"/>
        <v>20</v>
      </c>
      <c r="H279" s="7">
        <f t="shared" si="4"/>
        <v>2015</v>
      </c>
      <c r="I279" s="9">
        <v>42031.0</v>
      </c>
      <c r="J279" s="11">
        <f t="shared" si="5"/>
        <v>7</v>
      </c>
      <c r="K279" s="7" t="s">
        <v>322</v>
      </c>
      <c r="L279" s="7" t="s">
        <v>612</v>
      </c>
      <c r="M279" s="7" t="str">
        <f>VLOOKUP(L279,countries, 2,false)</f>
        <v>Russia</v>
      </c>
      <c r="N279" s="7" t="str">
        <f>VLOOKUP(L279,countries, 4,false)</f>
        <v>Europe</v>
      </c>
      <c r="O279" s="7" t="str">
        <f>VLOOKUP(L279,countries, 5,false)</f>
        <v>Eastern Europe</v>
      </c>
      <c r="P279" s="7" t="s">
        <v>212</v>
      </c>
      <c r="Q279" s="7">
        <v>567.0</v>
      </c>
      <c r="R279" s="12">
        <v>651.21</v>
      </c>
      <c r="S279" s="12">
        <v>524.96</v>
      </c>
      <c r="T279" s="13">
        <f t="shared" si="6"/>
        <v>369236.07</v>
      </c>
      <c r="U279" s="13">
        <f t="shared" si="7"/>
        <v>751543.82</v>
      </c>
      <c r="V279" s="13">
        <f t="shared" si="8"/>
        <v>-382307.75</v>
      </c>
      <c r="W279" s="14">
        <f>Q279/totals!B$2</f>
        <v>0.00008621575775</v>
      </c>
      <c r="X279" s="14">
        <f t="shared" si="9"/>
        <v>0.1991105028</v>
      </c>
      <c r="Y279" s="14">
        <f>T279/totals!B$5</f>
        <v>0.0002169259683</v>
      </c>
      <c r="Z279" s="14">
        <f t="shared" si="10"/>
        <v>0.2043673536</v>
      </c>
      <c r="AA279" s="14">
        <f>V279/totals!B$4</f>
        <v>-0.0007623124314</v>
      </c>
      <c r="AB279" s="14">
        <f t="shared" si="11"/>
        <v>0.2025954856</v>
      </c>
    </row>
    <row r="280">
      <c r="A280" s="7">
        <v>8293.0</v>
      </c>
      <c r="B280" s="7" t="str">
        <f>VLOOKUP($A280,product_category,2, False)</f>
        <v>Cosmetics</v>
      </c>
      <c r="C280" s="7">
        <v>2.84108436E8</v>
      </c>
      <c r="D280" s="9">
        <v>41727.0</v>
      </c>
      <c r="E280" s="10">
        <f t="shared" si="1"/>
        <v>3</v>
      </c>
      <c r="F280" s="10" t="str">
        <f t="shared" si="2"/>
        <v>Mar</v>
      </c>
      <c r="G280" s="11">
        <f t="shared" si="3"/>
        <v>29</v>
      </c>
      <c r="H280" s="7">
        <f t="shared" si="4"/>
        <v>2014</v>
      </c>
      <c r="I280" s="9">
        <v>41732.0</v>
      </c>
      <c r="J280" s="11">
        <f t="shared" si="5"/>
        <v>5</v>
      </c>
      <c r="K280" s="7" t="s">
        <v>110</v>
      </c>
      <c r="L280" s="7" t="s">
        <v>478</v>
      </c>
      <c r="M280" s="7" t="str">
        <f>VLOOKUP(L280,countries, 2,false)</f>
        <v>Malta</v>
      </c>
      <c r="N280" s="7" t="str">
        <f>VLOOKUP(L280,countries, 4,false)</f>
        <v>Europe</v>
      </c>
      <c r="O280" s="7" t="str">
        <f>VLOOKUP(L280,countries, 5,false)</f>
        <v>Southern Europe</v>
      </c>
      <c r="P280" s="7" t="s">
        <v>129</v>
      </c>
      <c r="Q280" s="7">
        <v>2854.0</v>
      </c>
      <c r="R280" s="12">
        <v>437.2</v>
      </c>
      <c r="S280" s="12">
        <v>263.33</v>
      </c>
      <c r="T280" s="13">
        <f t="shared" si="6"/>
        <v>1247768.8</v>
      </c>
      <c r="U280" s="13">
        <f t="shared" si="7"/>
        <v>703091.1</v>
      </c>
      <c r="V280" s="13">
        <f t="shared" si="8"/>
        <v>544677.7</v>
      </c>
      <c r="W280" s="14">
        <f>Q280/totals!B$2</f>
        <v>0.0004339678529</v>
      </c>
      <c r="X280" s="14">
        <f t="shared" si="9"/>
        <v>0.1995444706</v>
      </c>
      <c r="Y280" s="14">
        <f>T280/totals!B$5</f>
        <v>0.0007330634169</v>
      </c>
      <c r="Z280" s="14">
        <f t="shared" si="10"/>
        <v>0.2051004171</v>
      </c>
      <c r="AA280" s="14">
        <f>V280/totals!B$4</f>
        <v>0.001086074195</v>
      </c>
      <c r="AB280" s="14">
        <f t="shared" si="11"/>
        <v>0.2036815598</v>
      </c>
    </row>
    <row r="281">
      <c r="A281" s="7">
        <v>8293.0</v>
      </c>
      <c r="B281" s="7" t="str">
        <f>VLOOKUP($A281,product_category,2, False)</f>
        <v>Cosmetics</v>
      </c>
      <c r="C281" s="7">
        <v>2.84310567E8</v>
      </c>
      <c r="D281" s="9">
        <v>42571.0</v>
      </c>
      <c r="E281" s="10">
        <f t="shared" si="1"/>
        <v>7</v>
      </c>
      <c r="F281" s="10" t="str">
        <f t="shared" si="2"/>
        <v>Jul</v>
      </c>
      <c r="G281" s="11">
        <f t="shared" si="3"/>
        <v>20</v>
      </c>
      <c r="H281" s="7">
        <f t="shared" si="4"/>
        <v>2016</v>
      </c>
      <c r="I281" s="9">
        <v>42615.0</v>
      </c>
      <c r="J281" s="11">
        <f t="shared" si="5"/>
        <v>44</v>
      </c>
      <c r="K281" s="7" t="s">
        <v>110</v>
      </c>
      <c r="L281" s="7" t="s">
        <v>594</v>
      </c>
      <c r="M281" s="7" t="str">
        <f>VLOOKUP(L281,countries, 2,false)</f>
        <v>Poland</v>
      </c>
      <c r="N281" s="7" t="str">
        <f>VLOOKUP(L281,countries, 4,false)</f>
        <v>Europe</v>
      </c>
      <c r="O281" s="7" t="str">
        <f>VLOOKUP(L281,countries, 5,false)</f>
        <v>Eastern Europe</v>
      </c>
      <c r="P281" s="7" t="s">
        <v>212</v>
      </c>
      <c r="Q281" s="7">
        <v>2670.0</v>
      </c>
      <c r="R281" s="12">
        <v>437.2</v>
      </c>
      <c r="S281" s="12">
        <v>263.33</v>
      </c>
      <c r="T281" s="13">
        <f t="shared" si="6"/>
        <v>1167324</v>
      </c>
      <c r="U281" s="13">
        <f t="shared" si="7"/>
        <v>9183.93</v>
      </c>
      <c r="V281" s="13">
        <f t="shared" si="8"/>
        <v>1158140.07</v>
      </c>
      <c r="W281" s="14">
        <f>Q281/totals!B$2</f>
        <v>0.0004059895471</v>
      </c>
      <c r="X281" s="14">
        <f t="shared" si="9"/>
        <v>0.1999504602</v>
      </c>
      <c r="Y281" s="14">
        <f>T281/totals!B$5</f>
        <v>0.0006858021455</v>
      </c>
      <c r="Z281" s="14">
        <f t="shared" si="10"/>
        <v>0.2057862192</v>
      </c>
      <c r="AA281" s="14">
        <f>V281/totals!B$4</f>
        <v>0.002309303363</v>
      </c>
      <c r="AB281" s="14">
        <f t="shared" si="11"/>
        <v>0.2059908632</v>
      </c>
    </row>
    <row r="282">
      <c r="A282" s="7">
        <v>5988.0</v>
      </c>
      <c r="B282" s="7" t="str">
        <f>VLOOKUP($A282,product_category,2, False)</f>
        <v>Vegetables</v>
      </c>
      <c r="C282" s="7">
        <v>2.84403264E8</v>
      </c>
      <c r="D282" s="9">
        <v>42711.0</v>
      </c>
      <c r="E282" s="10">
        <f t="shared" si="1"/>
        <v>12</v>
      </c>
      <c r="F282" s="10" t="str">
        <f t="shared" si="2"/>
        <v>Dec</v>
      </c>
      <c r="G282" s="11">
        <f t="shared" si="3"/>
        <v>7</v>
      </c>
      <c r="H282" s="7">
        <f t="shared" si="4"/>
        <v>2016</v>
      </c>
      <c r="I282" s="9">
        <v>42731.0</v>
      </c>
      <c r="J282" s="11">
        <f t="shared" si="5"/>
        <v>20</v>
      </c>
      <c r="K282" s="7" t="s">
        <v>198</v>
      </c>
      <c r="L282" s="7" t="s">
        <v>702</v>
      </c>
      <c r="M282" s="7" t="str">
        <f>VLOOKUP(L282,countries, 2,false)</f>
        <v>Sweden</v>
      </c>
      <c r="N282" s="7" t="str">
        <f>VLOOKUP(L282,countries, 4,false)</f>
        <v>Europe</v>
      </c>
      <c r="O282" s="7" t="str">
        <f>VLOOKUP(L282,countries, 5,false)</f>
        <v>Northern Europe</v>
      </c>
      <c r="P282" s="7" t="s">
        <v>212</v>
      </c>
      <c r="Q282" s="7">
        <v>101.0</v>
      </c>
      <c r="R282" s="12">
        <v>154.06</v>
      </c>
      <c r="S282" s="12">
        <v>90.93</v>
      </c>
      <c r="T282" s="13">
        <f t="shared" si="6"/>
        <v>15560.06</v>
      </c>
      <c r="U282" s="13">
        <f t="shared" si="7"/>
        <v>545448.75</v>
      </c>
      <c r="V282" s="13">
        <f t="shared" si="8"/>
        <v>-529888.69</v>
      </c>
      <c r="W282" s="14">
        <f>Q282/totals!B$2</f>
        <v>0.00001535765702</v>
      </c>
      <c r="X282" s="14">
        <f t="shared" si="9"/>
        <v>0.1999658178</v>
      </c>
      <c r="Y282" s="14">
        <f>T282/totals!B$5</f>
        <v>0.000009141525859</v>
      </c>
      <c r="Z282" s="14">
        <f t="shared" si="10"/>
        <v>0.2057953607</v>
      </c>
      <c r="AA282" s="14">
        <f>V282/totals!B$4</f>
        <v>-0.001056585266</v>
      </c>
      <c r="AB282" s="14">
        <f t="shared" si="11"/>
        <v>0.2049342779</v>
      </c>
    </row>
    <row r="283">
      <c r="A283" s="7">
        <v>3127.0</v>
      </c>
      <c r="B283" s="7" t="str">
        <f>VLOOKUP($A283,product_category,2, False)</f>
        <v>Personal Care</v>
      </c>
      <c r="C283" s="7">
        <v>2.84435451E8</v>
      </c>
      <c r="D283" s="9">
        <v>41454.0</v>
      </c>
      <c r="E283" s="10">
        <f t="shared" si="1"/>
        <v>6</v>
      </c>
      <c r="F283" s="10" t="str">
        <f t="shared" si="2"/>
        <v>Jun</v>
      </c>
      <c r="G283" s="11">
        <f t="shared" si="3"/>
        <v>29</v>
      </c>
      <c r="H283" s="7">
        <f t="shared" si="4"/>
        <v>2013</v>
      </c>
      <c r="I283" s="9">
        <v>41454.0</v>
      </c>
      <c r="J283" s="11">
        <f t="shared" si="5"/>
        <v>0</v>
      </c>
      <c r="K283" s="7" t="s">
        <v>198</v>
      </c>
      <c r="L283" s="7" t="s">
        <v>323</v>
      </c>
      <c r="M283" s="7" t="str">
        <f>VLOOKUP(L283,countries, 2,false)</f>
        <v>Montenegro</v>
      </c>
      <c r="N283" s="7" t="str">
        <f>VLOOKUP(L283,countries, 4,false)</f>
        <v>Europe</v>
      </c>
      <c r="O283" s="7" t="str">
        <f>VLOOKUP(L283,countries, 5,false)</f>
        <v>Southern Europe</v>
      </c>
      <c r="P283" s="7" t="s">
        <v>212</v>
      </c>
      <c r="Q283" s="7">
        <v>9625.0</v>
      </c>
      <c r="R283" s="12">
        <v>81.73</v>
      </c>
      <c r="S283" s="12">
        <v>56.67</v>
      </c>
      <c r="T283" s="13">
        <f t="shared" si="6"/>
        <v>786651.25</v>
      </c>
      <c r="U283" s="13">
        <f t="shared" si="7"/>
        <v>1875436.26</v>
      </c>
      <c r="V283" s="13">
        <f t="shared" si="8"/>
        <v>-1088785.01</v>
      </c>
      <c r="W283" s="14">
        <f>Q283/totals!B$2</f>
        <v>0.001463539098</v>
      </c>
      <c r="X283" s="14">
        <f t="shared" si="9"/>
        <v>0.2014293569</v>
      </c>
      <c r="Y283" s="14">
        <f>T283/totals!B$5</f>
        <v>0.0004621571346</v>
      </c>
      <c r="Z283" s="14">
        <f t="shared" si="10"/>
        <v>0.2062575179</v>
      </c>
      <c r="AA283" s="14">
        <f>V283/totals!B$4</f>
        <v>-0.002171011046</v>
      </c>
      <c r="AB283" s="14">
        <f t="shared" si="11"/>
        <v>0.2027632668</v>
      </c>
    </row>
    <row r="284">
      <c r="A284" s="7">
        <v>8293.0</v>
      </c>
      <c r="B284" s="7" t="str">
        <f>VLOOKUP($A284,product_category,2, False)</f>
        <v>Cosmetics</v>
      </c>
      <c r="C284" s="7">
        <v>2.84595954E8</v>
      </c>
      <c r="D284" s="9">
        <v>42670.0</v>
      </c>
      <c r="E284" s="10">
        <f t="shared" si="1"/>
        <v>10</v>
      </c>
      <c r="F284" s="10" t="str">
        <f t="shared" si="2"/>
        <v>Oct</v>
      </c>
      <c r="G284" s="11">
        <f t="shared" si="3"/>
        <v>27</v>
      </c>
      <c r="H284" s="7">
        <f t="shared" si="4"/>
        <v>2016</v>
      </c>
      <c r="I284" s="9">
        <v>42672.0</v>
      </c>
      <c r="J284" s="11">
        <f t="shared" si="5"/>
        <v>2</v>
      </c>
      <c r="K284" s="7" t="s">
        <v>198</v>
      </c>
      <c r="L284" s="7" t="s">
        <v>642</v>
      </c>
      <c r="M284" s="7" t="str">
        <f>VLOOKUP(L284,countries, 2,false)</f>
        <v>San Marino</v>
      </c>
      <c r="N284" s="7" t="str">
        <f>VLOOKUP(L284,countries, 4,false)</f>
        <v>Europe</v>
      </c>
      <c r="O284" s="7" t="str">
        <f>VLOOKUP(L284,countries, 5,false)</f>
        <v>Southern Europe</v>
      </c>
      <c r="P284" s="7" t="s">
        <v>212</v>
      </c>
      <c r="Q284" s="7">
        <v>7122.0</v>
      </c>
      <c r="R284" s="12">
        <v>437.2</v>
      </c>
      <c r="S284" s="12">
        <v>263.33</v>
      </c>
      <c r="T284" s="13">
        <f t="shared" si="6"/>
        <v>3113738.4</v>
      </c>
      <c r="U284" s="13">
        <f t="shared" si="7"/>
        <v>770722.68</v>
      </c>
      <c r="V284" s="13">
        <f t="shared" si="8"/>
        <v>2343015.72</v>
      </c>
      <c r="W284" s="14">
        <f>Q284/totals!B$2</f>
        <v>0.001082942904</v>
      </c>
      <c r="X284" s="14">
        <f t="shared" si="9"/>
        <v>0.2025122998</v>
      </c>
      <c r="Y284" s="14">
        <f>T284/totals!B$5</f>
        <v>0.001829319431</v>
      </c>
      <c r="Z284" s="14">
        <f t="shared" si="10"/>
        <v>0.2080868373</v>
      </c>
      <c r="AA284" s="14">
        <f>V284/totals!B$4</f>
        <v>0.004671916827</v>
      </c>
      <c r="AB284" s="14">
        <f t="shared" si="11"/>
        <v>0.2074351837</v>
      </c>
    </row>
    <row r="285">
      <c r="A285" s="7">
        <v>5988.0</v>
      </c>
      <c r="B285" s="7" t="str">
        <f>VLOOKUP($A285,product_category,2, False)</f>
        <v>Vegetables</v>
      </c>
      <c r="C285" s="7">
        <v>2.85343968E8</v>
      </c>
      <c r="D285" s="9">
        <v>41882.0</v>
      </c>
      <c r="E285" s="10">
        <f t="shared" si="1"/>
        <v>8</v>
      </c>
      <c r="F285" s="10" t="str">
        <f t="shared" si="2"/>
        <v>Aug</v>
      </c>
      <c r="G285" s="11">
        <f t="shared" si="3"/>
        <v>31</v>
      </c>
      <c r="H285" s="7">
        <f t="shared" si="4"/>
        <v>2014</v>
      </c>
      <c r="I285" s="9">
        <v>41887.0</v>
      </c>
      <c r="J285" s="11">
        <f t="shared" si="5"/>
        <v>5</v>
      </c>
      <c r="K285" s="7" t="s">
        <v>198</v>
      </c>
      <c r="L285" s="7" t="s">
        <v>200</v>
      </c>
      <c r="M285" s="7" t="str">
        <f>VLOOKUP(L285,countries, 2,false)</f>
        <v>Serbia</v>
      </c>
      <c r="N285" s="7" t="str">
        <f>VLOOKUP(L285,countries, 4,false)</f>
        <v>Europe</v>
      </c>
      <c r="O285" s="7" t="str">
        <f>VLOOKUP(L285,countries, 5,false)</f>
        <v>Southern Europe</v>
      </c>
      <c r="P285" s="7" t="s">
        <v>129</v>
      </c>
      <c r="Q285" s="7">
        <v>8476.0</v>
      </c>
      <c r="R285" s="12">
        <v>154.06</v>
      </c>
      <c r="S285" s="12">
        <v>90.93</v>
      </c>
      <c r="T285" s="13">
        <f t="shared" si="6"/>
        <v>1305812.56</v>
      </c>
      <c r="U285" s="13">
        <f t="shared" si="7"/>
        <v>191714.61</v>
      </c>
      <c r="V285" s="13">
        <f t="shared" si="8"/>
        <v>1114097.95</v>
      </c>
      <c r="W285" s="14">
        <f>Q285/totals!B$2</f>
        <v>0.001288826742</v>
      </c>
      <c r="X285" s="14">
        <f t="shared" si="9"/>
        <v>0.2038011266</v>
      </c>
      <c r="Y285" s="14">
        <f>T285/totals!B$5</f>
        <v>0.0007671640909</v>
      </c>
      <c r="Z285" s="14">
        <f t="shared" si="10"/>
        <v>0.2088540014</v>
      </c>
      <c r="AA285" s="14">
        <f>V285/totals!B$4</f>
        <v>0.002221484438</v>
      </c>
      <c r="AB285" s="14">
        <f t="shared" si="11"/>
        <v>0.2096566681</v>
      </c>
    </row>
    <row r="286">
      <c r="A286" s="7">
        <v>3127.0</v>
      </c>
      <c r="B286" s="7" t="str">
        <f>VLOOKUP($A286,product_category,2, False)</f>
        <v>Personal Care</v>
      </c>
      <c r="C286" s="7">
        <v>2.87151563E8</v>
      </c>
      <c r="D286" s="9">
        <v>41853.0</v>
      </c>
      <c r="E286" s="10">
        <f t="shared" si="1"/>
        <v>8</v>
      </c>
      <c r="F286" s="10" t="str">
        <f t="shared" si="2"/>
        <v>Aug</v>
      </c>
      <c r="G286" s="11">
        <f t="shared" si="3"/>
        <v>2</v>
      </c>
      <c r="H286" s="7">
        <f t="shared" si="4"/>
        <v>2014</v>
      </c>
      <c r="I286" s="9">
        <v>41862.0</v>
      </c>
      <c r="J286" s="11">
        <f t="shared" si="5"/>
        <v>9</v>
      </c>
      <c r="K286" s="7" t="s">
        <v>110</v>
      </c>
      <c r="L286" s="7" t="s">
        <v>705</v>
      </c>
      <c r="M286" s="7" t="str">
        <f>VLOOKUP(L286,countries, 2,false)</f>
        <v>Switzerland</v>
      </c>
      <c r="N286" s="7" t="str">
        <f>VLOOKUP(L286,countries, 4,false)</f>
        <v>Europe</v>
      </c>
      <c r="O286" s="7" t="str">
        <f>VLOOKUP(L286,countries, 5,false)</f>
        <v>Western Europe</v>
      </c>
      <c r="P286" s="7" t="s">
        <v>212</v>
      </c>
      <c r="Q286" s="7">
        <v>3383.0</v>
      </c>
      <c r="R286" s="12">
        <v>81.73</v>
      </c>
      <c r="S286" s="12">
        <v>56.67</v>
      </c>
      <c r="T286" s="13">
        <f t="shared" si="6"/>
        <v>276492.59</v>
      </c>
      <c r="U286" s="13">
        <f t="shared" si="7"/>
        <v>4023.57</v>
      </c>
      <c r="V286" s="13">
        <f t="shared" si="8"/>
        <v>272469.02</v>
      </c>
      <c r="W286" s="14">
        <f>Q286/totals!B$2</f>
        <v>0.0005144054823</v>
      </c>
      <c r="X286" s="14">
        <f t="shared" si="9"/>
        <v>0.204315532</v>
      </c>
      <c r="Y286" s="14">
        <f>T286/totals!B$5</f>
        <v>0.0001624392297</v>
      </c>
      <c r="Z286" s="14">
        <f t="shared" si="10"/>
        <v>0.2090164406</v>
      </c>
      <c r="AA286" s="14">
        <f>V286/totals!B$4</f>
        <v>0.0005432966533</v>
      </c>
      <c r="AB286" s="14">
        <f t="shared" si="11"/>
        <v>0.2101999648</v>
      </c>
    </row>
    <row r="287">
      <c r="A287" s="7">
        <v>3127.0</v>
      </c>
      <c r="B287" s="7" t="str">
        <f>VLOOKUP($A287,product_category,2, False)</f>
        <v>Personal Care</v>
      </c>
      <c r="C287" s="7">
        <v>2.87917602E8</v>
      </c>
      <c r="D287" s="9">
        <v>41246.0</v>
      </c>
      <c r="E287" s="10">
        <f t="shared" si="1"/>
        <v>12</v>
      </c>
      <c r="F287" s="10" t="str">
        <f t="shared" si="2"/>
        <v>Dec</v>
      </c>
      <c r="G287" s="11">
        <f t="shared" si="3"/>
        <v>3</v>
      </c>
      <c r="H287" s="7">
        <f t="shared" si="4"/>
        <v>2012</v>
      </c>
      <c r="I287" s="9">
        <v>41279.0</v>
      </c>
      <c r="J287" s="11">
        <f t="shared" si="5"/>
        <v>33</v>
      </c>
      <c r="K287" s="7" t="s">
        <v>322</v>
      </c>
      <c r="L287" s="7" t="s">
        <v>307</v>
      </c>
      <c r="M287" s="7" t="str">
        <f>VLOOKUP(L287,countries, 2,false)</f>
        <v>Germany</v>
      </c>
      <c r="N287" s="7" t="str">
        <f>VLOOKUP(L287,countries, 4,false)</f>
        <v>Europe</v>
      </c>
      <c r="O287" s="7" t="str">
        <f>VLOOKUP(L287,countries, 5,false)</f>
        <v>Western Europe</v>
      </c>
      <c r="P287" s="7" t="s">
        <v>129</v>
      </c>
      <c r="Q287" s="7">
        <v>71.0</v>
      </c>
      <c r="R287" s="12">
        <v>81.73</v>
      </c>
      <c r="S287" s="12">
        <v>56.67</v>
      </c>
      <c r="T287" s="13">
        <f t="shared" si="6"/>
        <v>5802.83</v>
      </c>
      <c r="U287" s="13">
        <f t="shared" si="7"/>
        <v>983780.82</v>
      </c>
      <c r="V287" s="13">
        <f t="shared" si="8"/>
        <v>-977977.99</v>
      </c>
      <c r="W287" s="14">
        <f>Q287/totals!B$2</f>
        <v>0.00001079597672</v>
      </c>
      <c r="X287" s="14">
        <f t="shared" si="9"/>
        <v>0.204326328</v>
      </c>
      <c r="Y287" s="14">
        <f>T287/totals!B$5</f>
        <v>0.000003409159123</v>
      </c>
      <c r="Z287" s="14">
        <f t="shared" si="10"/>
        <v>0.2090198498</v>
      </c>
      <c r="AA287" s="14">
        <f>V287/totals!B$4</f>
        <v>-0.001950064521</v>
      </c>
      <c r="AB287" s="14">
        <f t="shared" si="11"/>
        <v>0.2082499002</v>
      </c>
    </row>
    <row r="288">
      <c r="A288" s="7">
        <v>7331.0</v>
      </c>
      <c r="B288" s="7" t="str">
        <f>VLOOKUP($A288,product_category,2, False)</f>
        <v>Baby Food</v>
      </c>
      <c r="C288" s="7">
        <v>2.88073384E8</v>
      </c>
      <c r="D288" s="9">
        <v>42019.0</v>
      </c>
      <c r="E288" s="10">
        <f t="shared" si="1"/>
        <v>1</v>
      </c>
      <c r="F288" s="10" t="str">
        <f t="shared" si="2"/>
        <v>Jan</v>
      </c>
      <c r="G288" s="11">
        <f t="shared" si="3"/>
        <v>15</v>
      </c>
      <c r="H288" s="7">
        <f t="shared" si="4"/>
        <v>2015</v>
      </c>
      <c r="I288" s="9">
        <v>42051.0</v>
      </c>
      <c r="J288" s="11">
        <f t="shared" si="5"/>
        <v>32</v>
      </c>
      <c r="K288" s="7" t="s">
        <v>382</v>
      </c>
      <c r="L288" s="7" t="s">
        <v>316</v>
      </c>
      <c r="M288" s="7" t="str">
        <f>VLOOKUP(L288,countries, 2,false)</f>
        <v>Greece</v>
      </c>
      <c r="N288" s="7" t="str">
        <f>VLOOKUP(L288,countries, 4,false)</f>
        <v>Europe</v>
      </c>
      <c r="O288" s="7" t="str">
        <f>VLOOKUP(L288,countries, 5,false)</f>
        <v>Southern Europe</v>
      </c>
      <c r="P288" s="7" t="s">
        <v>212</v>
      </c>
      <c r="Q288" s="7">
        <v>6171.0</v>
      </c>
      <c r="R288" s="12">
        <v>255.28</v>
      </c>
      <c r="S288" s="12">
        <v>159.42</v>
      </c>
      <c r="T288" s="13">
        <f t="shared" si="6"/>
        <v>1575332.88</v>
      </c>
      <c r="U288" s="13">
        <f t="shared" si="7"/>
        <v>4531454.72</v>
      </c>
      <c r="V288" s="13">
        <f t="shared" si="8"/>
        <v>-2956121.84</v>
      </c>
      <c r="W288" s="14">
        <f>Q288/totals!B$2</f>
        <v>0.0009383376385</v>
      </c>
      <c r="X288" s="14">
        <f t="shared" si="9"/>
        <v>0.2052646657</v>
      </c>
      <c r="Y288" s="14">
        <f>T288/totals!B$5</f>
        <v>0.0009255071162</v>
      </c>
      <c r="Z288" s="14">
        <f t="shared" si="10"/>
        <v>0.2099453569</v>
      </c>
      <c r="AA288" s="14">
        <f>V288/totals!B$4</f>
        <v>-0.005894435641</v>
      </c>
      <c r="AB288" s="14">
        <f t="shared" si="11"/>
        <v>0.2023554646</v>
      </c>
    </row>
    <row r="289">
      <c r="A289" s="7">
        <v>8681.0</v>
      </c>
      <c r="B289" s="7" t="str">
        <f>VLOOKUP($A289,product_category,2, False)</f>
        <v>Office Supplies</v>
      </c>
      <c r="C289" s="7">
        <v>2.88656175E8</v>
      </c>
      <c r="D289" s="9">
        <v>42338.0</v>
      </c>
      <c r="E289" s="10">
        <f t="shared" si="1"/>
        <v>11</v>
      </c>
      <c r="F289" s="10" t="str">
        <f t="shared" si="2"/>
        <v>Nov</v>
      </c>
      <c r="G289" s="11">
        <f t="shared" si="3"/>
        <v>30</v>
      </c>
      <c r="H289" s="7">
        <f t="shared" si="4"/>
        <v>2015</v>
      </c>
      <c r="I289" s="9">
        <v>42368.0</v>
      </c>
      <c r="J289" s="11">
        <f t="shared" si="5"/>
        <v>30</v>
      </c>
      <c r="K289" s="7" t="s">
        <v>322</v>
      </c>
      <c r="L289" s="7" t="s">
        <v>136</v>
      </c>
      <c r="M289" s="7" t="str">
        <f>VLOOKUP(L289,countries, 2,false)</f>
        <v>Bosnia and Herzegovina</v>
      </c>
      <c r="N289" s="7" t="str">
        <f>VLOOKUP(L289,countries, 4,false)</f>
        <v>Europe</v>
      </c>
      <c r="O289" s="7" t="str">
        <f>VLOOKUP(L289,countries, 5,false)</f>
        <v>Southern Europe</v>
      </c>
      <c r="P289" s="7" t="s">
        <v>212</v>
      </c>
      <c r="Q289" s="7">
        <v>8632.0</v>
      </c>
      <c r="R289" s="12">
        <v>651.21</v>
      </c>
      <c r="S289" s="12">
        <v>524.96</v>
      </c>
      <c r="T289" s="13">
        <f t="shared" si="6"/>
        <v>5621244.72</v>
      </c>
      <c r="U289" s="13">
        <f t="shared" si="7"/>
        <v>84972.77</v>
      </c>
      <c r="V289" s="13">
        <f t="shared" si="8"/>
        <v>5536271.95</v>
      </c>
      <c r="W289" s="14">
        <f>Q289/totals!B$2</f>
        <v>0.001312547479</v>
      </c>
      <c r="X289" s="14">
        <f t="shared" si="9"/>
        <v>0.2065772131</v>
      </c>
      <c r="Y289" s="14">
        <f>T289/totals!B$5</f>
        <v>0.00330247788</v>
      </c>
      <c r="Z289" s="14">
        <f t="shared" si="10"/>
        <v>0.2132478348</v>
      </c>
      <c r="AA289" s="14">
        <f>V289/totals!B$4</f>
        <v>0.01103919272</v>
      </c>
      <c r="AB289" s="14">
        <f t="shared" si="11"/>
        <v>0.2133946573</v>
      </c>
    </row>
    <row r="290">
      <c r="A290" s="7">
        <v>8875.0</v>
      </c>
      <c r="B290" s="7" t="str">
        <f>VLOOKUP($A290,product_category,2, False)</f>
        <v>Meat</v>
      </c>
      <c r="C290" s="7">
        <v>2.90317428E8</v>
      </c>
      <c r="D290" s="9">
        <v>42421.0</v>
      </c>
      <c r="E290" s="10">
        <f t="shared" si="1"/>
        <v>2</v>
      </c>
      <c r="F290" s="10" t="str">
        <f t="shared" si="2"/>
        <v>Feb</v>
      </c>
      <c r="G290" s="11">
        <f t="shared" si="3"/>
        <v>21</v>
      </c>
      <c r="H290" s="7">
        <f t="shared" si="4"/>
        <v>2016</v>
      </c>
      <c r="I290" s="9">
        <v>42462.0</v>
      </c>
      <c r="J290" s="11">
        <f t="shared" si="5"/>
        <v>41</v>
      </c>
      <c r="K290" s="7" t="s">
        <v>110</v>
      </c>
      <c r="L290" s="7" t="s">
        <v>392</v>
      </c>
      <c r="M290" s="7" t="str">
        <f>VLOOKUP(L290,countries, 2,false)</f>
        <v>Italy</v>
      </c>
      <c r="N290" s="7" t="str">
        <f>VLOOKUP(L290,countries, 4,false)</f>
        <v>Europe</v>
      </c>
      <c r="O290" s="7" t="str">
        <f>VLOOKUP(L290,countries, 5,false)</f>
        <v>Southern Europe</v>
      </c>
      <c r="P290" s="7" t="s">
        <v>129</v>
      </c>
      <c r="Q290" s="7">
        <v>233.0</v>
      </c>
      <c r="R290" s="12">
        <v>421.89</v>
      </c>
      <c r="S290" s="12">
        <v>364.69</v>
      </c>
      <c r="T290" s="13">
        <f t="shared" si="6"/>
        <v>98300.37</v>
      </c>
      <c r="U290" s="13">
        <f t="shared" si="7"/>
        <v>2575367.4</v>
      </c>
      <c r="V290" s="13">
        <f t="shared" si="8"/>
        <v>-2477067.03</v>
      </c>
      <c r="W290" s="14">
        <f>Q290/totals!B$2</f>
        <v>0.00003542905036</v>
      </c>
      <c r="X290" s="14">
        <f t="shared" si="9"/>
        <v>0.2066126422</v>
      </c>
      <c r="Y290" s="14">
        <f>T290/totals!B$5</f>
        <v>0.00005775140805</v>
      </c>
      <c r="Z290" s="14">
        <f t="shared" si="10"/>
        <v>0.2133055862</v>
      </c>
      <c r="AA290" s="14">
        <f>V290/totals!B$4</f>
        <v>-0.004939211906</v>
      </c>
      <c r="AB290" s="14">
        <f t="shared" si="11"/>
        <v>0.2084554454</v>
      </c>
    </row>
    <row r="291">
      <c r="A291" s="7">
        <v>8293.0</v>
      </c>
      <c r="B291" s="7" t="str">
        <f>VLOOKUP($A291,product_category,2, False)</f>
        <v>Cosmetics</v>
      </c>
      <c r="C291" s="7">
        <v>2.91160714E8</v>
      </c>
      <c r="D291" s="9">
        <v>41009.0</v>
      </c>
      <c r="E291" s="10">
        <f t="shared" si="1"/>
        <v>4</v>
      </c>
      <c r="F291" s="10" t="str">
        <f t="shared" si="2"/>
        <v>Apr</v>
      </c>
      <c r="G291" s="11">
        <f t="shared" si="3"/>
        <v>10</v>
      </c>
      <c r="H291" s="7">
        <f t="shared" si="4"/>
        <v>2012</v>
      </c>
      <c r="I291" s="9">
        <v>41055.0</v>
      </c>
      <c r="J291" s="11">
        <f t="shared" si="5"/>
        <v>46</v>
      </c>
      <c r="K291" s="7" t="s">
        <v>382</v>
      </c>
      <c r="L291" s="7" t="s">
        <v>56</v>
      </c>
      <c r="M291" s="7" t="str">
        <f>VLOOKUP(L291,countries, 2,false)</f>
        <v>Andorra</v>
      </c>
      <c r="N291" s="7" t="str">
        <f>VLOOKUP(L291,countries, 4,false)</f>
        <v>Europe</v>
      </c>
      <c r="O291" s="7" t="str">
        <f>VLOOKUP(L291,countries, 5,false)</f>
        <v>Southern Europe</v>
      </c>
      <c r="P291" s="7" t="s">
        <v>129</v>
      </c>
      <c r="Q291" s="7">
        <v>9780.0</v>
      </c>
      <c r="R291" s="12">
        <v>437.2</v>
      </c>
      <c r="S291" s="12">
        <v>263.33</v>
      </c>
      <c r="T291" s="13">
        <f t="shared" si="6"/>
        <v>4275816</v>
      </c>
      <c r="U291" s="13">
        <f t="shared" si="7"/>
        <v>2697634.72</v>
      </c>
      <c r="V291" s="13">
        <f t="shared" si="8"/>
        <v>1578181.28</v>
      </c>
      <c r="W291" s="14">
        <f>Q291/totals!B$2</f>
        <v>0.001487107779</v>
      </c>
      <c r="X291" s="14">
        <f t="shared" si="9"/>
        <v>0.20809975</v>
      </c>
      <c r="Y291" s="14">
        <f>T291/totals!B$5</f>
        <v>0.002512039319</v>
      </c>
      <c r="Z291" s="14">
        <f t="shared" si="10"/>
        <v>0.2158176255</v>
      </c>
      <c r="AA291" s="14">
        <f>V291/totals!B$4</f>
        <v>0.003146855403</v>
      </c>
      <c r="AB291" s="14">
        <f t="shared" si="11"/>
        <v>0.2116023008</v>
      </c>
    </row>
    <row r="292">
      <c r="A292" s="7">
        <v>7940.0</v>
      </c>
      <c r="B292" s="7" t="str">
        <f>VLOOKUP($A292,product_category,2, False)</f>
        <v>Household</v>
      </c>
      <c r="C292" s="7">
        <v>2.91179597E8</v>
      </c>
      <c r="D292" s="9">
        <v>42779.0</v>
      </c>
      <c r="E292" s="10">
        <f t="shared" si="1"/>
        <v>2</v>
      </c>
      <c r="F292" s="10" t="str">
        <f t="shared" si="2"/>
        <v>Feb</v>
      </c>
      <c r="G292" s="11">
        <f t="shared" si="3"/>
        <v>13</v>
      </c>
      <c r="H292" s="7">
        <f t="shared" si="4"/>
        <v>2017</v>
      </c>
      <c r="I292" s="9">
        <v>42786.0</v>
      </c>
      <c r="J292" s="11">
        <f t="shared" si="5"/>
        <v>7</v>
      </c>
      <c r="K292" s="7" t="s">
        <v>382</v>
      </c>
      <c r="L292" s="7" t="s">
        <v>448</v>
      </c>
      <c r="M292" s="7" t="str">
        <f>VLOOKUP(L292,countries, 2,false)</f>
        <v>Liechtenstein</v>
      </c>
      <c r="N292" s="7" t="str">
        <f>VLOOKUP(L292,countries, 4,false)</f>
        <v>Europe</v>
      </c>
      <c r="O292" s="7" t="str">
        <f>VLOOKUP(L292,countries, 5,false)</f>
        <v>Western Europe</v>
      </c>
      <c r="P292" s="7" t="s">
        <v>129</v>
      </c>
      <c r="Q292" s="7">
        <v>5368.0</v>
      </c>
      <c r="R292" s="12">
        <v>668.27</v>
      </c>
      <c r="S292" s="12">
        <v>502.54</v>
      </c>
      <c r="T292" s="13">
        <f t="shared" si="6"/>
        <v>3587273.36</v>
      </c>
      <c r="U292" s="13">
        <f t="shared" si="7"/>
        <v>18718.6</v>
      </c>
      <c r="V292" s="13">
        <f t="shared" si="8"/>
        <v>3568554.76</v>
      </c>
      <c r="W292" s="14">
        <f>Q292/totals!B$2</f>
        <v>0.0008162366624</v>
      </c>
      <c r="X292" s="14">
        <f t="shared" si="9"/>
        <v>0.2089159866</v>
      </c>
      <c r="Y292" s="14">
        <f>T292/totals!B$5</f>
        <v>0.002107520934</v>
      </c>
      <c r="Z292" s="14">
        <f t="shared" si="10"/>
        <v>0.2179251464</v>
      </c>
      <c r="AA292" s="14">
        <f>V292/totals!B$4</f>
        <v>0.00711561211</v>
      </c>
      <c r="AB292" s="14">
        <f t="shared" si="11"/>
        <v>0.2187179129</v>
      </c>
    </row>
    <row r="293">
      <c r="A293" s="7">
        <v>4594.0</v>
      </c>
      <c r="B293" s="7" t="str">
        <f>VLOOKUP($A293,product_category,2, False)</f>
        <v>Fruits</v>
      </c>
      <c r="C293" s="7">
        <v>2.91305768E8</v>
      </c>
      <c r="D293" s="9">
        <v>41279.0</v>
      </c>
      <c r="E293" s="10">
        <f t="shared" si="1"/>
        <v>1</v>
      </c>
      <c r="F293" s="10" t="str">
        <f t="shared" si="2"/>
        <v>Jan</v>
      </c>
      <c r="G293" s="11">
        <f t="shared" si="3"/>
        <v>5</v>
      </c>
      <c r="H293" s="7">
        <f t="shared" si="4"/>
        <v>2013</v>
      </c>
      <c r="I293" s="9">
        <v>41280.0</v>
      </c>
      <c r="J293" s="11">
        <f t="shared" si="5"/>
        <v>1</v>
      </c>
      <c r="K293" s="7" t="s">
        <v>382</v>
      </c>
      <c r="L293" s="7" t="s">
        <v>136</v>
      </c>
      <c r="M293" s="7" t="str">
        <f>VLOOKUP(L293,countries, 2,false)</f>
        <v>Bosnia and Herzegovina</v>
      </c>
      <c r="N293" s="7" t="str">
        <f>VLOOKUP(L293,countries, 4,false)</f>
        <v>Europe</v>
      </c>
      <c r="O293" s="7" t="str">
        <f>VLOOKUP(L293,countries, 5,false)</f>
        <v>Southern Europe</v>
      </c>
      <c r="P293" s="7" t="s">
        <v>129</v>
      </c>
      <c r="Q293" s="7">
        <v>2705.0</v>
      </c>
      <c r="R293" s="12">
        <v>9.33</v>
      </c>
      <c r="S293" s="12">
        <v>6.92</v>
      </c>
      <c r="T293" s="13">
        <f t="shared" si="6"/>
        <v>25237.65</v>
      </c>
      <c r="U293" s="13">
        <f t="shared" si="7"/>
        <v>302163.95</v>
      </c>
      <c r="V293" s="13">
        <f t="shared" si="8"/>
        <v>-276926.3</v>
      </c>
      <c r="W293" s="14">
        <f>Q293/totals!B$2</f>
        <v>0.0004113115074</v>
      </c>
      <c r="X293" s="14">
        <f t="shared" si="9"/>
        <v>0.2093272981</v>
      </c>
      <c r="Y293" s="14">
        <f>T293/totals!B$5</f>
        <v>0.00001482710414</v>
      </c>
      <c r="Z293" s="14">
        <f t="shared" si="10"/>
        <v>0.2179399735</v>
      </c>
      <c r="AA293" s="14">
        <f>V293/totals!B$4</f>
        <v>-0.0005521843621</v>
      </c>
      <c r="AB293" s="14">
        <f t="shared" si="11"/>
        <v>0.2181657286</v>
      </c>
    </row>
    <row r="294">
      <c r="A294" s="7">
        <v>1270.0</v>
      </c>
      <c r="B294" s="7" t="str">
        <f>VLOOKUP($A294,product_category,2, False)</f>
        <v>Beverages</v>
      </c>
      <c r="C294" s="7">
        <v>2.91531503E8</v>
      </c>
      <c r="D294" s="9">
        <v>41570.0</v>
      </c>
      <c r="E294" s="10">
        <f t="shared" si="1"/>
        <v>10</v>
      </c>
      <c r="F294" s="10" t="str">
        <f t="shared" si="2"/>
        <v>Oct</v>
      </c>
      <c r="G294" s="11">
        <f t="shared" si="3"/>
        <v>23</v>
      </c>
      <c r="H294" s="7">
        <f t="shared" si="4"/>
        <v>2013</v>
      </c>
      <c r="I294" s="9">
        <v>41573.0</v>
      </c>
      <c r="J294" s="11">
        <f t="shared" si="5"/>
        <v>3</v>
      </c>
      <c r="K294" s="7" t="s">
        <v>322</v>
      </c>
      <c r="L294" s="7" t="s">
        <v>439</v>
      </c>
      <c r="M294" s="7" t="str">
        <f>VLOOKUP(L294,countries, 2,false)</f>
        <v>Slovakia</v>
      </c>
      <c r="N294" s="7" t="str">
        <f>VLOOKUP(L294,countries, 4,false)</f>
        <v>Europe</v>
      </c>
      <c r="O294" s="7" t="str">
        <f>VLOOKUP(L294,countries, 5,false)</f>
        <v>Eastern Europe</v>
      </c>
      <c r="P294" s="7" t="s">
        <v>129</v>
      </c>
      <c r="Q294" s="7">
        <v>9505.0</v>
      </c>
      <c r="R294" s="12">
        <v>47.45</v>
      </c>
      <c r="S294" s="12">
        <v>31.79</v>
      </c>
      <c r="T294" s="13">
        <f t="shared" si="6"/>
        <v>451012.25</v>
      </c>
      <c r="U294" s="13">
        <f t="shared" si="7"/>
        <v>304597.44</v>
      </c>
      <c r="V294" s="13">
        <f t="shared" si="8"/>
        <v>146414.81</v>
      </c>
      <c r="W294" s="14">
        <f>Q294/totals!B$2</f>
        <v>0.001445292376</v>
      </c>
      <c r="X294" s="14">
        <f t="shared" si="9"/>
        <v>0.2107725905</v>
      </c>
      <c r="Y294" s="14">
        <f>T294/totals!B$5</f>
        <v>0.0002649694247</v>
      </c>
      <c r="Z294" s="14">
        <f t="shared" si="10"/>
        <v>0.218204943</v>
      </c>
      <c r="AA294" s="14">
        <f>V294/totals!B$4</f>
        <v>0.0002919475993</v>
      </c>
      <c r="AB294" s="14">
        <f t="shared" si="11"/>
        <v>0.2184576762</v>
      </c>
    </row>
    <row r="295">
      <c r="A295" s="7">
        <v>8969.0</v>
      </c>
      <c r="B295" s="7" t="str">
        <f>VLOOKUP($A295,product_category,2, False)</f>
        <v>Snacks</v>
      </c>
      <c r="C295" s="7">
        <v>2.91611325E8</v>
      </c>
      <c r="D295" s="9">
        <v>42767.0</v>
      </c>
      <c r="E295" s="10">
        <f t="shared" si="1"/>
        <v>2</v>
      </c>
      <c r="F295" s="10" t="str">
        <f t="shared" si="2"/>
        <v>Feb</v>
      </c>
      <c r="G295" s="11">
        <f t="shared" si="3"/>
        <v>1</v>
      </c>
      <c r="H295" s="7">
        <f t="shared" si="4"/>
        <v>2017</v>
      </c>
      <c r="I295" s="9">
        <v>42776.0</v>
      </c>
      <c r="J295" s="11">
        <f t="shared" si="5"/>
        <v>9</v>
      </c>
      <c r="K295" s="7" t="s">
        <v>110</v>
      </c>
      <c r="L295" s="7" t="s">
        <v>364</v>
      </c>
      <c r="M295" s="7" t="str">
        <f>VLOOKUP(L295,countries, 2,false)</f>
        <v>Hungary</v>
      </c>
      <c r="N295" s="7" t="str">
        <f>VLOOKUP(L295,countries, 4,false)</f>
        <v>Europe</v>
      </c>
      <c r="O295" s="7" t="str">
        <f>VLOOKUP(L295,countries, 5,false)</f>
        <v>Eastern Europe</v>
      </c>
      <c r="P295" s="7" t="s">
        <v>212</v>
      </c>
      <c r="Q295" s="7">
        <v>3126.0</v>
      </c>
      <c r="R295" s="12">
        <v>152.58</v>
      </c>
      <c r="S295" s="12">
        <v>97.44</v>
      </c>
      <c r="T295" s="13">
        <f t="shared" si="6"/>
        <v>476965.08</v>
      </c>
      <c r="U295" s="13">
        <f t="shared" si="7"/>
        <v>46972.96</v>
      </c>
      <c r="V295" s="13">
        <f t="shared" si="8"/>
        <v>429992.12</v>
      </c>
      <c r="W295" s="14">
        <f>Q295/totals!B$2</f>
        <v>0.0004753270877</v>
      </c>
      <c r="X295" s="14">
        <f t="shared" si="9"/>
        <v>0.2112479176</v>
      </c>
      <c r="Y295" s="14">
        <f>T295/totals!B$5</f>
        <v>0.0002802166966</v>
      </c>
      <c r="Z295" s="14">
        <f t="shared" si="10"/>
        <v>0.2184851597</v>
      </c>
      <c r="AA295" s="14">
        <f>V295/totals!B$4</f>
        <v>0.0008573939149</v>
      </c>
      <c r="AB295" s="14">
        <f t="shared" si="11"/>
        <v>0.2193150701</v>
      </c>
    </row>
    <row r="296">
      <c r="A296" s="7">
        <v>4594.0</v>
      </c>
      <c r="B296" s="7" t="str">
        <f>VLOOKUP($A296,product_category,2, False)</f>
        <v>Fruits</v>
      </c>
      <c r="C296" s="7">
        <v>2.91995418E8</v>
      </c>
      <c r="D296" s="9">
        <v>40300.0</v>
      </c>
      <c r="E296" s="10">
        <f t="shared" si="1"/>
        <v>5</v>
      </c>
      <c r="F296" s="10" t="str">
        <f t="shared" si="2"/>
        <v>May</v>
      </c>
      <c r="G296" s="11">
        <f t="shared" si="3"/>
        <v>2</v>
      </c>
      <c r="H296" s="7">
        <f t="shared" si="4"/>
        <v>2010</v>
      </c>
      <c r="I296" s="9">
        <v>40335.0</v>
      </c>
      <c r="J296" s="11">
        <f t="shared" si="5"/>
        <v>35</v>
      </c>
      <c r="K296" s="7" t="s">
        <v>322</v>
      </c>
      <c r="L296" s="7" t="e">
        <v>#N/A</v>
      </c>
      <c r="M296" s="7"/>
      <c r="N296" s="7"/>
      <c r="O296" s="7"/>
      <c r="P296" s="7" t="s">
        <v>129</v>
      </c>
      <c r="Q296" s="7">
        <v>6788.0</v>
      </c>
      <c r="R296" s="12">
        <v>9.33</v>
      </c>
      <c r="S296" s="12">
        <v>6.92</v>
      </c>
      <c r="T296" s="13">
        <f t="shared" si="6"/>
        <v>63332.04</v>
      </c>
      <c r="U296" s="13">
        <f t="shared" si="7"/>
        <v>996440.72</v>
      </c>
      <c r="V296" s="13">
        <f t="shared" si="8"/>
        <v>-933108.68</v>
      </c>
      <c r="W296" s="14">
        <f>Q296/totals!B$2</f>
        <v>0.001032156197</v>
      </c>
      <c r="X296" s="14">
        <f t="shared" si="9"/>
        <v>0.2122800738</v>
      </c>
      <c r="Y296" s="14">
        <f>T296/totals!B$5</f>
        <v>0.00003720753528</v>
      </c>
      <c r="Z296" s="14">
        <f t="shared" si="10"/>
        <v>0.2185223672</v>
      </c>
      <c r="AA296" s="14">
        <f>V296/totals!B$4</f>
        <v>-0.001860596199</v>
      </c>
      <c r="AB296" s="14">
        <f t="shared" si="11"/>
        <v>0.2174544739</v>
      </c>
    </row>
    <row r="297">
      <c r="A297" s="7">
        <v>8293.0</v>
      </c>
      <c r="B297" s="7" t="str">
        <f>VLOOKUP($A297,product_category,2, False)</f>
        <v>Cosmetics</v>
      </c>
      <c r="C297" s="7">
        <v>2.92424571E8</v>
      </c>
      <c r="D297" s="9">
        <v>41053.0</v>
      </c>
      <c r="E297" s="10">
        <f t="shared" si="1"/>
        <v>5</v>
      </c>
      <c r="F297" s="10" t="str">
        <f t="shared" si="2"/>
        <v>May</v>
      </c>
      <c r="G297" s="11">
        <f t="shared" si="3"/>
        <v>24</v>
      </c>
      <c r="H297" s="7">
        <f t="shared" si="4"/>
        <v>2012</v>
      </c>
      <c r="I297" s="9">
        <v>41065.0</v>
      </c>
      <c r="J297" s="11">
        <f t="shared" si="5"/>
        <v>12</v>
      </c>
      <c r="K297" s="7" t="s">
        <v>198</v>
      </c>
      <c r="L297" s="7" t="e">
        <v>#N/A</v>
      </c>
      <c r="M297" s="7"/>
      <c r="N297" s="7"/>
      <c r="O297" s="7"/>
      <c r="P297" s="7" t="s">
        <v>212</v>
      </c>
      <c r="Q297" s="7">
        <v>3784.0</v>
      </c>
      <c r="R297" s="12">
        <v>437.2</v>
      </c>
      <c r="S297" s="12">
        <v>263.33</v>
      </c>
      <c r="T297" s="13">
        <f t="shared" si="6"/>
        <v>1654364.8</v>
      </c>
      <c r="U297" s="13">
        <f t="shared" si="7"/>
        <v>391929.72</v>
      </c>
      <c r="V297" s="13">
        <f t="shared" si="8"/>
        <v>1262435.08</v>
      </c>
      <c r="W297" s="14">
        <f>Q297/totals!B$2</f>
        <v>0.0005753799424</v>
      </c>
      <c r="X297" s="14">
        <f t="shared" si="9"/>
        <v>0.2128554537</v>
      </c>
      <c r="Y297" s="14">
        <f>T297/totals!B$5</f>
        <v>0.0009719383215</v>
      </c>
      <c r="Z297" s="14">
        <f t="shared" si="10"/>
        <v>0.2194943055</v>
      </c>
      <c r="AA297" s="14">
        <f>V297/totals!B$4</f>
        <v>0.002517265097</v>
      </c>
      <c r="AB297" s="14">
        <f t="shared" si="11"/>
        <v>0.219971739</v>
      </c>
    </row>
    <row r="298">
      <c r="A298" s="7">
        <v>3127.0</v>
      </c>
      <c r="B298" s="7" t="str">
        <f>VLOOKUP($A298,product_category,2, False)</f>
        <v>Personal Care</v>
      </c>
      <c r="C298" s="7">
        <v>2.93178594E8</v>
      </c>
      <c r="D298" s="9">
        <v>40325.0</v>
      </c>
      <c r="E298" s="10">
        <f t="shared" si="1"/>
        <v>5</v>
      </c>
      <c r="F298" s="10" t="str">
        <f t="shared" si="2"/>
        <v>May</v>
      </c>
      <c r="G298" s="11">
        <f t="shared" si="3"/>
        <v>27</v>
      </c>
      <c r="H298" s="7">
        <f t="shared" si="4"/>
        <v>2010</v>
      </c>
      <c r="I298" s="9">
        <v>40330.0</v>
      </c>
      <c r="J298" s="11">
        <f t="shared" si="5"/>
        <v>5</v>
      </c>
      <c r="K298" s="7" t="s">
        <v>198</v>
      </c>
      <c r="L298" s="7" t="s">
        <v>642</v>
      </c>
      <c r="M298" s="7" t="str">
        <f>VLOOKUP(L298,countries, 2,false)</f>
        <v>San Marino</v>
      </c>
      <c r="N298" s="7" t="str">
        <f>VLOOKUP(L298,countries, 4,false)</f>
        <v>Europe</v>
      </c>
      <c r="O298" s="7" t="str">
        <f>VLOOKUP(L298,countries, 5,false)</f>
        <v>Southern Europe</v>
      </c>
      <c r="P298" s="7" t="s">
        <v>129</v>
      </c>
      <c r="Q298" s="7">
        <v>6916.0</v>
      </c>
      <c r="R298" s="12">
        <v>81.73</v>
      </c>
      <c r="S298" s="12">
        <v>56.67</v>
      </c>
      <c r="T298" s="13">
        <f t="shared" si="6"/>
        <v>565244.68</v>
      </c>
      <c r="U298" s="13">
        <f t="shared" si="7"/>
        <v>39229.48</v>
      </c>
      <c r="V298" s="13">
        <f t="shared" si="8"/>
        <v>526015.2</v>
      </c>
      <c r="W298" s="14">
        <f>Q298/totals!B$2</f>
        <v>0.001051619366</v>
      </c>
      <c r="X298" s="14">
        <f t="shared" si="9"/>
        <v>0.2139070731</v>
      </c>
      <c r="Y298" s="14">
        <f>T298/totals!B$5</f>
        <v>0.0003320809083</v>
      </c>
      <c r="Z298" s="14">
        <f t="shared" si="10"/>
        <v>0.2198263864</v>
      </c>
      <c r="AA298" s="14">
        <f>V298/totals!B$4</f>
        <v>0.00104886162</v>
      </c>
      <c r="AB298" s="14">
        <f t="shared" si="11"/>
        <v>0.2210206006</v>
      </c>
    </row>
    <row r="299">
      <c r="A299" s="7">
        <v>4594.0</v>
      </c>
      <c r="B299" s="7" t="str">
        <f>VLOOKUP($A299,product_category,2, False)</f>
        <v>Fruits</v>
      </c>
      <c r="C299" s="7">
        <v>2.95168149E8</v>
      </c>
      <c r="D299" s="9">
        <v>42518.0</v>
      </c>
      <c r="E299" s="10">
        <f t="shared" si="1"/>
        <v>5</v>
      </c>
      <c r="F299" s="10" t="str">
        <f t="shared" si="2"/>
        <v>May</v>
      </c>
      <c r="G299" s="11">
        <f t="shared" si="3"/>
        <v>28</v>
      </c>
      <c r="H299" s="7">
        <f t="shared" si="4"/>
        <v>2016</v>
      </c>
      <c r="I299" s="9">
        <v>42567.0</v>
      </c>
      <c r="J299" s="11">
        <f t="shared" si="5"/>
        <v>49</v>
      </c>
      <c r="K299" s="7" t="s">
        <v>322</v>
      </c>
      <c r="L299" s="7" t="s">
        <v>670</v>
      </c>
      <c r="M299" s="7" t="str">
        <f>VLOOKUP(L299,countries, 2,false)</f>
        <v>Slovenia</v>
      </c>
      <c r="N299" s="7" t="str">
        <f>VLOOKUP(L299,countries, 4,false)</f>
        <v>Europe</v>
      </c>
      <c r="O299" s="7" t="str">
        <f>VLOOKUP(L299,countries, 5,false)</f>
        <v>Southern Europe</v>
      </c>
      <c r="P299" s="7" t="s">
        <v>212</v>
      </c>
      <c r="Q299" s="7">
        <v>5669.0</v>
      </c>
      <c r="R299" s="12">
        <v>9.33</v>
      </c>
      <c r="S299" s="12">
        <v>6.92</v>
      </c>
      <c r="T299" s="13">
        <f t="shared" si="6"/>
        <v>52891.77</v>
      </c>
      <c r="U299" s="13">
        <f t="shared" si="7"/>
        <v>1443069.84</v>
      </c>
      <c r="V299" s="13">
        <f t="shared" si="8"/>
        <v>-1390178.07</v>
      </c>
      <c r="W299" s="14">
        <f>Q299/totals!B$2</f>
        <v>0.0008620055215</v>
      </c>
      <c r="X299" s="14">
        <f t="shared" si="9"/>
        <v>0.2147690786</v>
      </c>
      <c r="Y299" s="14">
        <f>T299/totals!B$5</f>
        <v>0.00003107388295</v>
      </c>
      <c r="Z299" s="14">
        <f t="shared" si="10"/>
        <v>0.2198574603</v>
      </c>
      <c r="AA299" s="14">
        <f>V299/totals!B$4</f>
        <v>-0.002771981537</v>
      </c>
      <c r="AB299" s="14">
        <f t="shared" si="11"/>
        <v>0.2182486191</v>
      </c>
    </row>
    <row r="300">
      <c r="A300" s="7">
        <v>7331.0</v>
      </c>
      <c r="B300" s="7" t="str">
        <f>VLOOKUP($A300,product_category,2, False)</f>
        <v>Baby Food</v>
      </c>
      <c r="C300" s="7">
        <v>2.95787847E8</v>
      </c>
      <c r="D300" s="9">
        <v>42022.0</v>
      </c>
      <c r="E300" s="10">
        <f t="shared" si="1"/>
        <v>1</v>
      </c>
      <c r="F300" s="10" t="str">
        <f t="shared" si="2"/>
        <v>Jan</v>
      </c>
      <c r="G300" s="11">
        <f t="shared" si="3"/>
        <v>18</v>
      </c>
      <c r="H300" s="7">
        <f t="shared" si="4"/>
        <v>2015</v>
      </c>
      <c r="I300" s="9">
        <v>42051.0</v>
      </c>
      <c r="J300" s="11">
        <f t="shared" si="5"/>
        <v>29</v>
      </c>
      <c r="K300" s="7" t="s">
        <v>382</v>
      </c>
      <c r="L300" s="7" t="s">
        <v>448</v>
      </c>
      <c r="M300" s="7" t="str">
        <f>VLOOKUP(L300,countries, 2,false)</f>
        <v>Liechtenstein</v>
      </c>
      <c r="N300" s="7" t="str">
        <f>VLOOKUP(L300,countries, 4,false)</f>
        <v>Europe</v>
      </c>
      <c r="O300" s="7" t="str">
        <f>VLOOKUP(L300,countries, 5,false)</f>
        <v>Western Europe</v>
      </c>
      <c r="P300" s="7" t="s">
        <v>129</v>
      </c>
      <c r="Q300" s="7">
        <v>9052.0</v>
      </c>
      <c r="R300" s="12">
        <v>255.28</v>
      </c>
      <c r="S300" s="12">
        <v>159.42</v>
      </c>
      <c r="T300" s="13">
        <f t="shared" si="6"/>
        <v>2310794.56</v>
      </c>
      <c r="U300" s="13">
        <f t="shared" si="7"/>
        <v>558607.68</v>
      </c>
      <c r="V300" s="13">
        <f t="shared" si="8"/>
        <v>1752186.88</v>
      </c>
      <c r="W300" s="14">
        <f>Q300/totals!B$2</f>
        <v>0.001376411004</v>
      </c>
      <c r="X300" s="14">
        <f t="shared" si="9"/>
        <v>0.2161454896</v>
      </c>
      <c r="Y300" s="14">
        <f>T300/totals!B$5</f>
        <v>0.001357590409</v>
      </c>
      <c r="Z300" s="14">
        <f t="shared" si="10"/>
        <v>0.2212150507</v>
      </c>
      <c r="AA300" s="14">
        <f>V300/totals!B$4</f>
        <v>0.003493818372</v>
      </c>
      <c r="AB300" s="14">
        <f t="shared" si="11"/>
        <v>0.2217424374</v>
      </c>
    </row>
    <row r="301">
      <c r="A301" s="7">
        <v>7331.0</v>
      </c>
      <c r="B301" s="7" t="str">
        <f>VLOOKUP($A301,product_category,2, False)</f>
        <v>Baby Food</v>
      </c>
      <c r="C301" s="7">
        <v>2.96073234E8</v>
      </c>
      <c r="D301" s="9">
        <v>42121.0</v>
      </c>
      <c r="E301" s="10">
        <f t="shared" si="1"/>
        <v>4</v>
      </c>
      <c r="F301" s="10" t="str">
        <f t="shared" si="2"/>
        <v>Apr</v>
      </c>
      <c r="G301" s="11">
        <f t="shared" si="3"/>
        <v>27</v>
      </c>
      <c r="H301" s="7">
        <f t="shared" si="4"/>
        <v>2015</v>
      </c>
      <c r="I301" s="9">
        <v>42159.0</v>
      </c>
      <c r="J301" s="11">
        <f t="shared" si="5"/>
        <v>38</v>
      </c>
      <c r="K301" s="7" t="s">
        <v>198</v>
      </c>
      <c r="L301" s="7" t="s">
        <v>478</v>
      </c>
      <c r="M301" s="7" t="str">
        <f>VLOOKUP(L301,countries, 2,false)</f>
        <v>Malta</v>
      </c>
      <c r="N301" s="7" t="str">
        <f>VLOOKUP(L301,countries, 4,false)</f>
        <v>Europe</v>
      </c>
      <c r="O301" s="7" t="str">
        <f>VLOOKUP(L301,countries, 5,false)</f>
        <v>Southern Europe</v>
      </c>
      <c r="P301" s="7" t="s">
        <v>212</v>
      </c>
      <c r="Q301" s="7">
        <v>3504.0</v>
      </c>
      <c r="R301" s="12">
        <v>255.28</v>
      </c>
      <c r="S301" s="12">
        <v>159.42</v>
      </c>
      <c r="T301" s="13">
        <f t="shared" si="6"/>
        <v>894501.12</v>
      </c>
      <c r="U301" s="13">
        <f t="shared" si="7"/>
        <v>104660.43</v>
      </c>
      <c r="V301" s="13">
        <f t="shared" si="8"/>
        <v>789840.69</v>
      </c>
      <c r="W301" s="14">
        <f>Q301/totals!B$2</f>
        <v>0.0005328042595</v>
      </c>
      <c r="X301" s="14">
        <f t="shared" si="9"/>
        <v>0.2166782939</v>
      </c>
      <c r="Y301" s="14">
        <f>T301/totals!B$5</f>
        <v>0.0005255188681</v>
      </c>
      <c r="Z301" s="14">
        <f t="shared" si="10"/>
        <v>0.2217405696</v>
      </c>
      <c r="AA301" s="14">
        <f>V301/totals!B$4</f>
        <v>0.001574923283</v>
      </c>
      <c r="AB301" s="14">
        <f t="shared" si="11"/>
        <v>0.2233173607</v>
      </c>
    </row>
    <row r="302">
      <c r="A302" s="7">
        <v>5988.0</v>
      </c>
      <c r="B302" s="7" t="str">
        <f>VLOOKUP($A302,product_category,2, False)</f>
        <v>Vegetables</v>
      </c>
      <c r="C302" s="7">
        <v>2.98228013E8</v>
      </c>
      <c r="D302" s="9">
        <v>40441.0</v>
      </c>
      <c r="E302" s="10">
        <f t="shared" si="1"/>
        <v>9</v>
      </c>
      <c r="F302" s="10" t="str">
        <f t="shared" si="2"/>
        <v>Sep</v>
      </c>
      <c r="G302" s="11">
        <f t="shared" si="3"/>
        <v>20</v>
      </c>
      <c r="H302" s="7">
        <f t="shared" si="4"/>
        <v>2010</v>
      </c>
      <c r="I302" s="9">
        <v>40476.0</v>
      </c>
      <c r="J302" s="11">
        <f t="shared" si="5"/>
        <v>35</v>
      </c>
      <c r="K302" s="7" t="s">
        <v>382</v>
      </c>
      <c r="L302" s="7" t="s">
        <v>702</v>
      </c>
      <c r="M302" s="7" t="str">
        <f>VLOOKUP(L302,countries, 2,false)</f>
        <v>Sweden</v>
      </c>
      <c r="N302" s="7" t="str">
        <f>VLOOKUP(L302,countries, 4,false)</f>
        <v>Europe</v>
      </c>
      <c r="O302" s="7" t="str">
        <f>VLOOKUP(L302,countries, 5,false)</f>
        <v>Northern Europe</v>
      </c>
      <c r="P302" s="7" t="s">
        <v>129</v>
      </c>
      <c r="Q302" s="7">
        <v>1151.0</v>
      </c>
      <c r="R302" s="12">
        <v>154.06</v>
      </c>
      <c r="S302" s="12">
        <v>90.93</v>
      </c>
      <c r="T302" s="13">
        <f t="shared" si="6"/>
        <v>177323.06</v>
      </c>
      <c r="U302" s="13">
        <f t="shared" si="7"/>
        <v>117089.28</v>
      </c>
      <c r="V302" s="13">
        <f t="shared" si="8"/>
        <v>60233.78</v>
      </c>
      <c r="W302" s="14">
        <f>Q302/totals!B$2</f>
        <v>0.0001750164677</v>
      </c>
      <c r="X302" s="14">
        <f t="shared" si="9"/>
        <v>0.2168533104</v>
      </c>
      <c r="Y302" s="14">
        <f>T302/totals!B$5</f>
        <v>0.0001041771907</v>
      </c>
      <c r="Z302" s="14">
        <f t="shared" si="10"/>
        <v>0.2218447468</v>
      </c>
      <c r="AA302" s="14">
        <f>V302/totals!B$4</f>
        <v>0.0001201047044</v>
      </c>
      <c r="AB302" s="14">
        <f t="shared" si="11"/>
        <v>0.2234374654</v>
      </c>
    </row>
    <row r="303">
      <c r="A303" s="7">
        <v>2455.0</v>
      </c>
      <c r="B303" s="7" t="str">
        <f>VLOOKUP($A303,product_category,2, False)</f>
        <v>Clothes</v>
      </c>
      <c r="C303" s="7">
        <v>2.98978602E8</v>
      </c>
      <c r="D303" s="9">
        <v>41655.0</v>
      </c>
      <c r="E303" s="10">
        <f t="shared" si="1"/>
        <v>1</v>
      </c>
      <c r="F303" s="10" t="str">
        <f t="shared" si="2"/>
        <v>Jan</v>
      </c>
      <c r="G303" s="11">
        <f t="shared" si="3"/>
        <v>16</v>
      </c>
      <c r="H303" s="7">
        <f t="shared" si="4"/>
        <v>2014</v>
      </c>
      <c r="I303" s="9">
        <v>41667.0</v>
      </c>
      <c r="J303" s="11">
        <f t="shared" si="5"/>
        <v>12</v>
      </c>
      <c r="K303" s="7" t="s">
        <v>110</v>
      </c>
      <c r="L303" s="7" t="s">
        <v>286</v>
      </c>
      <c r="M303" s="7" t="str">
        <f>VLOOKUP(L303,countries, 2,false)</f>
        <v>France</v>
      </c>
      <c r="N303" s="7" t="str">
        <f>VLOOKUP(L303,countries, 4,false)</f>
        <v>Europe</v>
      </c>
      <c r="O303" s="7" t="str">
        <f>VLOOKUP(L303,countries, 5,false)</f>
        <v>Western Europe</v>
      </c>
      <c r="P303" s="7" t="s">
        <v>212</v>
      </c>
      <c r="Q303" s="7">
        <v>3267.0</v>
      </c>
      <c r="R303" s="12">
        <v>109.28</v>
      </c>
      <c r="S303" s="12">
        <v>35.84</v>
      </c>
      <c r="T303" s="13">
        <f t="shared" si="6"/>
        <v>357017.76</v>
      </c>
      <c r="U303" s="13">
        <f t="shared" si="7"/>
        <v>2317567.33</v>
      </c>
      <c r="V303" s="13">
        <f t="shared" si="8"/>
        <v>-1960549.57</v>
      </c>
      <c r="W303" s="14">
        <f>Q303/totals!B$2</f>
        <v>0.0004967669851</v>
      </c>
      <c r="X303" s="14">
        <f t="shared" si="9"/>
        <v>0.2173500773</v>
      </c>
      <c r="Y303" s="14">
        <f>T303/totals!B$5</f>
        <v>0.0002097477185</v>
      </c>
      <c r="Z303" s="14">
        <f t="shared" si="10"/>
        <v>0.2220544945</v>
      </c>
      <c r="AA303" s="14">
        <f>V303/totals!B$4</f>
        <v>-0.00390928855</v>
      </c>
      <c r="AB303" s="14">
        <f t="shared" si="11"/>
        <v>0.2195281769</v>
      </c>
    </row>
    <row r="304">
      <c r="A304" s="7">
        <v>8293.0</v>
      </c>
      <c r="B304" s="7" t="str">
        <f>VLOOKUP($A304,product_category,2, False)</f>
        <v>Cosmetics</v>
      </c>
      <c r="C304" s="7">
        <v>2.99335229E8</v>
      </c>
      <c r="D304" s="9">
        <v>40889.0</v>
      </c>
      <c r="E304" s="10">
        <f t="shared" si="1"/>
        <v>12</v>
      </c>
      <c r="F304" s="10" t="str">
        <f t="shared" si="2"/>
        <v>Dec</v>
      </c>
      <c r="G304" s="11">
        <f t="shared" si="3"/>
        <v>12</v>
      </c>
      <c r="H304" s="7">
        <f t="shared" si="4"/>
        <v>2011</v>
      </c>
      <c r="I304" s="9">
        <v>40901.0</v>
      </c>
      <c r="J304" s="11">
        <f t="shared" si="5"/>
        <v>12</v>
      </c>
      <c r="K304" s="7" t="s">
        <v>110</v>
      </c>
      <c r="L304" s="7" t="s">
        <v>609</v>
      </c>
      <c r="M304" s="7" t="str">
        <f>VLOOKUP(L304,countries, 2,false)</f>
        <v>Romania</v>
      </c>
      <c r="N304" s="7" t="str">
        <f>VLOOKUP(L304,countries, 4,false)</f>
        <v>Europe</v>
      </c>
      <c r="O304" s="7" t="str">
        <f>VLOOKUP(L304,countries, 5,false)</f>
        <v>Eastern Europe</v>
      </c>
      <c r="P304" s="7" t="s">
        <v>212</v>
      </c>
      <c r="Q304" s="7">
        <v>8801.0</v>
      </c>
      <c r="R304" s="12">
        <v>437.2</v>
      </c>
      <c r="S304" s="12">
        <v>263.33</v>
      </c>
      <c r="T304" s="13">
        <f t="shared" si="6"/>
        <v>3847797.2</v>
      </c>
      <c r="U304" s="13">
        <f t="shared" si="7"/>
        <v>58342.52</v>
      </c>
      <c r="V304" s="13">
        <f t="shared" si="8"/>
        <v>3789454.68</v>
      </c>
      <c r="W304" s="14">
        <f>Q304/totals!B$2</f>
        <v>0.001338244945</v>
      </c>
      <c r="X304" s="14">
        <f t="shared" si="9"/>
        <v>0.2186883223</v>
      </c>
      <c r="Y304" s="14">
        <f>T304/totals!B$5</f>
        <v>0.002260578533</v>
      </c>
      <c r="Z304" s="14">
        <f t="shared" si="10"/>
        <v>0.224315073</v>
      </c>
      <c r="AA304" s="14">
        <f>V304/totals!B$4</f>
        <v>0.007556081222</v>
      </c>
      <c r="AB304" s="14">
        <f t="shared" si="11"/>
        <v>0.2270842581</v>
      </c>
    </row>
    <row r="305">
      <c r="A305" s="7">
        <v>4594.0</v>
      </c>
      <c r="B305" s="7" t="str">
        <f>VLOOKUP($A305,product_category,2, False)</f>
        <v>Fruits</v>
      </c>
      <c r="C305" s="7">
        <v>2.99739491E8</v>
      </c>
      <c r="D305" s="9">
        <v>42576.0</v>
      </c>
      <c r="E305" s="10">
        <f t="shared" si="1"/>
        <v>7</v>
      </c>
      <c r="F305" s="10" t="str">
        <f t="shared" si="2"/>
        <v>Jul</v>
      </c>
      <c r="G305" s="11">
        <f t="shared" si="3"/>
        <v>25</v>
      </c>
      <c r="H305" s="7">
        <f t="shared" si="4"/>
        <v>2016</v>
      </c>
      <c r="I305" s="9">
        <v>42614.0</v>
      </c>
      <c r="J305" s="11">
        <f t="shared" si="5"/>
        <v>38</v>
      </c>
      <c r="K305" s="7" t="s">
        <v>110</v>
      </c>
      <c r="L305" s="7" t="e">
        <v>#N/A</v>
      </c>
      <c r="M305" s="7"/>
      <c r="N305" s="7"/>
      <c r="O305" s="7"/>
      <c r="P305" s="7" t="s">
        <v>212</v>
      </c>
      <c r="Q305" s="7">
        <v>8431.0</v>
      </c>
      <c r="R305" s="12">
        <v>9.33</v>
      </c>
      <c r="S305" s="12">
        <v>6.92</v>
      </c>
      <c r="T305" s="13">
        <f t="shared" si="6"/>
        <v>78661.23</v>
      </c>
      <c r="U305" s="13">
        <f t="shared" si="7"/>
        <v>321709.56</v>
      </c>
      <c r="V305" s="13">
        <f t="shared" si="8"/>
        <v>-243048.33</v>
      </c>
      <c r="W305" s="14">
        <f>Q305/totals!B$2</f>
        <v>0.001281984221</v>
      </c>
      <c r="X305" s="14">
        <f t="shared" si="9"/>
        <v>0.2199703065</v>
      </c>
      <c r="Y305" s="14">
        <f>T305/totals!B$5</f>
        <v>0.00004621342515</v>
      </c>
      <c r="Z305" s="14">
        <f t="shared" si="10"/>
        <v>0.2243612864</v>
      </c>
      <c r="AA305" s="14">
        <f>V305/totals!B$4</f>
        <v>-0.0004846325072</v>
      </c>
      <c r="AB305" s="14">
        <f t="shared" si="11"/>
        <v>0.2265996256</v>
      </c>
    </row>
    <row r="306">
      <c r="A306" s="7">
        <v>7331.0</v>
      </c>
      <c r="B306" s="7" t="str">
        <f>VLOOKUP($A306,product_category,2, False)</f>
        <v>Baby Food</v>
      </c>
      <c r="C306" s="7">
        <v>3.02015721E8</v>
      </c>
      <c r="D306" s="9">
        <v>41720.0</v>
      </c>
      <c r="E306" s="10">
        <f t="shared" si="1"/>
        <v>3</v>
      </c>
      <c r="F306" s="10" t="str">
        <f t="shared" si="2"/>
        <v>Mar</v>
      </c>
      <c r="G306" s="11">
        <f t="shared" si="3"/>
        <v>22</v>
      </c>
      <c r="H306" s="7">
        <f t="shared" si="4"/>
        <v>2014</v>
      </c>
      <c r="I306" s="9">
        <v>41746.0</v>
      </c>
      <c r="J306" s="11">
        <f t="shared" si="5"/>
        <v>26</v>
      </c>
      <c r="K306" s="7" t="s">
        <v>382</v>
      </c>
      <c r="L306" s="7" t="s">
        <v>200</v>
      </c>
      <c r="M306" s="7" t="str">
        <f>VLOOKUP(L306,countries, 2,false)</f>
        <v>Serbia</v>
      </c>
      <c r="N306" s="7" t="str">
        <f>VLOOKUP(L306,countries, 4,false)</f>
        <v>Europe</v>
      </c>
      <c r="O306" s="7" t="str">
        <f>VLOOKUP(L306,countries, 5,false)</f>
        <v>Southern Europe</v>
      </c>
      <c r="P306" s="7" t="s">
        <v>129</v>
      </c>
      <c r="Q306" s="7">
        <v>2018.0</v>
      </c>
      <c r="R306" s="12">
        <v>255.28</v>
      </c>
      <c r="S306" s="12">
        <v>159.42</v>
      </c>
      <c r="T306" s="13">
        <f t="shared" si="6"/>
        <v>515155.04</v>
      </c>
      <c r="U306" s="13">
        <f t="shared" si="7"/>
        <v>1335780.18</v>
      </c>
      <c r="V306" s="13">
        <f t="shared" si="8"/>
        <v>-820625.14</v>
      </c>
      <c r="W306" s="14">
        <f>Q306/totals!B$2</f>
        <v>0.0003068490285</v>
      </c>
      <c r="X306" s="14">
        <f t="shared" si="9"/>
        <v>0.2202771555</v>
      </c>
      <c r="Y306" s="14">
        <f>T306/totals!B$5</f>
        <v>0.0003026532751</v>
      </c>
      <c r="Z306" s="14">
        <f t="shared" si="10"/>
        <v>0.2246639397</v>
      </c>
      <c r="AA306" s="14">
        <f>V306/totals!B$4</f>
        <v>-0.001636306734</v>
      </c>
      <c r="AB306" s="14">
        <f t="shared" si="11"/>
        <v>0.2249633189</v>
      </c>
    </row>
    <row r="307">
      <c r="A307" s="7">
        <v>7331.0</v>
      </c>
      <c r="B307" s="7" t="str">
        <f>VLOOKUP($A307,product_category,2, False)</f>
        <v>Baby Food</v>
      </c>
      <c r="C307" s="7">
        <v>3.02442729E8</v>
      </c>
      <c r="D307" s="9">
        <v>41266.0</v>
      </c>
      <c r="E307" s="10">
        <f t="shared" si="1"/>
        <v>12</v>
      </c>
      <c r="F307" s="10" t="str">
        <f t="shared" si="2"/>
        <v>Dec</v>
      </c>
      <c r="G307" s="11">
        <f t="shared" si="3"/>
        <v>23</v>
      </c>
      <c r="H307" s="7">
        <f t="shared" si="4"/>
        <v>2012</v>
      </c>
      <c r="I307" s="9">
        <v>41291.0</v>
      </c>
      <c r="J307" s="11">
        <f t="shared" si="5"/>
        <v>25</v>
      </c>
      <c r="K307" s="7" t="s">
        <v>198</v>
      </c>
      <c r="L307" s="7" t="s">
        <v>478</v>
      </c>
      <c r="M307" s="7" t="str">
        <f>VLOOKUP(L307,countries, 2,false)</f>
        <v>Malta</v>
      </c>
      <c r="N307" s="7" t="str">
        <f>VLOOKUP(L307,countries, 4,false)</f>
        <v>Europe</v>
      </c>
      <c r="O307" s="7" t="str">
        <f>VLOOKUP(L307,countries, 5,false)</f>
        <v>Southern Europe</v>
      </c>
      <c r="P307" s="7" t="s">
        <v>212</v>
      </c>
      <c r="Q307" s="7">
        <v>8379.0</v>
      </c>
      <c r="R307" s="12">
        <v>255.28</v>
      </c>
      <c r="S307" s="12">
        <v>159.42</v>
      </c>
      <c r="T307" s="13">
        <f t="shared" si="6"/>
        <v>2138991.12</v>
      </c>
      <c r="U307" s="13">
        <f t="shared" si="7"/>
        <v>441175.95</v>
      </c>
      <c r="V307" s="13">
        <f t="shared" si="8"/>
        <v>1697815.17</v>
      </c>
      <c r="W307" s="14">
        <f>Q307/totals!B$2</f>
        <v>0.001274077309</v>
      </c>
      <c r="X307" s="14">
        <f t="shared" si="9"/>
        <v>0.2215512328</v>
      </c>
      <c r="Y307" s="14">
        <f>T307/totals!B$5</f>
        <v>0.001256655992</v>
      </c>
      <c r="Z307" s="14">
        <f t="shared" si="10"/>
        <v>0.2259205957</v>
      </c>
      <c r="AA307" s="14">
        <f>V307/totals!B$4</f>
        <v>0.003385402494</v>
      </c>
      <c r="AB307" s="14">
        <f t="shared" si="11"/>
        <v>0.2283487213</v>
      </c>
    </row>
    <row r="308">
      <c r="A308" s="7">
        <v>3127.0</v>
      </c>
      <c r="B308" s="7" t="str">
        <f>VLOOKUP($A308,product_category,2, False)</f>
        <v>Personal Care</v>
      </c>
      <c r="C308" s="7">
        <v>3.02744853E8</v>
      </c>
      <c r="D308" s="9">
        <v>41928.0</v>
      </c>
      <c r="E308" s="10">
        <f t="shared" si="1"/>
        <v>10</v>
      </c>
      <c r="F308" s="10" t="str">
        <f t="shared" si="2"/>
        <v>Oct</v>
      </c>
      <c r="G308" s="11">
        <f t="shared" si="3"/>
        <v>16</v>
      </c>
      <c r="H308" s="7">
        <f t="shared" si="4"/>
        <v>2014</v>
      </c>
      <c r="I308" s="9">
        <v>41945.0</v>
      </c>
      <c r="J308" s="11">
        <f t="shared" si="5"/>
        <v>17</v>
      </c>
      <c r="K308" s="7" t="s">
        <v>382</v>
      </c>
      <c r="L308" s="7" t="s">
        <v>364</v>
      </c>
      <c r="M308" s="7" t="str">
        <f>VLOOKUP(L308,countries, 2,false)</f>
        <v>Hungary</v>
      </c>
      <c r="N308" s="7" t="str">
        <f>VLOOKUP(L308,countries, 4,false)</f>
        <v>Europe</v>
      </c>
      <c r="O308" s="7" t="str">
        <f>VLOOKUP(L308,countries, 5,false)</f>
        <v>Eastern Europe</v>
      </c>
      <c r="P308" s="7" t="s">
        <v>212</v>
      </c>
      <c r="Q308" s="7">
        <v>7785.0</v>
      </c>
      <c r="R308" s="12">
        <v>81.73</v>
      </c>
      <c r="S308" s="12">
        <v>56.67</v>
      </c>
      <c r="T308" s="13">
        <f t="shared" si="6"/>
        <v>636268.05</v>
      </c>
      <c r="U308" s="13">
        <f t="shared" si="7"/>
        <v>10082.44</v>
      </c>
      <c r="V308" s="13">
        <f t="shared" si="8"/>
        <v>626185.61</v>
      </c>
      <c r="W308" s="14">
        <f>Q308/totals!B$2</f>
        <v>0.001183756039</v>
      </c>
      <c r="X308" s="14">
        <f t="shared" si="9"/>
        <v>0.2227349889</v>
      </c>
      <c r="Y308" s="14">
        <f>T308/totals!B$5</f>
        <v>0.0003738070954</v>
      </c>
      <c r="Z308" s="14">
        <f t="shared" si="10"/>
        <v>0.2262944028</v>
      </c>
      <c r="AA308" s="14">
        <f>V308/totals!B$4</f>
        <v>0.001248599001</v>
      </c>
      <c r="AB308" s="14">
        <f t="shared" si="11"/>
        <v>0.2295973204</v>
      </c>
    </row>
    <row r="309">
      <c r="A309" s="7">
        <v>4594.0</v>
      </c>
      <c r="B309" s="7" t="str">
        <f>VLOOKUP($A309,product_category,2, False)</f>
        <v>Fruits</v>
      </c>
      <c r="C309" s="7">
        <v>3.03534495E8</v>
      </c>
      <c r="D309" s="9">
        <v>40768.0</v>
      </c>
      <c r="E309" s="10">
        <f t="shared" si="1"/>
        <v>8</v>
      </c>
      <c r="F309" s="10" t="str">
        <f t="shared" si="2"/>
        <v>Aug</v>
      </c>
      <c r="G309" s="11">
        <f t="shared" si="3"/>
        <v>13</v>
      </c>
      <c r="H309" s="7">
        <f t="shared" si="4"/>
        <v>2011</v>
      </c>
      <c r="I309" s="9">
        <v>40773.0</v>
      </c>
      <c r="J309" s="11">
        <f t="shared" si="5"/>
        <v>5</v>
      </c>
      <c r="K309" s="7" t="s">
        <v>382</v>
      </c>
      <c r="L309" s="7" t="s">
        <v>367</v>
      </c>
      <c r="M309" s="7" t="str">
        <f>VLOOKUP(L309,countries, 2,false)</f>
        <v>Iceland</v>
      </c>
      <c r="N309" s="7" t="str">
        <f>VLOOKUP(L309,countries, 4,false)</f>
        <v>Europe</v>
      </c>
      <c r="O309" s="7" t="str">
        <f>VLOOKUP(L309,countries, 5,false)</f>
        <v>Northern Europe</v>
      </c>
      <c r="P309" s="7" t="s">
        <v>212</v>
      </c>
      <c r="Q309" s="7">
        <v>1457.0</v>
      </c>
      <c r="R309" s="12">
        <v>9.33</v>
      </c>
      <c r="S309" s="12">
        <v>6.92</v>
      </c>
      <c r="T309" s="13">
        <f t="shared" si="6"/>
        <v>13593.81</v>
      </c>
      <c r="U309" s="13">
        <f t="shared" si="7"/>
        <v>322346.85</v>
      </c>
      <c r="V309" s="13">
        <f t="shared" si="8"/>
        <v>-308753.04</v>
      </c>
      <c r="W309" s="14">
        <f>Q309/totals!B$2</f>
        <v>0.0002215456068</v>
      </c>
      <c r="X309" s="14">
        <f t="shared" si="9"/>
        <v>0.2229565345</v>
      </c>
      <c r="Y309" s="14">
        <f>T309/totals!B$5</f>
        <v>0.00000798635517</v>
      </c>
      <c r="Z309" s="14">
        <f t="shared" si="10"/>
        <v>0.2263023892</v>
      </c>
      <c r="AA309" s="14">
        <f>V309/totals!B$4</f>
        <v>-0.000615646114</v>
      </c>
      <c r="AB309" s="14">
        <f t="shared" si="11"/>
        <v>0.2289816742</v>
      </c>
    </row>
    <row r="310">
      <c r="A310" s="7">
        <v>5988.0</v>
      </c>
      <c r="B310" s="7" t="str">
        <f>VLOOKUP($A310,product_category,2, False)</f>
        <v>Vegetables</v>
      </c>
      <c r="C310" s="7">
        <v>3.05569112E8</v>
      </c>
      <c r="D310" s="9">
        <v>40647.0</v>
      </c>
      <c r="E310" s="10">
        <f t="shared" si="1"/>
        <v>4</v>
      </c>
      <c r="F310" s="10" t="str">
        <f t="shared" si="2"/>
        <v>Apr</v>
      </c>
      <c r="G310" s="11">
        <f t="shared" si="3"/>
        <v>14</v>
      </c>
      <c r="H310" s="7">
        <f t="shared" si="4"/>
        <v>2011</v>
      </c>
      <c r="I310" s="9">
        <v>40697.0</v>
      </c>
      <c r="J310" s="11">
        <f t="shared" si="5"/>
        <v>50</v>
      </c>
      <c r="K310" s="7" t="s">
        <v>110</v>
      </c>
      <c r="L310" s="7" t="s">
        <v>540</v>
      </c>
      <c r="M310" s="7" t="str">
        <f>VLOOKUP(L310,countries, 2,false)</f>
        <v>Spain</v>
      </c>
      <c r="N310" s="7" t="str">
        <f>VLOOKUP(L310,countries, 4,false)</f>
        <v>Europe</v>
      </c>
      <c r="O310" s="7" t="str">
        <f>VLOOKUP(L310,countries, 5,false)</f>
        <v>Southern Europe</v>
      </c>
      <c r="P310" s="7" t="s">
        <v>212</v>
      </c>
      <c r="Q310" s="7">
        <v>3545.0</v>
      </c>
      <c r="R310" s="12">
        <v>154.06</v>
      </c>
      <c r="S310" s="12">
        <v>90.93</v>
      </c>
      <c r="T310" s="13">
        <f t="shared" si="6"/>
        <v>546142.7</v>
      </c>
      <c r="U310" s="13">
        <f t="shared" si="7"/>
        <v>894954.62</v>
      </c>
      <c r="V310" s="13">
        <f t="shared" si="8"/>
        <v>-348811.92</v>
      </c>
      <c r="W310" s="14">
        <f>Q310/totals!B$2</f>
        <v>0.0005390385559</v>
      </c>
      <c r="X310" s="14">
        <f t="shared" si="9"/>
        <v>0.223495573</v>
      </c>
      <c r="Y310" s="14">
        <f>T310/totals!B$5</f>
        <v>0.0003208585066</v>
      </c>
      <c r="Z310" s="14">
        <f t="shared" si="10"/>
        <v>0.2266232477</v>
      </c>
      <c r="AA310" s="14">
        <f>V310/totals!B$4</f>
        <v>-0.0006955225544</v>
      </c>
      <c r="AB310" s="14">
        <f t="shared" si="11"/>
        <v>0.2282861517</v>
      </c>
    </row>
    <row r="311">
      <c r="A311" s="7">
        <v>2103.0</v>
      </c>
      <c r="B311" s="7" t="str">
        <f>VLOOKUP($A311,product_category,2, False)</f>
        <v>Cereal</v>
      </c>
      <c r="C311" s="7">
        <v>3.05616748E8</v>
      </c>
      <c r="D311" s="9">
        <v>40335.0</v>
      </c>
      <c r="E311" s="10">
        <f t="shared" si="1"/>
        <v>6</v>
      </c>
      <c r="F311" s="10" t="str">
        <f t="shared" si="2"/>
        <v>Jun</v>
      </c>
      <c r="G311" s="11">
        <f t="shared" si="3"/>
        <v>6</v>
      </c>
      <c r="H311" s="7">
        <f t="shared" si="4"/>
        <v>2010</v>
      </c>
      <c r="I311" s="9">
        <v>40360.0</v>
      </c>
      <c r="J311" s="11">
        <f t="shared" si="5"/>
        <v>25</v>
      </c>
      <c r="K311" s="7" t="s">
        <v>110</v>
      </c>
      <c r="L311" s="7" t="s">
        <v>323</v>
      </c>
      <c r="M311" s="7" t="str">
        <f>VLOOKUP(L311,countries, 2,false)</f>
        <v>Montenegro</v>
      </c>
      <c r="N311" s="7" t="str">
        <f>VLOOKUP(L311,countries, 4,false)</f>
        <v>Europe</v>
      </c>
      <c r="O311" s="7" t="str">
        <f>VLOOKUP(L311,countries, 5,false)</f>
        <v>Southern Europe</v>
      </c>
      <c r="P311" s="7" t="s">
        <v>212</v>
      </c>
      <c r="Q311" s="7">
        <v>7642.0</v>
      </c>
      <c r="R311" s="12">
        <v>205.7</v>
      </c>
      <c r="S311" s="12">
        <v>117.11</v>
      </c>
      <c r="T311" s="13">
        <f t="shared" si="6"/>
        <v>1571959.4</v>
      </c>
      <c r="U311" s="13">
        <f t="shared" si="7"/>
        <v>396293.31</v>
      </c>
      <c r="V311" s="13">
        <f t="shared" si="8"/>
        <v>1175666.09</v>
      </c>
      <c r="W311" s="14">
        <f>Q311/totals!B$2</f>
        <v>0.001162012029</v>
      </c>
      <c r="X311" s="14">
        <f t="shared" si="9"/>
        <v>0.2246575851</v>
      </c>
      <c r="Y311" s="14">
        <f>T311/totals!B$5</f>
        <v>0.0009235251987</v>
      </c>
      <c r="Z311" s="14">
        <f t="shared" si="10"/>
        <v>0.2275467729</v>
      </c>
      <c r="AA311" s="14">
        <f>V311/totals!B$4</f>
        <v>0.002344249824</v>
      </c>
      <c r="AB311" s="14">
        <f t="shared" si="11"/>
        <v>0.2306304015</v>
      </c>
    </row>
    <row r="312">
      <c r="A312" s="7">
        <v>3127.0</v>
      </c>
      <c r="B312" s="7" t="str">
        <f>VLOOKUP($A312,product_category,2, False)</f>
        <v>Personal Care</v>
      </c>
      <c r="C312" s="7">
        <v>3.06256616E8</v>
      </c>
      <c r="D312" s="9">
        <v>41227.0</v>
      </c>
      <c r="E312" s="10">
        <f t="shared" si="1"/>
        <v>11</v>
      </c>
      <c r="F312" s="10" t="str">
        <f t="shared" si="2"/>
        <v>Nov</v>
      </c>
      <c r="G312" s="11">
        <f t="shared" si="3"/>
        <v>14</v>
      </c>
      <c r="H312" s="7">
        <f t="shared" si="4"/>
        <v>2012</v>
      </c>
      <c r="I312" s="9">
        <v>41231.0</v>
      </c>
      <c r="J312" s="11">
        <f t="shared" si="5"/>
        <v>4</v>
      </c>
      <c r="K312" s="7" t="s">
        <v>322</v>
      </c>
      <c r="L312" s="7" t="s">
        <v>392</v>
      </c>
      <c r="M312" s="7" t="str">
        <f>VLOOKUP(L312,countries, 2,false)</f>
        <v>Italy</v>
      </c>
      <c r="N312" s="7" t="str">
        <f>VLOOKUP(L312,countries, 4,false)</f>
        <v>Europe</v>
      </c>
      <c r="O312" s="7" t="str">
        <f>VLOOKUP(L312,countries, 5,false)</f>
        <v>Southern Europe</v>
      </c>
      <c r="P312" s="7" t="s">
        <v>212</v>
      </c>
      <c r="Q312" s="7">
        <v>6993.0</v>
      </c>
      <c r="R312" s="12">
        <v>81.73</v>
      </c>
      <c r="S312" s="12">
        <v>56.67</v>
      </c>
      <c r="T312" s="13">
        <f t="shared" si="6"/>
        <v>571537.89</v>
      </c>
      <c r="U312" s="13">
        <f t="shared" si="7"/>
        <v>1507156.68</v>
      </c>
      <c r="V312" s="13">
        <f t="shared" si="8"/>
        <v>-935618.79</v>
      </c>
      <c r="W312" s="14">
        <f>Q312/totals!B$2</f>
        <v>0.001063327679</v>
      </c>
      <c r="X312" s="14">
        <f t="shared" si="9"/>
        <v>0.2257209127</v>
      </c>
      <c r="Y312" s="14">
        <f>T312/totals!B$5</f>
        <v>0.0003357781654</v>
      </c>
      <c r="Z312" s="14">
        <f t="shared" si="10"/>
        <v>0.227882551</v>
      </c>
      <c r="AA312" s="14">
        <f>V312/totals!B$4</f>
        <v>-0.001865601298</v>
      </c>
      <c r="AB312" s="14">
        <f t="shared" si="11"/>
        <v>0.2287648002</v>
      </c>
    </row>
    <row r="313">
      <c r="A313" s="7">
        <v>7331.0</v>
      </c>
      <c r="B313" s="7" t="str">
        <f>VLOOKUP($A313,product_category,2, False)</f>
        <v>Baby Food</v>
      </c>
      <c r="C313" s="7">
        <v>3.06839406E8</v>
      </c>
      <c r="D313" s="9">
        <v>41546.0</v>
      </c>
      <c r="E313" s="10">
        <f t="shared" si="1"/>
        <v>9</v>
      </c>
      <c r="F313" s="10" t="str">
        <f t="shared" si="2"/>
        <v>Sep</v>
      </c>
      <c r="G313" s="11">
        <f t="shared" si="3"/>
        <v>29</v>
      </c>
      <c r="H313" s="7">
        <f t="shared" si="4"/>
        <v>2013</v>
      </c>
      <c r="I313" s="9">
        <v>41548.0</v>
      </c>
      <c r="J313" s="11">
        <f t="shared" si="5"/>
        <v>2</v>
      </c>
      <c r="K313" s="7" t="s">
        <v>382</v>
      </c>
      <c r="L313" s="7" t="s">
        <v>237</v>
      </c>
      <c r="M313" s="7" t="str">
        <f>VLOOKUP(L313,countries, 2,false)</f>
        <v>Denmark</v>
      </c>
      <c r="N313" s="7" t="str">
        <f>VLOOKUP(L313,countries, 4,false)</f>
        <v>Europe</v>
      </c>
      <c r="O313" s="7" t="str">
        <f>VLOOKUP(L313,countries, 5,false)</f>
        <v>Northern Europe</v>
      </c>
      <c r="P313" s="7" t="s">
        <v>212</v>
      </c>
      <c r="Q313" s="7">
        <v>9454.0</v>
      </c>
      <c r="R313" s="12">
        <v>255.28</v>
      </c>
      <c r="S313" s="12">
        <v>159.42</v>
      </c>
      <c r="T313" s="13">
        <f t="shared" si="6"/>
        <v>2413417.12</v>
      </c>
      <c r="U313" s="13">
        <f t="shared" si="7"/>
        <v>51007.32</v>
      </c>
      <c r="V313" s="13">
        <f t="shared" si="8"/>
        <v>2362409.8</v>
      </c>
      <c r="W313" s="14">
        <f>Q313/totals!B$2</f>
        <v>0.00143753752</v>
      </c>
      <c r="X313" s="14">
        <f t="shared" si="9"/>
        <v>0.2271584503</v>
      </c>
      <c r="Y313" s="14">
        <f>T313/totals!B$5</f>
        <v>0.001417881101</v>
      </c>
      <c r="Z313" s="14">
        <f t="shared" si="10"/>
        <v>0.2293004321</v>
      </c>
      <c r="AA313" s="14">
        <f>V313/totals!B$4</f>
        <v>0.004710588155</v>
      </c>
      <c r="AB313" s="14">
        <f t="shared" si="11"/>
        <v>0.2334753884</v>
      </c>
    </row>
    <row r="314">
      <c r="A314" s="7">
        <v>4594.0</v>
      </c>
      <c r="B314" s="7" t="str">
        <f>VLOOKUP($A314,product_category,2, False)</f>
        <v>Fruits</v>
      </c>
      <c r="C314" s="7">
        <v>3.07305467E8</v>
      </c>
      <c r="D314" s="9">
        <v>41484.0</v>
      </c>
      <c r="E314" s="10">
        <f t="shared" si="1"/>
        <v>7</v>
      </c>
      <c r="F314" s="10" t="str">
        <f t="shared" si="2"/>
        <v>Jul</v>
      </c>
      <c r="G314" s="11">
        <f t="shared" si="3"/>
        <v>29</v>
      </c>
      <c r="H314" s="7">
        <f t="shared" si="4"/>
        <v>2013</v>
      </c>
      <c r="I314" s="9">
        <v>41496.0</v>
      </c>
      <c r="J314" s="11">
        <f t="shared" si="5"/>
        <v>12</v>
      </c>
      <c r="K314" s="7" t="s">
        <v>110</v>
      </c>
      <c r="L314" s="7" t="e">
        <v>#N/A</v>
      </c>
      <c r="M314" s="7"/>
      <c r="N314" s="7"/>
      <c r="O314" s="7"/>
      <c r="P314" s="7" t="s">
        <v>129</v>
      </c>
      <c r="Q314" s="7">
        <v>7371.0</v>
      </c>
      <c r="R314" s="12">
        <v>9.33</v>
      </c>
      <c r="S314" s="12">
        <v>6.92</v>
      </c>
      <c r="T314" s="13">
        <f t="shared" si="6"/>
        <v>68771.43</v>
      </c>
      <c r="U314" s="13">
        <f t="shared" si="7"/>
        <v>54371.52</v>
      </c>
      <c r="V314" s="13">
        <f t="shared" si="8"/>
        <v>14399.91</v>
      </c>
      <c r="W314" s="14">
        <f>Q314/totals!B$2</f>
        <v>0.001120804851</v>
      </c>
      <c r="X314" s="14">
        <f t="shared" si="9"/>
        <v>0.2282792551</v>
      </c>
      <c r="Y314" s="14">
        <f>T314/totals!B$5</f>
        <v>0.00004040317362</v>
      </c>
      <c r="Z314" s="14">
        <f t="shared" si="10"/>
        <v>0.2293408353</v>
      </c>
      <c r="AA314" s="14">
        <f>V314/totals!B$4</f>
        <v>0.00002871307318</v>
      </c>
      <c r="AB314" s="14">
        <f t="shared" si="11"/>
        <v>0.2335041014</v>
      </c>
    </row>
    <row r="315">
      <c r="A315" s="7">
        <v>8969.0</v>
      </c>
      <c r="B315" s="7" t="str">
        <f>VLOOKUP($A315,product_category,2, False)</f>
        <v>Snacks</v>
      </c>
      <c r="C315" s="7">
        <v>3.07721745E8</v>
      </c>
      <c r="D315" s="9">
        <v>40526.0</v>
      </c>
      <c r="E315" s="10">
        <f t="shared" si="1"/>
        <v>12</v>
      </c>
      <c r="F315" s="10" t="str">
        <f t="shared" si="2"/>
        <v>Dec</v>
      </c>
      <c r="G315" s="11">
        <f t="shared" si="3"/>
        <v>14</v>
      </c>
      <c r="H315" s="7">
        <f t="shared" si="4"/>
        <v>2010</v>
      </c>
      <c r="I315" s="9">
        <v>40544.0</v>
      </c>
      <c r="J315" s="11">
        <f t="shared" si="5"/>
        <v>18</v>
      </c>
      <c r="K315" s="7" t="s">
        <v>110</v>
      </c>
      <c r="L315" s="7" t="s">
        <v>392</v>
      </c>
      <c r="M315" s="7" t="str">
        <f>VLOOKUP(L315,countries, 2,false)</f>
        <v>Italy</v>
      </c>
      <c r="N315" s="7" t="str">
        <f>VLOOKUP(L315,countries, 4,false)</f>
        <v>Europe</v>
      </c>
      <c r="O315" s="7" t="str">
        <f>VLOOKUP(L315,countries, 5,false)</f>
        <v>Southern Europe</v>
      </c>
      <c r="P315" s="7" t="s">
        <v>129</v>
      </c>
      <c r="Q315" s="7">
        <v>558.0</v>
      </c>
      <c r="R315" s="12">
        <v>152.58</v>
      </c>
      <c r="S315" s="12">
        <v>97.44</v>
      </c>
      <c r="T315" s="13">
        <f t="shared" si="6"/>
        <v>85139.64</v>
      </c>
      <c r="U315" s="13">
        <f t="shared" si="7"/>
        <v>168868.48</v>
      </c>
      <c r="V315" s="13">
        <f t="shared" si="8"/>
        <v>-83728.84</v>
      </c>
      <c r="W315" s="14">
        <f>Q315/totals!B$2</f>
        <v>0.00008484725366</v>
      </c>
      <c r="X315" s="14">
        <f t="shared" si="9"/>
        <v>0.2283641024</v>
      </c>
      <c r="Y315" s="14">
        <f>T315/totals!B$5</f>
        <v>0.00005001948711</v>
      </c>
      <c r="Z315" s="14">
        <f t="shared" si="10"/>
        <v>0.2293908548</v>
      </c>
      <c r="AA315" s="14">
        <f>V315/totals!B$4</f>
        <v>-0.0001669532872</v>
      </c>
      <c r="AB315" s="14">
        <f t="shared" si="11"/>
        <v>0.2333371481</v>
      </c>
    </row>
    <row r="316">
      <c r="A316" s="7">
        <v>1270.0</v>
      </c>
      <c r="B316" s="7" t="str">
        <f>VLOOKUP($A316,product_category,2, False)</f>
        <v>Beverages</v>
      </c>
      <c r="C316" s="7">
        <v>3.08582627E8</v>
      </c>
      <c r="D316" s="9">
        <v>41266.0</v>
      </c>
      <c r="E316" s="10">
        <f t="shared" si="1"/>
        <v>12</v>
      </c>
      <c r="F316" s="10" t="str">
        <f t="shared" si="2"/>
        <v>Dec</v>
      </c>
      <c r="G316" s="11">
        <f t="shared" si="3"/>
        <v>23</v>
      </c>
      <c r="H316" s="7">
        <f t="shared" si="4"/>
        <v>2012</v>
      </c>
      <c r="I316" s="9">
        <v>41314.0</v>
      </c>
      <c r="J316" s="11">
        <f t="shared" si="5"/>
        <v>48</v>
      </c>
      <c r="K316" s="7" t="s">
        <v>198</v>
      </c>
      <c r="L316" s="7" t="s">
        <v>200</v>
      </c>
      <c r="M316" s="7" t="str">
        <f>VLOOKUP(L316,countries, 2,false)</f>
        <v>Serbia</v>
      </c>
      <c r="N316" s="7" t="str">
        <f>VLOOKUP(L316,countries, 4,false)</f>
        <v>Europe</v>
      </c>
      <c r="O316" s="7" t="str">
        <f>VLOOKUP(L316,countries, 5,false)</f>
        <v>Southern Europe</v>
      </c>
      <c r="P316" s="7" t="s">
        <v>212</v>
      </c>
      <c r="Q316" s="7">
        <v>5312.0</v>
      </c>
      <c r="R316" s="12">
        <v>47.45</v>
      </c>
      <c r="S316" s="12">
        <v>31.79</v>
      </c>
      <c r="T316" s="13">
        <f t="shared" si="6"/>
        <v>252054.4</v>
      </c>
      <c r="U316" s="13">
        <f t="shared" si="7"/>
        <v>1416660.26</v>
      </c>
      <c r="V316" s="13">
        <f t="shared" si="8"/>
        <v>-1164605.86</v>
      </c>
      <c r="W316" s="14">
        <f>Q316/totals!B$2</f>
        <v>0.0008077215258</v>
      </c>
      <c r="X316" s="14">
        <f t="shared" si="9"/>
        <v>0.2291718239</v>
      </c>
      <c r="Y316" s="14">
        <f>T316/totals!B$5</f>
        <v>0.0001480818079</v>
      </c>
      <c r="Z316" s="14">
        <f t="shared" si="10"/>
        <v>0.2295389366</v>
      </c>
      <c r="AA316" s="14">
        <f>V316/totals!B$4</f>
        <v>-0.002322195992</v>
      </c>
      <c r="AB316" s="14">
        <f t="shared" si="11"/>
        <v>0.2310149522</v>
      </c>
    </row>
    <row r="317">
      <c r="A317" s="7">
        <v>7940.0</v>
      </c>
      <c r="B317" s="7" t="str">
        <f>VLOOKUP($A317,product_category,2, False)</f>
        <v>Household</v>
      </c>
      <c r="C317" s="7">
        <v>3.09148681E8</v>
      </c>
      <c r="D317" s="9">
        <v>41022.0</v>
      </c>
      <c r="E317" s="10">
        <f t="shared" si="1"/>
        <v>4</v>
      </c>
      <c r="F317" s="10" t="str">
        <f t="shared" si="2"/>
        <v>Apr</v>
      </c>
      <c r="G317" s="11">
        <f t="shared" si="3"/>
        <v>23</v>
      </c>
      <c r="H317" s="7">
        <f t="shared" si="4"/>
        <v>2012</v>
      </c>
      <c r="I317" s="9">
        <v>41034.0</v>
      </c>
      <c r="J317" s="11">
        <f t="shared" si="5"/>
        <v>12</v>
      </c>
      <c r="K317" s="7" t="s">
        <v>110</v>
      </c>
      <c r="L317" s="7" t="s">
        <v>540</v>
      </c>
      <c r="M317" s="7" t="str">
        <f>VLOOKUP(L317,countries, 2,false)</f>
        <v>Spain</v>
      </c>
      <c r="N317" s="7" t="str">
        <f>VLOOKUP(L317,countries, 4,false)</f>
        <v>Europe</v>
      </c>
      <c r="O317" s="7" t="str">
        <f>VLOOKUP(L317,countries, 5,false)</f>
        <v>Southern Europe</v>
      </c>
      <c r="P317" s="7" t="s">
        <v>212</v>
      </c>
      <c r="Q317" s="7">
        <v>2819.0</v>
      </c>
      <c r="R317" s="12">
        <v>668.27</v>
      </c>
      <c r="S317" s="12">
        <v>502.54</v>
      </c>
      <c r="T317" s="13">
        <f t="shared" si="6"/>
        <v>1883853.13</v>
      </c>
      <c r="U317" s="13">
        <f t="shared" si="7"/>
        <v>31160.76</v>
      </c>
      <c r="V317" s="13">
        <f t="shared" si="8"/>
        <v>1852692.37</v>
      </c>
      <c r="W317" s="14">
        <f>Q317/totals!B$2</f>
        <v>0.0004286458926</v>
      </c>
      <c r="X317" s="14">
        <f t="shared" si="9"/>
        <v>0.2296004698</v>
      </c>
      <c r="Y317" s="14">
        <f>T317/totals!B$5</f>
        <v>0.001106762577</v>
      </c>
      <c r="Z317" s="14">
        <f t="shared" si="10"/>
        <v>0.2306456992</v>
      </c>
      <c r="AA317" s="14">
        <f>V317/totals!B$4</f>
        <v>0.003694223895</v>
      </c>
      <c r="AB317" s="14">
        <f t="shared" si="11"/>
        <v>0.2347091761</v>
      </c>
    </row>
    <row r="318">
      <c r="A318" s="7">
        <v>4594.0</v>
      </c>
      <c r="B318" s="7" t="str">
        <f>VLOOKUP($A318,product_category,2, False)</f>
        <v>Fruits</v>
      </c>
      <c r="C318" s="7">
        <v>3.09188163E8</v>
      </c>
      <c r="D318" s="9">
        <v>42209.0</v>
      </c>
      <c r="E318" s="10">
        <f t="shared" si="1"/>
        <v>7</v>
      </c>
      <c r="F318" s="10" t="str">
        <f t="shared" si="2"/>
        <v>Jul</v>
      </c>
      <c r="G318" s="11">
        <f t="shared" si="3"/>
        <v>24</v>
      </c>
      <c r="H318" s="7">
        <f t="shared" si="4"/>
        <v>2015</v>
      </c>
      <c r="I318" s="9">
        <v>42228.0</v>
      </c>
      <c r="J318" s="11">
        <f t="shared" si="5"/>
        <v>19</v>
      </c>
      <c r="K318" s="7" t="s">
        <v>198</v>
      </c>
      <c r="L318" s="7" t="s">
        <v>113</v>
      </c>
      <c r="M318" s="7" t="str">
        <f>VLOOKUP(L318,countries, 2,false)</f>
        <v>Belgium</v>
      </c>
      <c r="N318" s="7" t="str">
        <f>VLOOKUP(L318,countries, 4,false)</f>
        <v>Europe</v>
      </c>
      <c r="O318" s="7" t="str">
        <f>VLOOKUP(L318,countries, 5,false)</f>
        <v>Western Europe</v>
      </c>
      <c r="P318" s="7" t="s">
        <v>129</v>
      </c>
      <c r="Q318" s="7">
        <v>4503.0</v>
      </c>
      <c r="R318" s="12">
        <v>9.33</v>
      </c>
      <c r="S318" s="12">
        <v>6.92</v>
      </c>
      <c r="T318" s="13">
        <f t="shared" si="6"/>
        <v>42012.99</v>
      </c>
      <c r="U318" s="13">
        <f t="shared" si="7"/>
        <v>188767.77</v>
      </c>
      <c r="V318" s="13">
        <f t="shared" si="8"/>
        <v>-146754.78</v>
      </c>
      <c r="W318" s="14">
        <f>Q318/totals!B$2</f>
        <v>0.0006847082136</v>
      </c>
      <c r="X318" s="14">
        <f t="shared" si="9"/>
        <v>0.230285178</v>
      </c>
      <c r="Y318" s="14">
        <f>T318/totals!B$5</f>
        <v>0.00002468260627</v>
      </c>
      <c r="Z318" s="14">
        <f t="shared" si="10"/>
        <v>0.2306703818</v>
      </c>
      <c r="AA318" s="14">
        <f>V318/totals!B$4</f>
        <v>-0.0002926254913</v>
      </c>
      <c r="AB318" s="14">
        <f t="shared" si="11"/>
        <v>0.2344165506</v>
      </c>
    </row>
    <row r="319">
      <c r="A319" s="7">
        <v>3127.0</v>
      </c>
      <c r="B319" s="7" t="str">
        <f>VLOOKUP($A319,product_category,2, False)</f>
        <v>Personal Care</v>
      </c>
      <c r="C319" s="7">
        <v>3.09285581E8</v>
      </c>
      <c r="D319" s="9">
        <v>42792.0</v>
      </c>
      <c r="E319" s="10">
        <f t="shared" si="1"/>
        <v>2</v>
      </c>
      <c r="F319" s="10" t="str">
        <f t="shared" si="2"/>
        <v>Feb</v>
      </c>
      <c r="G319" s="11">
        <f t="shared" si="3"/>
        <v>26</v>
      </c>
      <c r="H319" s="7">
        <f t="shared" si="4"/>
        <v>2017</v>
      </c>
      <c r="I319" s="9">
        <v>42842.0</v>
      </c>
      <c r="J319" s="11">
        <f t="shared" si="5"/>
        <v>50</v>
      </c>
      <c r="K319" s="7" t="s">
        <v>382</v>
      </c>
      <c r="L319" s="7" t="s">
        <v>383</v>
      </c>
      <c r="M319" s="7" t="str">
        <f>VLOOKUP(L319,countries, 2,false)</f>
        <v>Ireland</v>
      </c>
      <c r="N319" s="7" t="str">
        <f>VLOOKUP(L319,countries, 4,false)</f>
        <v>Europe</v>
      </c>
      <c r="O319" s="7" t="str">
        <f>VLOOKUP(L319,countries, 5,false)</f>
        <v>Northern Europe</v>
      </c>
      <c r="P319" s="7" t="s">
        <v>212</v>
      </c>
      <c r="Q319" s="7">
        <v>3331.0</v>
      </c>
      <c r="R319" s="12">
        <v>81.73</v>
      </c>
      <c r="S319" s="12">
        <v>56.67</v>
      </c>
      <c r="T319" s="13">
        <f t="shared" si="6"/>
        <v>272242.63</v>
      </c>
      <c r="U319" s="13">
        <f t="shared" si="7"/>
        <v>12580.74</v>
      </c>
      <c r="V319" s="13">
        <f t="shared" si="8"/>
        <v>259661.89</v>
      </c>
      <c r="W319" s="14">
        <f>Q319/totals!B$2</f>
        <v>0.0005064985698</v>
      </c>
      <c r="X319" s="14">
        <f t="shared" si="9"/>
        <v>0.2307916766</v>
      </c>
      <c r="Y319" s="14">
        <f>T319/totals!B$5</f>
        <v>0.0001599423808</v>
      </c>
      <c r="Z319" s="14">
        <f t="shared" si="10"/>
        <v>0.2308303242</v>
      </c>
      <c r="AA319" s="14">
        <f>V319/totals!B$4</f>
        <v>0.0005177595451</v>
      </c>
      <c r="AB319" s="14">
        <f t="shared" si="11"/>
        <v>0.2349343101</v>
      </c>
    </row>
    <row r="320">
      <c r="A320" s="7">
        <v>3127.0</v>
      </c>
      <c r="B320" s="7" t="str">
        <f>VLOOKUP($A320,product_category,2, False)</f>
        <v>Personal Care</v>
      </c>
      <c r="C320" s="7">
        <v>3.09342658E8</v>
      </c>
      <c r="D320" s="9">
        <v>40599.0</v>
      </c>
      <c r="E320" s="10">
        <f t="shared" si="1"/>
        <v>2</v>
      </c>
      <c r="F320" s="10" t="str">
        <f t="shared" si="2"/>
        <v>Feb</v>
      </c>
      <c r="G320" s="11">
        <f t="shared" si="3"/>
        <v>25</v>
      </c>
      <c r="H320" s="7">
        <f t="shared" si="4"/>
        <v>2011</v>
      </c>
      <c r="I320" s="9">
        <v>40630.0</v>
      </c>
      <c r="J320" s="11">
        <f t="shared" si="5"/>
        <v>31</v>
      </c>
      <c r="K320" s="7" t="s">
        <v>198</v>
      </c>
      <c r="L320" s="7" t="s">
        <v>392</v>
      </c>
      <c r="M320" s="7" t="str">
        <f>VLOOKUP(L320,countries, 2,false)</f>
        <v>Italy</v>
      </c>
      <c r="N320" s="7" t="str">
        <f>VLOOKUP(L320,countries, 4,false)</f>
        <v>Europe</v>
      </c>
      <c r="O320" s="7" t="str">
        <f>VLOOKUP(L320,countries, 5,false)</f>
        <v>Southern Europe</v>
      </c>
      <c r="P320" s="7" t="s">
        <v>129</v>
      </c>
      <c r="Q320" s="7">
        <v>222.0</v>
      </c>
      <c r="R320" s="12">
        <v>81.73</v>
      </c>
      <c r="S320" s="12">
        <v>56.67</v>
      </c>
      <c r="T320" s="13">
        <f t="shared" si="6"/>
        <v>18144.06</v>
      </c>
      <c r="U320" s="13">
        <f t="shared" si="7"/>
        <v>0</v>
      </c>
      <c r="V320" s="13">
        <f t="shared" si="8"/>
        <v>18144.06</v>
      </c>
      <c r="W320" s="14">
        <f>Q320/totals!B$2</f>
        <v>0.00003375643425</v>
      </c>
      <c r="X320" s="14">
        <f t="shared" si="9"/>
        <v>0.230825433</v>
      </c>
      <c r="Y320" s="14">
        <f>T320/totals!B$5</f>
        <v>0.0000106596243</v>
      </c>
      <c r="Z320" s="14">
        <f t="shared" si="10"/>
        <v>0.2308409838</v>
      </c>
      <c r="AA320" s="14">
        <f>V320/totals!B$4</f>
        <v>0.00003617881797</v>
      </c>
      <c r="AB320" s="14">
        <f t="shared" si="11"/>
        <v>0.2349704889</v>
      </c>
    </row>
    <row r="321">
      <c r="A321" s="7">
        <v>3127.0</v>
      </c>
      <c r="B321" s="7" t="str">
        <f>VLOOKUP($A321,product_category,2, False)</f>
        <v>Personal Care</v>
      </c>
      <c r="C321" s="7">
        <v>3.09655511E8</v>
      </c>
      <c r="D321" s="9">
        <v>41764.0</v>
      </c>
      <c r="E321" s="10">
        <f t="shared" si="1"/>
        <v>5</v>
      </c>
      <c r="F321" s="10" t="str">
        <f t="shared" si="2"/>
        <v>May</v>
      </c>
      <c r="G321" s="11">
        <f t="shared" si="3"/>
        <v>5</v>
      </c>
      <c r="H321" s="7">
        <f t="shared" si="4"/>
        <v>2014</v>
      </c>
      <c r="I321" s="9">
        <v>41780.0</v>
      </c>
      <c r="J321" s="11">
        <f t="shared" si="5"/>
        <v>16</v>
      </c>
      <c r="K321" s="7" t="s">
        <v>198</v>
      </c>
      <c r="L321" s="7" t="s">
        <v>222</v>
      </c>
      <c r="M321" s="7" t="str">
        <f>VLOOKUP(L321,countries, 2,false)</f>
        <v>Croatia</v>
      </c>
      <c r="N321" s="7" t="str">
        <f>VLOOKUP(L321,countries, 4,false)</f>
        <v>Europe</v>
      </c>
      <c r="O321" s="7" t="str">
        <f>VLOOKUP(L321,countries, 5,false)</f>
        <v>Southern Europe</v>
      </c>
      <c r="P321" s="7" t="s">
        <v>212</v>
      </c>
      <c r="R321" s="12">
        <v>81.73</v>
      </c>
      <c r="S321" s="12">
        <v>56.67</v>
      </c>
      <c r="T321" s="13">
        <f t="shared" si="6"/>
        <v>0</v>
      </c>
      <c r="U321" s="13">
        <f t="shared" si="7"/>
        <v>2374709.94</v>
      </c>
      <c r="V321" s="13">
        <f t="shared" si="8"/>
        <v>-2374709.94</v>
      </c>
      <c r="W321" s="14">
        <f>Q321/totals!B$2</f>
        <v>0</v>
      </c>
      <c r="X321" s="14">
        <f t="shared" si="9"/>
        <v>0.230825433</v>
      </c>
      <c r="Y321" s="14">
        <f>T321/totals!B$5</f>
        <v>0</v>
      </c>
      <c r="Z321" s="14">
        <f t="shared" si="10"/>
        <v>0.2308409838</v>
      </c>
      <c r="AA321" s="14">
        <f>V321/totals!B$4</f>
        <v>-0.004735114337</v>
      </c>
      <c r="AB321" s="14">
        <f t="shared" si="11"/>
        <v>0.2302353746</v>
      </c>
    </row>
    <row r="322">
      <c r="A322" s="7">
        <v>8293.0</v>
      </c>
      <c r="B322" s="7" t="str">
        <f>VLOOKUP($A322,product_category,2, False)</f>
        <v>Cosmetics</v>
      </c>
      <c r="C322" s="7">
        <v>3.1058892E8</v>
      </c>
      <c r="D322" s="9">
        <v>41257.0</v>
      </c>
      <c r="E322" s="10">
        <f t="shared" si="1"/>
        <v>12</v>
      </c>
      <c r="F322" s="10" t="str">
        <f t="shared" si="2"/>
        <v>Dec</v>
      </c>
      <c r="G322" s="11">
        <f t="shared" si="3"/>
        <v>14</v>
      </c>
      <c r="H322" s="7">
        <f t="shared" si="4"/>
        <v>2012</v>
      </c>
      <c r="I322" s="9">
        <v>41280.0</v>
      </c>
      <c r="J322" s="11">
        <f t="shared" si="5"/>
        <v>23</v>
      </c>
      <c r="K322" s="7" t="s">
        <v>382</v>
      </c>
      <c r="L322" s="7" t="s">
        <v>478</v>
      </c>
      <c r="M322" s="7" t="str">
        <f>VLOOKUP(L322,countries, 2,false)</f>
        <v>Malta</v>
      </c>
      <c r="N322" s="7" t="str">
        <f>VLOOKUP(L322,countries, 4,false)</f>
        <v>Europe</v>
      </c>
      <c r="O322" s="7" t="str">
        <f>VLOOKUP(L322,countries, 5,false)</f>
        <v>Southern Europe</v>
      </c>
      <c r="P322" s="7" t="s">
        <v>212</v>
      </c>
      <c r="Q322" s="7">
        <v>9018.0</v>
      </c>
      <c r="R322" s="12">
        <v>437.2</v>
      </c>
      <c r="S322" s="12">
        <v>263.33</v>
      </c>
      <c r="T322" s="13">
        <f t="shared" si="6"/>
        <v>3942669.6</v>
      </c>
      <c r="U322" s="13">
        <f t="shared" si="7"/>
        <v>42973.2</v>
      </c>
      <c r="V322" s="13">
        <f t="shared" si="8"/>
        <v>3899696.4</v>
      </c>
      <c r="W322" s="14">
        <f>Q322/totals!B$2</f>
        <v>0.001371241099</v>
      </c>
      <c r="X322" s="14">
        <f t="shared" si="9"/>
        <v>0.2321966741</v>
      </c>
      <c r="Y322" s="14">
        <f>T322/totals!B$5</f>
        <v>0.00231631601</v>
      </c>
      <c r="Z322" s="14">
        <f t="shared" si="10"/>
        <v>0.2331572998</v>
      </c>
      <c r="AA322" s="14">
        <f>V322/totals!B$4</f>
        <v>0.007775900553</v>
      </c>
      <c r="AB322" s="14">
        <f t="shared" si="11"/>
        <v>0.2380112751</v>
      </c>
    </row>
    <row r="323">
      <c r="A323" s="7">
        <v>4594.0</v>
      </c>
      <c r="B323" s="7" t="str">
        <f>VLOOKUP($A323,product_category,2, False)</f>
        <v>Fruits</v>
      </c>
      <c r="C323" s="7">
        <v>3.11221492E8</v>
      </c>
      <c r="D323" s="9">
        <v>42471.0</v>
      </c>
      <c r="E323" s="10">
        <f t="shared" si="1"/>
        <v>4</v>
      </c>
      <c r="F323" s="10" t="str">
        <f t="shared" si="2"/>
        <v>Apr</v>
      </c>
      <c r="G323" s="11">
        <f t="shared" si="3"/>
        <v>11</v>
      </c>
      <c r="H323" s="7">
        <f t="shared" si="4"/>
        <v>2016</v>
      </c>
      <c r="I323" s="9">
        <v>42497.0</v>
      </c>
      <c r="J323" s="11">
        <f t="shared" si="5"/>
        <v>26</v>
      </c>
      <c r="K323" s="7" t="s">
        <v>322</v>
      </c>
      <c r="L323" s="7" t="s">
        <v>702</v>
      </c>
      <c r="M323" s="7" t="str">
        <f>VLOOKUP(L323,countries, 2,false)</f>
        <v>Sweden</v>
      </c>
      <c r="N323" s="7" t="str">
        <f>VLOOKUP(L323,countries, 4,false)</f>
        <v>Europe</v>
      </c>
      <c r="O323" s="7" t="str">
        <f>VLOOKUP(L323,countries, 5,false)</f>
        <v>Northern Europe</v>
      </c>
      <c r="P323" s="7" t="s">
        <v>129</v>
      </c>
      <c r="Q323" s="7">
        <v>6210.0</v>
      </c>
      <c r="R323" s="12">
        <v>9.33</v>
      </c>
      <c r="S323" s="12">
        <v>6.92</v>
      </c>
      <c r="T323" s="13">
        <f t="shared" si="6"/>
        <v>57939.3</v>
      </c>
      <c r="U323" s="13">
        <f t="shared" si="7"/>
        <v>255525.03</v>
      </c>
      <c r="V323" s="13">
        <f t="shared" si="8"/>
        <v>-197585.73</v>
      </c>
      <c r="W323" s="14">
        <f>Q323/totals!B$2</f>
        <v>0.0009442678229</v>
      </c>
      <c r="X323" s="14">
        <f t="shared" si="9"/>
        <v>0.2331409419</v>
      </c>
      <c r="Y323" s="14">
        <f>T323/totals!B$5</f>
        <v>0.00003403930378</v>
      </c>
      <c r="Z323" s="14">
        <f t="shared" si="10"/>
        <v>0.2331913391</v>
      </c>
      <c r="AA323" s="14">
        <f>V323/totals!B$4</f>
        <v>-0.0003939811794</v>
      </c>
      <c r="AB323" s="14">
        <f t="shared" si="11"/>
        <v>0.237617294</v>
      </c>
    </row>
    <row r="324">
      <c r="A324" s="7">
        <v>3127.0</v>
      </c>
      <c r="B324" s="7" t="str">
        <f>VLOOKUP($A324,product_category,2, False)</f>
        <v>Personal Care</v>
      </c>
      <c r="C324" s="7">
        <v>3.1168884E8</v>
      </c>
      <c r="D324" s="9">
        <v>42026.0</v>
      </c>
      <c r="E324" s="10">
        <f t="shared" si="1"/>
        <v>1</v>
      </c>
      <c r="F324" s="10" t="str">
        <f t="shared" si="2"/>
        <v>Jan</v>
      </c>
      <c r="G324" s="11">
        <f t="shared" si="3"/>
        <v>22</v>
      </c>
      <c r="H324" s="7">
        <f t="shared" si="4"/>
        <v>2015</v>
      </c>
      <c r="I324" s="9">
        <v>42049.0</v>
      </c>
      <c r="J324" s="11">
        <f t="shared" si="5"/>
        <v>23</v>
      </c>
      <c r="K324" s="7" t="s">
        <v>322</v>
      </c>
      <c r="L324" s="7" t="s">
        <v>762</v>
      </c>
      <c r="M324" s="7" t="str">
        <f>VLOOKUP(L324,countries, 2,false)</f>
        <v>United Kingdom</v>
      </c>
      <c r="N324" s="7" t="str">
        <f>VLOOKUP(L324,countries, 4,false)</f>
        <v>Europe</v>
      </c>
      <c r="O324" s="7" t="str">
        <f>VLOOKUP(L324,countries, 5,false)</f>
        <v>Northern Europe</v>
      </c>
      <c r="P324" s="7" t="s">
        <v>212</v>
      </c>
      <c r="Q324" s="7">
        <v>4509.0</v>
      </c>
      <c r="R324" s="12">
        <v>81.73</v>
      </c>
      <c r="S324" s="12">
        <v>56.67</v>
      </c>
      <c r="T324" s="13">
        <f t="shared" si="6"/>
        <v>368520.57</v>
      </c>
      <c r="U324" s="13">
        <f t="shared" si="7"/>
        <v>102173.06</v>
      </c>
      <c r="V324" s="13">
        <f t="shared" si="8"/>
        <v>266347.51</v>
      </c>
      <c r="W324" s="14">
        <f>Q324/totals!B$2</f>
        <v>0.0006856205497</v>
      </c>
      <c r="X324" s="14">
        <f t="shared" si="9"/>
        <v>0.2338265625</v>
      </c>
      <c r="Y324" s="14">
        <f>T324/totals!B$5</f>
        <v>0.0002165056125</v>
      </c>
      <c r="Z324" s="14">
        <f t="shared" si="10"/>
        <v>0.2334078447</v>
      </c>
      <c r="AA324" s="14">
        <f>V324/totals!B$4</f>
        <v>0.0005310905101</v>
      </c>
      <c r="AB324" s="14">
        <f t="shared" si="11"/>
        <v>0.2381483845</v>
      </c>
    </row>
    <row r="325">
      <c r="A325" s="7">
        <v>1270.0</v>
      </c>
      <c r="B325" s="7" t="str">
        <f>VLOOKUP($A325,product_category,2, False)</f>
        <v>Beverages</v>
      </c>
      <c r="C325" s="7">
        <v>3.11921012E8</v>
      </c>
      <c r="D325" s="9">
        <v>40405.0</v>
      </c>
      <c r="E325" s="10">
        <f t="shared" si="1"/>
        <v>8</v>
      </c>
      <c r="F325" s="10" t="str">
        <f t="shared" si="2"/>
        <v>Aug</v>
      </c>
      <c r="G325" s="11">
        <f t="shared" si="3"/>
        <v>15</v>
      </c>
      <c r="H325" s="7">
        <f t="shared" si="4"/>
        <v>2010</v>
      </c>
      <c r="I325" s="9">
        <v>40416.0</v>
      </c>
      <c r="J325" s="11">
        <f t="shared" si="5"/>
        <v>11</v>
      </c>
      <c r="K325" s="7" t="s">
        <v>382</v>
      </c>
      <c r="L325" s="7" t="s">
        <v>107</v>
      </c>
      <c r="M325" s="7" t="str">
        <f>VLOOKUP(L325,countries, 2,false)</f>
        <v>Belarus</v>
      </c>
      <c r="N325" s="7" t="str">
        <f>VLOOKUP(L325,countries, 4,false)</f>
        <v>Europe</v>
      </c>
      <c r="O325" s="7" t="str">
        <f>VLOOKUP(L325,countries, 5,false)</f>
        <v>Eastern Europe</v>
      </c>
      <c r="P325" s="7" t="s">
        <v>129</v>
      </c>
      <c r="Q325" s="7">
        <v>3214.0</v>
      </c>
      <c r="R325" s="12">
        <v>47.45</v>
      </c>
      <c r="S325" s="12">
        <v>31.79</v>
      </c>
      <c r="T325" s="13">
        <f t="shared" si="6"/>
        <v>152504.3</v>
      </c>
      <c r="U325" s="13">
        <f t="shared" si="7"/>
        <v>988804.15</v>
      </c>
      <c r="V325" s="13">
        <f t="shared" si="8"/>
        <v>-836299.85</v>
      </c>
      <c r="W325" s="14">
        <f>Q325/totals!B$2</f>
        <v>0.0004887080166</v>
      </c>
      <c r="X325" s="14">
        <f t="shared" si="9"/>
        <v>0.2343152705</v>
      </c>
      <c r="Y325" s="14">
        <f>T325/totals!B$5</f>
        <v>0.00008959618421</v>
      </c>
      <c r="Z325" s="14">
        <f t="shared" si="10"/>
        <v>0.2334974409</v>
      </c>
      <c r="AA325" s="14">
        <f>V325/totals!B$4</f>
        <v>-0.001667561728</v>
      </c>
      <c r="AB325" s="14">
        <f t="shared" si="11"/>
        <v>0.2364808227</v>
      </c>
    </row>
    <row r="326">
      <c r="A326" s="7">
        <v>8293.0</v>
      </c>
      <c r="B326" s="7" t="str">
        <f>VLOOKUP($A326,product_category,2, False)</f>
        <v>Cosmetics</v>
      </c>
      <c r="C326" s="7">
        <v>3.11956632E8</v>
      </c>
      <c r="D326" s="9">
        <v>42739.0</v>
      </c>
      <c r="E326" s="10">
        <f t="shared" si="1"/>
        <v>1</v>
      </c>
      <c r="F326" s="10" t="str">
        <f t="shared" si="2"/>
        <v>Jan</v>
      </c>
      <c r="G326" s="11">
        <f t="shared" si="3"/>
        <v>4</v>
      </c>
      <c r="H326" s="7">
        <f t="shared" si="4"/>
        <v>2017</v>
      </c>
      <c r="I326" s="9">
        <v>42745.0</v>
      </c>
      <c r="J326" s="11">
        <f t="shared" si="5"/>
        <v>6</v>
      </c>
      <c r="K326" s="7" t="s">
        <v>198</v>
      </c>
      <c r="L326" s="7" t="s">
        <v>264</v>
      </c>
      <c r="M326" s="7" t="str">
        <f>VLOOKUP(L326,countries, 2,false)</f>
        <v>Estonia</v>
      </c>
      <c r="N326" s="7" t="str">
        <f>VLOOKUP(L326,countries, 4,false)</f>
        <v>Europe</v>
      </c>
      <c r="O326" s="7" t="str">
        <f>VLOOKUP(L326,countries, 5,false)</f>
        <v>Northern Europe</v>
      </c>
      <c r="P326" s="7" t="s">
        <v>212</v>
      </c>
      <c r="Q326" s="7">
        <v>3755.0</v>
      </c>
      <c r="R326" s="12">
        <v>437.2</v>
      </c>
      <c r="S326" s="12">
        <v>263.33</v>
      </c>
      <c r="T326" s="13">
        <f t="shared" si="6"/>
        <v>1641686</v>
      </c>
      <c r="U326" s="13">
        <f t="shared" si="7"/>
        <v>164831.15</v>
      </c>
      <c r="V326" s="13">
        <f t="shared" si="8"/>
        <v>1476854.85</v>
      </c>
      <c r="W326" s="14">
        <f>Q326/totals!B$2</f>
        <v>0.0005709703181</v>
      </c>
      <c r="X326" s="14">
        <f t="shared" si="9"/>
        <v>0.2348862408</v>
      </c>
      <c r="Y326" s="14">
        <f>T326/totals!B$5</f>
        <v>0.0009644895342</v>
      </c>
      <c r="Z326" s="14">
        <f t="shared" si="10"/>
        <v>0.2344619304</v>
      </c>
      <c r="AA326" s="14">
        <f>V326/totals!B$4</f>
        <v>0.002944812946</v>
      </c>
      <c r="AB326" s="14">
        <f t="shared" si="11"/>
        <v>0.2394256357</v>
      </c>
    </row>
    <row r="327">
      <c r="A327" s="7">
        <v>1270.0</v>
      </c>
      <c r="B327" s="7" t="str">
        <f>VLOOKUP($A327,product_category,2, False)</f>
        <v>Beverages</v>
      </c>
      <c r="C327" s="7">
        <v>3.13178002E8</v>
      </c>
      <c r="D327" s="9">
        <v>41566.0</v>
      </c>
      <c r="E327" s="10">
        <f t="shared" si="1"/>
        <v>10</v>
      </c>
      <c r="F327" s="10" t="str">
        <f t="shared" si="2"/>
        <v>Oct</v>
      </c>
      <c r="G327" s="11">
        <f t="shared" si="3"/>
        <v>19</v>
      </c>
      <c r="H327" s="7">
        <f t="shared" si="4"/>
        <v>2013</v>
      </c>
      <c r="I327" s="9">
        <v>41614.0</v>
      </c>
      <c r="J327" s="11">
        <f t="shared" si="5"/>
        <v>48</v>
      </c>
      <c r="K327" s="7" t="s">
        <v>198</v>
      </c>
      <c r="L327" s="7" t="s">
        <v>155</v>
      </c>
      <c r="M327" s="7" t="str">
        <f>VLOOKUP(L327,countries, 2,false)</f>
        <v>Bulgaria</v>
      </c>
      <c r="N327" s="7" t="str">
        <f>VLOOKUP(L327,countries, 4,false)</f>
        <v>Europe</v>
      </c>
      <c r="O327" s="7" t="str">
        <f>VLOOKUP(L327,countries, 5,false)</f>
        <v>Eastern Europe</v>
      </c>
      <c r="P327" s="7" t="s">
        <v>212</v>
      </c>
      <c r="Q327" s="7">
        <v>5185.0</v>
      </c>
      <c r="R327" s="12">
        <v>47.45</v>
      </c>
      <c r="S327" s="12">
        <v>31.79</v>
      </c>
      <c r="T327" s="13">
        <f t="shared" si="6"/>
        <v>246028.25</v>
      </c>
      <c r="U327" s="13">
        <f t="shared" si="7"/>
        <v>9618.8</v>
      </c>
      <c r="V327" s="13">
        <f t="shared" si="8"/>
        <v>236409.45</v>
      </c>
      <c r="W327" s="14">
        <f>Q327/totals!B$2</f>
        <v>0.0007884104126</v>
      </c>
      <c r="X327" s="14">
        <f t="shared" si="9"/>
        <v>0.2356746512</v>
      </c>
      <c r="Y327" s="14">
        <f>T327/totals!B$5</f>
        <v>0.0001445414484</v>
      </c>
      <c r="Z327" s="14">
        <f t="shared" si="10"/>
        <v>0.2346064719</v>
      </c>
      <c r="AA327" s="14">
        <f>V327/totals!B$4</f>
        <v>0.0004713947406</v>
      </c>
      <c r="AB327" s="14">
        <f t="shared" si="11"/>
        <v>0.2398970304</v>
      </c>
    </row>
    <row r="328">
      <c r="A328" s="7">
        <v>4594.0</v>
      </c>
      <c r="B328" s="7" t="str">
        <f>VLOOKUP($A328,product_category,2, False)</f>
        <v>Fruits</v>
      </c>
      <c r="C328" s="7">
        <v>3.13705861E8</v>
      </c>
      <c r="D328" s="9">
        <v>42519.0</v>
      </c>
      <c r="E328" s="10">
        <f t="shared" si="1"/>
        <v>5</v>
      </c>
      <c r="F328" s="10" t="str">
        <f t="shared" si="2"/>
        <v>May</v>
      </c>
      <c r="G328" s="11">
        <f t="shared" si="3"/>
        <v>29</v>
      </c>
      <c r="H328" s="7">
        <f t="shared" si="4"/>
        <v>2016</v>
      </c>
      <c r="I328" s="9">
        <v>42561.0</v>
      </c>
      <c r="J328" s="11">
        <f t="shared" si="5"/>
        <v>42</v>
      </c>
      <c r="K328" s="7" t="s">
        <v>322</v>
      </c>
      <c r="L328" s="7" t="s">
        <v>323</v>
      </c>
      <c r="M328" s="7" t="str">
        <f>VLOOKUP(L328,countries, 2,false)</f>
        <v>Montenegro</v>
      </c>
      <c r="N328" s="7" t="str">
        <f>VLOOKUP(L328,countries, 4,false)</f>
        <v>Europe</v>
      </c>
      <c r="O328" s="7" t="str">
        <f>VLOOKUP(L328,countries, 5,false)</f>
        <v>Southern Europe</v>
      </c>
      <c r="P328" s="7" t="s">
        <v>212</v>
      </c>
      <c r="Q328" s="7">
        <v>1390.0</v>
      </c>
      <c r="R328" s="12">
        <v>9.33</v>
      </c>
      <c r="S328" s="12">
        <v>6.92</v>
      </c>
      <c r="T328" s="13">
        <f t="shared" si="6"/>
        <v>12968.7</v>
      </c>
      <c r="U328" s="13">
        <f t="shared" si="7"/>
        <v>2914577.92</v>
      </c>
      <c r="V328" s="13">
        <f t="shared" si="8"/>
        <v>-2901609.22</v>
      </c>
      <c r="W328" s="14">
        <f>Q328/totals!B$2</f>
        <v>0.0002113578541</v>
      </c>
      <c r="X328" s="14">
        <f t="shared" si="9"/>
        <v>0.2358860091</v>
      </c>
      <c r="Y328" s="14">
        <f>T328/totals!B$5</f>
        <v>0.000007619103423</v>
      </c>
      <c r="Z328" s="14">
        <f t="shared" si="10"/>
        <v>0.234614091</v>
      </c>
      <c r="AA328" s="14">
        <f>V328/totals!B$4</f>
        <v>-0.005785738792</v>
      </c>
      <c r="AB328" s="14">
        <f t="shared" si="11"/>
        <v>0.2341112916</v>
      </c>
    </row>
    <row r="329">
      <c r="A329" s="7">
        <v>8681.0</v>
      </c>
      <c r="B329" s="7" t="str">
        <f>VLOOKUP($A329,product_category,2, False)</f>
        <v>Office Supplies</v>
      </c>
      <c r="C329" s="7">
        <v>3.13821303E8</v>
      </c>
      <c r="D329" s="9">
        <v>40517.0</v>
      </c>
      <c r="E329" s="10">
        <f t="shared" si="1"/>
        <v>12</v>
      </c>
      <c r="F329" s="10" t="str">
        <f t="shared" si="2"/>
        <v>Dec</v>
      </c>
      <c r="G329" s="11">
        <f t="shared" si="3"/>
        <v>5</v>
      </c>
      <c r="H329" s="7">
        <f t="shared" si="4"/>
        <v>2010</v>
      </c>
      <c r="I329" s="9">
        <v>40560.0</v>
      </c>
      <c r="J329" s="11">
        <f t="shared" si="5"/>
        <v>43</v>
      </c>
      <c r="K329" s="7" t="s">
        <v>382</v>
      </c>
      <c r="L329" s="7" t="s">
        <v>364</v>
      </c>
      <c r="M329" s="7" t="str">
        <f>VLOOKUP(L329,countries, 2,false)</f>
        <v>Hungary</v>
      </c>
      <c r="N329" s="7" t="str">
        <f>VLOOKUP(L329,countries, 4,false)</f>
        <v>Europe</v>
      </c>
      <c r="O329" s="7" t="str">
        <f>VLOOKUP(L329,countries, 5,false)</f>
        <v>Eastern Europe</v>
      </c>
      <c r="P329" s="7" t="s">
        <v>129</v>
      </c>
      <c r="Q329" s="7">
        <v>5552.0</v>
      </c>
      <c r="R329" s="12">
        <v>651.21</v>
      </c>
      <c r="S329" s="12">
        <v>524.96</v>
      </c>
      <c r="T329" s="13">
        <f t="shared" si="6"/>
        <v>3615517.92</v>
      </c>
      <c r="U329" s="13">
        <f t="shared" si="7"/>
        <v>1577620.32</v>
      </c>
      <c r="V329" s="13">
        <f t="shared" si="8"/>
        <v>2037897.6</v>
      </c>
      <c r="W329" s="14">
        <f>Q329/totals!B$2</f>
        <v>0.0008442149683</v>
      </c>
      <c r="X329" s="14">
        <f t="shared" si="9"/>
        <v>0.2367302241</v>
      </c>
      <c r="Y329" s="14">
        <f>T329/totals!B$5</f>
        <v>0.002124114596</v>
      </c>
      <c r="Z329" s="14">
        <f t="shared" si="10"/>
        <v>0.2367382056</v>
      </c>
      <c r="AA329" s="14">
        <f>V329/totals!B$4</f>
        <v>0.004063518656</v>
      </c>
      <c r="AB329" s="14">
        <f t="shared" si="11"/>
        <v>0.2381748103</v>
      </c>
    </row>
    <row r="330">
      <c r="A330" s="7">
        <v>7331.0</v>
      </c>
      <c r="B330" s="7" t="str">
        <f>VLOOKUP($A330,product_category,2, False)</f>
        <v>Baby Food</v>
      </c>
      <c r="C330" s="7">
        <v>3.14782178E8</v>
      </c>
      <c r="D330" s="9">
        <v>41075.0</v>
      </c>
      <c r="E330" s="10">
        <f t="shared" si="1"/>
        <v>6</v>
      </c>
      <c r="F330" s="10" t="str">
        <f t="shared" si="2"/>
        <v>Jun</v>
      </c>
      <c r="G330" s="11">
        <f t="shared" si="3"/>
        <v>15</v>
      </c>
      <c r="H330" s="7">
        <f t="shared" si="4"/>
        <v>2012</v>
      </c>
      <c r="I330" s="9">
        <v>41102.0</v>
      </c>
      <c r="J330" s="11">
        <f t="shared" si="5"/>
        <v>27</v>
      </c>
      <c r="K330" s="7" t="s">
        <v>322</v>
      </c>
      <c r="L330" s="7" t="s">
        <v>392</v>
      </c>
      <c r="M330" s="7" t="str">
        <f>VLOOKUP(L330,countries, 2,false)</f>
        <v>Italy</v>
      </c>
      <c r="N330" s="7" t="str">
        <f>VLOOKUP(L330,countries, 4,false)</f>
        <v>Europe</v>
      </c>
      <c r="O330" s="7" t="str">
        <f>VLOOKUP(L330,countries, 5,false)</f>
        <v>Southern Europe</v>
      </c>
      <c r="P330" s="7" t="s">
        <v>212</v>
      </c>
      <c r="Q330" s="7">
        <v>9896.0</v>
      </c>
      <c r="R330" s="12">
        <v>255.28</v>
      </c>
      <c r="S330" s="12">
        <v>159.42</v>
      </c>
      <c r="T330" s="13">
        <f t="shared" si="6"/>
        <v>2526250.88</v>
      </c>
      <c r="U330" s="13">
        <f t="shared" si="7"/>
        <v>386641.92</v>
      </c>
      <c r="V330" s="13">
        <f t="shared" si="8"/>
        <v>2139608.96</v>
      </c>
      <c r="W330" s="14">
        <f>Q330/totals!B$2</f>
        <v>0.001504746276</v>
      </c>
      <c r="X330" s="14">
        <f t="shared" si="9"/>
        <v>0.2382349703</v>
      </c>
      <c r="Y330" s="14">
        <f>T330/totals!B$5</f>
        <v>0.001484170867</v>
      </c>
      <c r="Z330" s="14">
        <f t="shared" si="10"/>
        <v>0.2382223765</v>
      </c>
      <c r="AA330" s="14">
        <f>V330/totals!B$4</f>
        <v>0.004266328654</v>
      </c>
      <c r="AB330" s="14">
        <f t="shared" si="11"/>
        <v>0.2424411389</v>
      </c>
    </row>
    <row r="331">
      <c r="A331" s="7">
        <v>8969.0</v>
      </c>
      <c r="B331" s="7" t="str">
        <f>VLOOKUP($A331,product_category,2, False)</f>
        <v>Snacks</v>
      </c>
      <c r="C331" s="7">
        <v>3.15066277E8</v>
      </c>
      <c r="D331" s="9">
        <v>41557.0</v>
      </c>
      <c r="E331" s="10">
        <f t="shared" si="1"/>
        <v>10</v>
      </c>
      <c r="F331" s="10" t="str">
        <f t="shared" si="2"/>
        <v>Oct</v>
      </c>
      <c r="G331" s="11">
        <f t="shared" si="3"/>
        <v>10</v>
      </c>
      <c r="H331" s="7">
        <f t="shared" si="4"/>
        <v>2013</v>
      </c>
      <c r="I331" s="9">
        <v>41606.0</v>
      </c>
      <c r="J331" s="11">
        <f t="shared" si="5"/>
        <v>49</v>
      </c>
      <c r="K331" s="7" t="s">
        <v>322</v>
      </c>
      <c r="L331" s="7" t="s">
        <v>439</v>
      </c>
      <c r="M331" s="7" t="str">
        <f>VLOOKUP(L331,countries, 2,false)</f>
        <v>Slovakia</v>
      </c>
      <c r="N331" s="7" t="str">
        <f>VLOOKUP(L331,countries, 4,false)</f>
        <v>Europe</v>
      </c>
      <c r="O331" s="7" t="str">
        <f>VLOOKUP(L331,countries, 5,false)</f>
        <v>Eastern Europe</v>
      </c>
      <c r="P331" s="7" t="s">
        <v>212</v>
      </c>
      <c r="Q331" s="7">
        <v>3968.0</v>
      </c>
      <c r="R331" s="12">
        <v>152.58</v>
      </c>
      <c r="S331" s="12">
        <v>97.44</v>
      </c>
      <c r="T331" s="13">
        <f t="shared" si="6"/>
        <v>605437.44</v>
      </c>
      <c r="U331" s="13">
        <f t="shared" si="7"/>
        <v>1311867.18</v>
      </c>
      <c r="V331" s="13">
        <f t="shared" si="8"/>
        <v>-706429.74</v>
      </c>
      <c r="W331" s="14">
        <f>Q331/totals!B$2</f>
        <v>0.0006033582482</v>
      </c>
      <c r="X331" s="14">
        <f t="shared" si="9"/>
        <v>0.2388383286</v>
      </c>
      <c r="Y331" s="14">
        <f>T331/totals!B$5</f>
        <v>0.0003556941306</v>
      </c>
      <c r="Z331" s="14">
        <f t="shared" si="10"/>
        <v>0.2385780706</v>
      </c>
      <c r="AA331" s="14">
        <f>V331/totals!B$4</f>
        <v>-0.001408603861</v>
      </c>
      <c r="AB331" s="14">
        <f t="shared" si="11"/>
        <v>0.2410325351</v>
      </c>
    </row>
    <row r="332">
      <c r="A332" s="7">
        <v>7331.0</v>
      </c>
      <c r="B332" s="7" t="str">
        <f>VLOOKUP($A332,product_category,2, False)</f>
        <v>Baby Food</v>
      </c>
      <c r="C332" s="7">
        <v>3.16466176E8</v>
      </c>
      <c r="D332" s="9">
        <v>41781.0</v>
      </c>
      <c r="E332" s="10">
        <f t="shared" si="1"/>
        <v>5</v>
      </c>
      <c r="F332" s="10" t="str">
        <f t="shared" si="2"/>
        <v>May</v>
      </c>
      <c r="G332" s="11">
        <f t="shared" si="3"/>
        <v>22</v>
      </c>
      <c r="H332" s="7">
        <f t="shared" si="4"/>
        <v>2014</v>
      </c>
      <c r="I332" s="9">
        <v>41792.0</v>
      </c>
      <c r="J332" s="11">
        <f t="shared" si="5"/>
        <v>11</v>
      </c>
      <c r="K332" s="7" t="s">
        <v>382</v>
      </c>
      <c r="L332" s="7" t="s">
        <v>264</v>
      </c>
      <c r="M332" s="7" t="str">
        <f>VLOOKUP(L332,countries, 2,false)</f>
        <v>Estonia</v>
      </c>
      <c r="N332" s="7" t="str">
        <f>VLOOKUP(L332,countries, 4,false)</f>
        <v>Europe</v>
      </c>
      <c r="O332" s="7" t="str">
        <f>VLOOKUP(L332,countries, 5,false)</f>
        <v>Northern Europe</v>
      </c>
      <c r="P332" s="7" t="s">
        <v>212</v>
      </c>
      <c r="Q332" s="7">
        <v>8229.0</v>
      </c>
      <c r="R332" s="12">
        <v>255.28</v>
      </c>
      <c r="S332" s="12">
        <v>159.42</v>
      </c>
      <c r="T332" s="13">
        <f t="shared" si="6"/>
        <v>2100699.12</v>
      </c>
      <c r="U332" s="13">
        <f t="shared" si="7"/>
        <v>254002.1</v>
      </c>
      <c r="V332" s="13">
        <f t="shared" si="8"/>
        <v>1846697.02</v>
      </c>
      <c r="W332" s="14">
        <f>Q332/totals!B$2</f>
        <v>0.001251268907</v>
      </c>
      <c r="X332" s="14">
        <f t="shared" si="9"/>
        <v>0.2400895975</v>
      </c>
      <c r="Y332" s="14">
        <f>T332/totals!B$5</f>
        <v>0.001234159465</v>
      </c>
      <c r="Z332" s="14">
        <f t="shared" si="10"/>
        <v>0.23981223</v>
      </c>
      <c r="AA332" s="14">
        <f>V332/totals!B$4</f>
        <v>0.003682269312</v>
      </c>
      <c r="AB332" s="14">
        <f t="shared" si="11"/>
        <v>0.2447148044</v>
      </c>
    </row>
    <row r="333">
      <c r="A333" s="7">
        <v>1270.0</v>
      </c>
      <c r="B333" s="7" t="str">
        <f>VLOOKUP($A333,product_category,2, False)</f>
        <v>Beverages</v>
      </c>
      <c r="C333" s="7">
        <v>3.17006051E8</v>
      </c>
      <c r="D333" s="9">
        <v>42855.0</v>
      </c>
      <c r="E333" s="10">
        <f t="shared" si="1"/>
        <v>4</v>
      </c>
      <c r="F333" s="10" t="str">
        <f t="shared" si="2"/>
        <v>Apr</v>
      </c>
      <c r="G333" s="11">
        <f t="shared" si="3"/>
        <v>30</v>
      </c>
      <c r="H333" s="7">
        <f t="shared" si="4"/>
        <v>2017</v>
      </c>
      <c r="I333" s="9">
        <v>42891.0</v>
      </c>
      <c r="J333" s="11">
        <f t="shared" si="5"/>
        <v>36</v>
      </c>
      <c r="K333" s="7" t="s">
        <v>382</v>
      </c>
      <c r="L333" s="7" t="s">
        <v>316</v>
      </c>
      <c r="M333" s="7" t="str">
        <f>VLOOKUP(L333,countries, 2,false)</f>
        <v>Greece</v>
      </c>
      <c r="N333" s="7" t="str">
        <f>VLOOKUP(L333,countries, 4,false)</f>
        <v>Europe</v>
      </c>
      <c r="O333" s="7" t="str">
        <f>VLOOKUP(L333,countries, 5,false)</f>
        <v>Southern Europe</v>
      </c>
      <c r="P333" s="7" t="s">
        <v>212</v>
      </c>
      <c r="Q333" s="7">
        <v>7990.0</v>
      </c>
      <c r="R333" s="12">
        <v>47.45</v>
      </c>
      <c r="S333" s="12">
        <v>31.79</v>
      </c>
      <c r="T333" s="13">
        <f t="shared" si="6"/>
        <v>379125.5</v>
      </c>
      <c r="U333" s="13">
        <f t="shared" si="7"/>
        <v>825391.28</v>
      </c>
      <c r="V333" s="13">
        <f t="shared" si="8"/>
        <v>-446265.78</v>
      </c>
      <c r="W333" s="14">
        <f>Q333/totals!B$2</f>
        <v>0.001214927521</v>
      </c>
      <c r="X333" s="14">
        <f t="shared" si="9"/>
        <v>0.241304525</v>
      </c>
      <c r="Y333" s="14">
        <f>T333/totals!B$5</f>
        <v>0.0002227360024</v>
      </c>
      <c r="Z333" s="14">
        <f t="shared" si="10"/>
        <v>0.240034966</v>
      </c>
      <c r="AA333" s="14">
        <f>V333/totals!B$4</f>
        <v>-0.0008898432004</v>
      </c>
      <c r="AB333" s="14">
        <f t="shared" si="11"/>
        <v>0.2438249612</v>
      </c>
    </row>
    <row r="334">
      <c r="A334" s="7">
        <v>2103.0</v>
      </c>
      <c r="B334" s="7" t="str">
        <f>VLOOKUP($A334,product_category,2, False)</f>
        <v>Cereal</v>
      </c>
      <c r="C334" s="7">
        <v>3.18523538E8</v>
      </c>
      <c r="D334" s="9">
        <v>42284.0</v>
      </c>
      <c r="E334" s="10">
        <f t="shared" si="1"/>
        <v>10</v>
      </c>
      <c r="F334" s="10" t="str">
        <f t="shared" si="2"/>
        <v>Oct</v>
      </c>
      <c r="G334" s="11">
        <f t="shared" si="3"/>
        <v>7</v>
      </c>
      <c r="H334" s="7">
        <f t="shared" si="4"/>
        <v>2015</v>
      </c>
      <c r="I334" s="9">
        <v>42313.0</v>
      </c>
      <c r="J334" s="11">
        <f t="shared" si="5"/>
        <v>29</v>
      </c>
      <c r="K334" s="7" t="s">
        <v>110</v>
      </c>
      <c r="L334" s="7" t="s">
        <v>264</v>
      </c>
      <c r="M334" s="7" t="str">
        <f>VLOOKUP(L334,countries, 2,false)</f>
        <v>Estonia</v>
      </c>
      <c r="N334" s="7" t="str">
        <f>VLOOKUP(L334,countries, 4,false)</f>
        <v>Europe</v>
      </c>
      <c r="O334" s="7" t="str">
        <f>VLOOKUP(L334,countries, 5,false)</f>
        <v>Northern Europe</v>
      </c>
      <c r="P334" s="7" t="s">
        <v>129</v>
      </c>
      <c r="Q334" s="7">
        <v>7048.0</v>
      </c>
      <c r="R334" s="12">
        <v>205.7</v>
      </c>
      <c r="S334" s="12">
        <v>117.11</v>
      </c>
      <c r="T334" s="13">
        <f t="shared" si="6"/>
        <v>1449773.6</v>
      </c>
      <c r="U334" s="13">
        <f t="shared" si="7"/>
        <v>49115.55</v>
      </c>
      <c r="V334" s="13">
        <f t="shared" si="8"/>
        <v>1400658.05</v>
      </c>
      <c r="W334" s="14">
        <f>Q334/totals!B$2</f>
        <v>0.001071690759</v>
      </c>
      <c r="X334" s="14">
        <f t="shared" si="9"/>
        <v>0.2423762158</v>
      </c>
      <c r="Y334" s="14">
        <f>T334/totals!B$5</f>
        <v>0.000851741115</v>
      </c>
      <c r="Z334" s="14">
        <f t="shared" si="10"/>
        <v>0.2408867072</v>
      </c>
      <c r="AA334" s="14">
        <f>V334/totals!B$4</f>
        <v>0.002792878365</v>
      </c>
      <c r="AB334" s="14">
        <f t="shared" si="11"/>
        <v>0.2466178396</v>
      </c>
    </row>
    <row r="335">
      <c r="A335" s="7">
        <v>1270.0</v>
      </c>
      <c r="B335" s="7" t="str">
        <f>VLOOKUP($A335,product_category,2, False)</f>
        <v>Beverages</v>
      </c>
      <c r="C335" s="7">
        <v>3.20431125E8</v>
      </c>
      <c r="D335" s="9">
        <v>42074.0</v>
      </c>
      <c r="E335" s="10">
        <f t="shared" si="1"/>
        <v>3</v>
      </c>
      <c r="F335" s="10" t="str">
        <f t="shared" si="2"/>
        <v>Mar</v>
      </c>
      <c r="G335" s="11">
        <f t="shared" si="3"/>
        <v>11</v>
      </c>
      <c r="H335" s="7">
        <f t="shared" si="4"/>
        <v>2015</v>
      </c>
      <c r="I335" s="9">
        <v>42111.0</v>
      </c>
      <c r="J335" s="11">
        <f t="shared" si="5"/>
        <v>37</v>
      </c>
      <c r="K335" s="7" t="s">
        <v>382</v>
      </c>
      <c r="L335" s="7" t="s">
        <v>56</v>
      </c>
      <c r="M335" s="7" t="str">
        <f>VLOOKUP(L335,countries, 2,false)</f>
        <v>Andorra</v>
      </c>
      <c r="N335" s="7" t="str">
        <f>VLOOKUP(L335,countries, 4,false)</f>
        <v>Europe</v>
      </c>
      <c r="O335" s="7" t="str">
        <f>VLOOKUP(L335,countries, 5,false)</f>
        <v>Southern Europe</v>
      </c>
      <c r="P335" s="7" t="s">
        <v>129</v>
      </c>
      <c r="Q335" s="7">
        <v>1545.0</v>
      </c>
      <c r="R335" s="12">
        <v>47.45</v>
      </c>
      <c r="S335" s="12">
        <v>31.79</v>
      </c>
      <c r="T335" s="13">
        <f t="shared" si="6"/>
        <v>73310.25</v>
      </c>
      <c r="U335" s="13">
        <f t="shared" si="7"/>
        <v>2946894.56</v>
      </c>
      <c r="V335" s="13">
        <f t="shared" si="8"/>
        <v>-2873584.31</v>
      </c>
      <c r="W335" s="14">
        <f>Q335/totals!B$2</f>
        <v>0.0002349265357</v>
      </c>
      <c r="X335" s="14">
        <f t="shared" si="9"/>
        <v>0.2426111423</v>
      </c>
      <c r="Y335" s="14">
        <f>T335/totals!B$5</f>
        <v>0.00004306972763</v>
      </c>
      <c r="Z335" s="14">
        <f t="shared" si="10"/>
        <v>0.2409297769</v>
      </c>
      <c r="AA335" s="14">
        <f>V335/totals!B$4</f>
        <v>-0.005729857797</v>
      </c>
      <c r="AB335" s="14">
        <f t="shared" si="11"/>
        <v>0.2408879818</v>
      </c>
    </row>
    <row r="336">
      <c r="A336" s="7">
        <v>7940.0</v>
      </c>
      <c r="B336" s="7" t="str">
        <f>VLOOKUP($A336,product_category,2, False)</f>
        <v>Household</v>
      </c>
      <c r="C336" s="7">
        <v>3.21628463E8</v>
      </c>
      <c r="D336" s="9">
        <v>40660.0</v>
      </c>
      <c r="E336" s="10">
        <f t="shared" si="1"/>
        <v>4</v>
      </c>
      <c r="F336" s="10" t="str">
        <f t="shared" si="2"/>
        <v>Apr</v>
      </c>
      <c r="G336" s="11">
        <f t="shared" si="3"/>
        <v>27</v>
      </c>
      <c r="H336" s="7">
        <f t="shared" si="4"/>
        <v>2011</v>
      </c>
      <c r="I336" s="9">
        <v>40677.0</v>
      </c>
      <c r="J336" s="11">
        <f t="shared" si="5"/>
        <v>17</v>
      </c>
      <c r="K336" s="7" t="s">
        <v>322</v>
      </c>
      <c r="L336" s="7" t="s">
        <v>594</v>
      </c>
      <c r="M336" s="7" t="str">
        <f>VLOOKUP(L336,countries, 2,false)</f>
        <v>Poland</v>
      </c>
      <c r="N336" s="7" t="str">
        <f>VLOOKUP(L336,countries, 4,false)</f>
        <v>Europe</v>
      </c>
      <c r="O336" s="7" t="str">
        <f>VLOOKUP(L336,countries, 5,false)</f>
        <v>Eastern Europe</v>
      </c>
      <c r="P336" s="7" t="s">
        <v>129</v>
      </c>
      <c r="Q336" s="7">
        <v>5864.0</v>
      </c>
      <c r="R336" s="12">
        <v>668.27</v>
      </c>
      <c r="S336" s="12">
        <v>502.54</v>
      </c>
      <c r="T336" s="13">
        <f t="shared" si="6"/>
        <v>3918735.28</v>
      </c>
      <c r="U336" s="13">
        <f t="shared" si="7"/>
        <v>105984.55</v>
      </c>
      <c r="V336" s="13">
        <f t="shared" si="8"/>
        <v>3812750.73</v>
      </c>
      <c r="W336" s="14">
        <f>Q336/totals!B$2</f>
        <v>0.0008916564434</v>
      </c>
      <c r="X336" s="14">
        <f t="shared" si="9"/>
        <v>0.2435027987</v>
      </c>
      <c r="Y336" s="14">
        <f>T336/totals!B$5</f>
        <v>0.002302254612</v>
      </c>
      <c r="Z336" s="14">
        <f t="shared" si="10"/>
        <v>0.2432320315</v>
      </c>
      <c r="AA336" s="14">
        <f>V336/totals!B$4</f>
        <v>0.007602532984</v>
      </c>
      <c r="AB336" s="14">
        <f t="shared" si="11"/>
        <v>0.2484905147</v>
      </c>
    </row>
    <row r="337">
      <c r="A337" s="7">
        <v>2103.0</v>
      </c>
      <c r="B337" s="7" t="str">
        <f>VLOOKUP($A337,product_category,2, False)</f>
        <v>Cereal</v>
      </c>
      <c r="C337" s="7">
        <v>3.22524106E8</v>
      </c>
      <c r="D337" s="9">
        <v>42144.0</v>
      </c>
      <c r="E337" s="10">
        <f t="shared" si="1"/>
        <v>5</v>
      </c>
      <c r="F337" s="10" t="str">
        <f t="shared" si="2"/>
        <v>May</v>
      </c>
      <c r="G337" s="11">
        <f t="shared" si="3"/>
        <v>20</v>
      </c>
      <c r="H337" s="7">
        <f t="shared" si="4"/>
        <v>2015</v>
      </c>
      <c r="I337" s="9">
        <v>42144.0</v>
      </c>
      <c r="J337" s="11">
        <f t="shared" si="5"/>
        <v>0</v>
      </c>
      <c r="K337" s="7" t="s">
        <v>198</v>
      </c>
      <c r="L337" s="7" t="s">
        <v>234</v>
      </c>
      <c r="M337" s="7" t="str">
        <f>VLOOKUP(L337,countries, 2,false)</f>
        <v>Czech Republic</v>
      </c>
      <c r="N337" s="7" t="str">
        <f>VLOOKUP(L337,countries, 4,false)</f>
        <v>Europe</v>
      </c>
      <c r="O337" s="7" t="str">
        <f>VLOOKUP(L337,countries, 5,false)</f>
        <v>Eastern Europe</v>
      </c>
      <c r="P337" s="7" t="s">
        <v>212</v>
      </c>
      <c r="Q337" s="7">
        <v>905.0</v>
      </c>
      <c r="R337" s="12">
        <v>205.7</v>
      </c>
      <c r="S337" s="12">
        <v>117.11</v>
      </c>
      <c r="T337" s="13">
        <f t="shared" si="6"/>
        <v>186158.5</v>
      </c>
      <c r="U337" s="13">
        <f t="shared" si="7"/>
        <v>1008199.99</v>
      </c>
      <c r="V337" s="13">
        <f t="shared" si="8"/>
        <v>-822041.49</v>
      </c>
      <c r="W337" s="14">
        <f>Q337/totals!B$2</f>
        <v>0.0001376106892</v>
      </c>
      <c r="X337" s="14">
        <f t="shared" si="9"/>
        <v>0.2436404094</v>
      </c>
      <c r="Y337" s="14">
        <f>T337/totals!B$5</f>
        <v>0.0001093680064</v>
      </c>
      <c r="Z337" s="14">
        <f t="shared" si="10"/>
        <v>0.2433413995</v>
      </c>
      <c r="AA337" s="14">
        <f>V337/totals!B$4</f>
        <v>-0.001639130902</v>
      </c>
      <c r="AB337" s="14">
        <f t="shared" si="11"/>
        <v>0.2468513838</v>
      </c>
    </row>
    <row r="338">
      <c r="A338" s="7">
        <v>2103.0</v>
      </c>
      <c r="B338" s="7" t="str">
        <f>VLOOKUP($A338,product_category,2, False)</f>
        <v>Cereal</v>
      </c>
      <c r="C338" s="7">
        <v>3.23293578E8</v>
      </c>
      <c r="D338" s="9">
        <v>42362.0</v>
      </c>
      <c r="E338" s="10">
        <f t="shared" si="1"/>
        <v>12</v>
      </c>
      <c r="F338" s="10" t="str">
        <f t="shared" si="2"/>
        <v>Dec</v>
      </c>
      <c r="G338" s="11">
        <f t="shared" si="3"/>
        <v>24</v>
      </c>
      <c r="H338" s="7">
        <f t="shared" si="4"/>
        <v>2015</v>
      </c>
      <c r="I338" s="9">
        <v>42402.0</v>
      </c>
      <c r="J338" s="11">
        <f t="shared" si="5"/>
        <v>40</v>
      </c>
      <c r="K338" s="7" t="s">
        <v>382</v>
      </c>
      <c r="L338" s="7" t="s">
        <v>88</v>
      </c>
      <c r="M338" s="7" t="str">
        <f>VLOOKUP(L338,countries, 2,false)</f>
        <v>Austria</v>
      </c>
      <c r="N338" s="7" t="str">
        <f>VLOOKUP(L338,countries, 4,false)</f>
        <v>Europe</v>
      </c>
      <c r="O338" s="7" t="str">
        <f>VLOOKUP(L338,countries, 5,false)</f>
        <v>Western Europe</v>
      </c>
      <c r="P338" s="7" t="s">
        <v>129</v>
      </c>
      <c r="Q338" s="7">
        <v>8609.0</v>
      </c>
      <c r="R338" s="12">
        <v>205.7</v>
      </c>
      <c r="S338" s="12">
        <v>117.11</v>
      </c>
      <c r="T338" s="13">
        <f t="shared" si="6"/>
        <v>1770871.3</v>
      </c>
      <c r="U338" s="13">
        <f t="shared" si="7"/>
        <v>233175.04</v>
      </c>
      <c r="V338" s="13">
        <f t="shared" si="8"/>
        <v>1537696.26</v>
      </c>
      <c r="W338" s="14">
        <f>Q338/totals!B$2</f>
        <v>0.001309050191</v>
      </c>
      <c r="X338" s="14">
        <f t="shared" si="9"/>
        <v>0.2449494596</v>
      </c>
      <c r="Y338" s="14">
        <f>T338/totals!B$5</f>
        <v>0.00104038582</v>
      </c>
      <c r="Z338" s="14">
        <f t="shared" si="10"/>
        <v>0.2443817853</v>
      </c>
      <c r="AA338" s="14">
        <f>V338/totals!B$4</f>
        <v>0.00306612925</v>
      </c>
      <c r="AB338" s="14">
        <f t="shared" si="11"/>
        <v>0.2499175131</v>
      </c>
    </row>
    <row r="339">
      <c r="A339" s="7">
        <v>2455.0</v>
      </c>
      <c r="B339" s="7" t="str">
        <f>VLOOKUP($A339,product_category,2, False)</f>
        <v>Clothes</v>
      </c>
      <c r="C339" s="7">
        <v>3.25314033E8</v>
      </c>
      <c r="D339" s="9">
        <v>40914.0</v>
      </c>
      <c r="E339" s="10">
        <f t="shared" si="1"/>
        <v>1</v>
      </c>
      <c r="F339" s="10" t="str">
        <f t="shared" si="2"/>
        <v>Jan</v>
      </c>
      <c r="G339" s="11">
        <f t="shared" si="3"/>
        <v>6</v>
      </c>
      <c r="H339" s="7">
        <f t="shared" si="4"/>
        <v>2012</v>
      </c>
      <c r="I339" s="9">
        <v>40938.0</v>
      </c>
      <c r="J339" s="11">
        <f t="shared" si="5"/>
        <v>24</v>
      </c>
      <c r="K339" s="7" t="s">
        <v>382</v>
      </c>
      <c r="L339" s="7" t="s">
        <v>231</v>
      </c>
      <c r="M339" s="7" t="str">
        <f>VLOOKUP(L339,countries, 2,false)</f>
        <v>Cyprus</v>
      </c>
      <c r="N339" s="7" t="str">
        <f>VLOOKUP(L339,countries, 4,false)</f>
        <v>Asia</v>
      </c>
      <c r="O339" s="7" t="str">
        <f>VLOOKUP(L339,countries, 5,false)</f>
        <v>Western Asia</v>
      </c>
      <c r="P339" s="7" t="s">
        <v>129</v>
      </c>
      <c r="Q339" s="7">
        <v>6506.0</v>
      </c>
      <c r="R339" s="12">
        <v>109.28</v>
      </c>
      <c r="S339" s="12">
        <v>35.84</v>
      </c>
      <c r="T339" s="13">
        <f t="shared" si="6"/>
        <v>710975.68</v>
      </c>
      <c r="U339" s="13">
        <f t="shared" si="7"/>
        <v>1826456.88</v>
      </c>
      <c r="V339" s="13">
        <f t="shared" si="8"/>
        <v>-1115481.2</v>
      </c>
      <c r="W339" s="14">
        <f>Q339/totals!B$2</f>
        <v>0.0009892764019</v>
      </c>
      <c r="X339" s="14">
        <f t="shared" si="9"/>
        <v>0.245938736</v>
      </c>
      <c r="Y339" s="14">
        <f>T339/totals!B$5</f>
        <v>0.0004176977829</v>
      </c>
      <c r="Z339" s="14">
        <f t="shared" si="10"/>
        <v>0.2447994831</v>
      </c>
      <c r="AA339" s="14">
        <f>V339/totals!B$4</f>
        <v>-0.002224242605</v>
      </c>
      <c r="AB339" s="14">
        <f t="shared" si="11"/>
        <v>0.2476932705</v>
      </c>
    </row>
    <row r="340">
      <c r="A340" s="7">
        <v>8293.0</v>
      </c>
      <c r="B340" s="7" t="str">
        <f>VLOOKUP($A340,product_category,2, False)</f>
        <v>Cosmetics</v>
      </c>
      <c r="C340" s="7">
        <v>3.27072703E8</v>
      </c>
      <c r="D340" s="9">
        <v>41579.0</v>
      </c>
      <c r="E340" s="10">
        <f t="shared" si="1"/>
        <v>11</v>
      </c>
      <c r="F340" s="10" t="str">
        <f t="shared" si="2"/>
        <v>Nov</v>
      </c>
      <c r="G340" s="11">
        <f t="shared" si="3"/>
        <v>1</v>
      </c>
      <c r="H340" s="7">
        <f t="shared" si="4"/>
        <v>2013</v>
      </c>
      <c r="I340" s="9">
        <v>41594.0</v>
      </c>
      <c r="J340" s="11">
        <f t="shared" si="5"/>
        <v>15</v>
      </c>
      <c r="K340" s="7" t="s">
        <v>198</v>
      </c>
      <c r="L340" s="7" t="s">
        <v>439</v>
      </c>
      <c r="M340" s="7" t="str">
        <f>VLOOKUP(L340,countries, 2,false)</f>
        <v>Slovakia</v>
      </c>
      <c r="N340" s="7" t="str">
        <f>VLOOKUP(L340,countries, 4,false)</f>
        <v>Europe</v>
      </c>
      <c r="O340" s="7" t="str">
        <f>VLOOKUP(L340,countries, 5,false)</f>
        <v>Eastern Europe</v>
      </c>
      <c r="P340" s="7" t="s">
        <v>129</v>
      </c>
      <c r="Q340" s="7">
        <v>6936.0</v>
      </c>
      <c r="R340" s="12">
        <v>437.2</v>
      </c>
      <c r="S340" s="12">
        <v>263.33</v>
      </c>
      <c r="T340" s="13">
        <f t="shared" si="6"/>
        <v>3032419.2</v>
      </c>
      <c r="U340" s="13">
        <f t="shared" si="7"/>
        <v>136188.36</v>
      </c>
      <c r="V340" s="13">
        <f t="shared" si="8"/>
        <v>2896230.84</v>
      </c>
      <c r="W340" s="14">
        <f>Q340/totals!B$2</f>
        <v>0.001054660486</v>
      </c>
      <c r="X340" s="14">
        <f t="shared" si="9"/>
        <v>0.2469933965</v>
      </c>
      <c r="Y340" s="14">
        <f>T340/totals!B$5</f>
        <v>0.00178154445</v>
      </c>
      <c r="Z340" s="14">
        <f t="shared" si="10"/>
        <v>0.2465810276</v>
      </c>
      <c r="AA340" s="14">
        <f>V340/totals!B$4</f>
        <v>0.005775014432</v>
      </c>
      <c r="AB340" s="14">
        <f t="shared" si="11"/>
        <v>0.2534682849</v>
      </c>
    </row>
    <row r="341">
      <c r="A341" s="7">
        <v>1270.0</v>
      </c>
      <c r="B341" s="7" t="str">
        <f>VLOOKUP($A341,product_category,2, False)</f>
        <v>Beverages</v>
      </c>
      <c r="C341" s="7">
        <v>3.27604424E8</v>
      </c>
      <c r="D341" s="9">
        <v>41385.0</v>
      </c>
      <c r="E341" s="10">
        <f t="shared" si="1"/>
        <v>4</v>
      </c>
      <c r="F341" s="10" t="str">
        <f t="shared" si="2"/>
        <v>Apr</v>
      </c>
      <c r="G341" s="11">
        <f t="shared" si="3"/>
        <v>21</v>
      </c>
      <c r="H341" s="7">
        <f t="shared" si="4"/>
        <v>2013</v>
      </c>
      <c r="I341" s="9">
        <v>41407.0</v>
      </c>
      <c r="J341" s="11">
        <f t="shared" si="5"/>
        <v>22</v>
      </c>
      <c r="K341" s="7" t="s">
        <v>322</v>
      </c>
      <c r="L341" s="7" t="s">
        <v>364</v>
      </c>
      <c r="M341" s="7" t="str">
        <f>VLOOKUP(L341,countries, 2,false)</f>
        <v>Hungary</v>
      </c>
      <c r="N341" s="7" t="str">
        <f>VLOOKUP(L341,countries, 4,false)</f>
        <v>Europe</v>
      </c>
      <c r="O341" s="7" t="str">
        <f>VLOOKUP(L341,countries, 5,false)</f>
        <v>Eastern Europe</v>
      </c>
      <c r="P341" s="7" t="s">
        <v>129</v>
      </c>
      <c r="Q341" s="7">
        <v>4284.0</v>
      </c>
      <c r="R341" s="12">
        <v>47.45</v>
      </c>
      <c r="S341" s="12">
        <v>31.79</v>
      </c>
      <c r="T341" s="13">
        <f t="shared" si="6"/>
        <v>203275.8</v>
      </c>
      <c r="U341" s="13">
        <f t="shared" si="7"/>
        <v>1810657.08</v>
      </c>
      <c r="V341" s="13">
        <f t="shared" si="8"/>
        <v>-1607381.28</v>
      </c>
      <c r="W341" s="14">
        <f>Q341/totals!B$2</f>
        <v>0.0006514079474</v>
      </c>
      <c r="X341" s="14">
        <f t="shared" si="9"/>
        <v>0.2476448045</v>
      </c>
      <c r="Y341" s="14">
        <f>T341/totals!B$5</f>
        <v>0.0001194244098</v>
      </c>
      <c r="Z341" s="14">
        <f t="shared" si="10"/>
        <v>0.246700452</v>
      </c>
      <c r="AA341" s="14">
        <f>V341/totals!B$4</f>
        <v>-0.003205079499</v>
      </c>
      <c r="AB341" s="14">
        <f t="shared" si="11"/>
        <v>0.2502632054</v>
      </c>
    </row>
    <row r="342">
      <c r="A342" s="7">
        <v>8293.0</v>
      </c>
      <c r="B342" s="7" t="str">
        <f>VLOOKUP($A342,product_category,2, False)</f>
        <v>Cosmetics</v>
      </c>
      <c r="C342" s="7">
        <v>3.28322827E8</v>
      </c>
      <c r="D342" s="9">
        <v>41090.0</v>
      </c>
      <c r="E342" s="10">
        <f t="shared" si="1"/>
        <v>6</v>
      </c>
      <c r="F342" s="10" t="str">
        <f t="shared" si="2"/>
        <v>Jun</v>
      </c>
      <c r="G342" s="11">
        <f t="shared" si="3"/>
        <v>30</v>
      </c>
      <c r="H342" s="7">
        <f t="shared" si="4"/>
        <v>2012</v>
      </c>
      <c r="I342" s="9">
        <v>41109.0</v>
      </c>
      <c r="J342" s="11">
        <f t="shared" si="5"/>
        <v>19</v>
      </c>
      <c r="K342" s="7" t="s">
        <v>198</v>
      </c>
      <c r="L342" s="7" t="s">
        <v>56</v>
      </c>
      <c r="M342" s="7" t="str">
        <f>VLOOKUP(L342,countries, 2,false)</f>
        <v>Andorra</v>
      </c>
      <c r="N342" s="7" t="str">
        <f>VLOOKUP(L342,countries, 4,false)</f>
        <v>Europe</v>
      </c>
      <c r="O342" s="7" t="str">
        <f>VLOOKUP(L342,countries, 5,false)</f>
        <v>Southern Europe</v>
      </c>
      <c r="P342" s="7" t="s">
        <v>129</v>
      </c>
      <c r="Q342" s="7">
        <v>6876.0</v>
      </c>
      <c r="R342" s="12">
        <v>437.2</v>
      </c>
      <c r="S342" s="12">
        <v>263.33</v>
      </c>
      <c r="T342" s="13">
        <f t="shared" si="6"/>
        <v>3006187.2</v>
      </c>
      <c r="U342" s="13">
        <f t="shared" si="7"/>
        <v>753737.76</v>
      </c>
      <c r="V342" s="13">
        <f t="shared" si="8"/>
        <v>2252449.44</v>
      </c>
      <c r="W342" s="14">
        <f>Q342/totals!B$2</f>
        <v>0.001045537126</v>
      </c>
      <c r="X342" s="14">
        <f t="shared" si="9"/>
        <v>0.2486903416</v>
      </c>
      <c r="Y342" s="14">
        <f>T342/totals!B$5</f>
        <v>0.001766133166</v>
      </c>
      <c r="Z342" s="14">
        <f t="shared" si="10"/>
        <v>0.2484665851</v>
      </c>
      <c r="AA342" s="14">
        <f>V342/totals!B$4</f>
        <v>0.004491329849</v>
      </c>
      <c r="AB342" s="14">
        <f t="shared" si="11"/>
        <v>0.2547545353</v>
      </c>
    </row>
    <row r="343">
      <c r="A343" s="7">
        <v>7331.0</v>
      </c>
      <c r="B343" s="7" t="str">
        <f>VLOOKUP($A343,product_category,2, False)</f>
        <v>Baby Food</v>
      </c>
      <c r="C343" s="7">
        <v>3.28721082E8</v>
      </c>
      <c r="D343" s="9">
        <v>42718.0</v>
      </c>
      <c r="E343" s="10">
        <f t="shared" si="1"/>
        <v>12</v>
      </c>
      <c r="F343" s="10" t="str">
        <f t="shared" si="2"/>
        <v>Dec</v>
      </c>
      <c r="G343" s="11">
        <f t="shared" si="3"/>
        <v>14</v>
      </c>
      <c r="H343" s="7">
        <f t="shared" si="4"/>
        <v>2016</v>
      </c>
      <c r="I343" s="9">
        <v>42722.0</v>
      </c>
      <c r="J343" s="11">
        <f t="shared" si="5"/>
        <v>4</v>
      </c>
      <c r="K343" s="7" t="s">
        <v>322</v>
      </c>
      <c r="L343" s="7" t="e">
        <v>#N/A</v>
      </c>
      <c r="M343" s="7"/>
      <c r="N343" s="7"/>
      <c r="O343" s="7"/>
      <c r="P343" s="7" t="s">
        <v>129</v>
      </c>
      <c r="Q343" s="7">
        <v>4728.0</v>
      </c>
      <c r="R343" s="12">
        <v>255.28</v>
      </c>
      <c r="S343" s="12">
        <v>159.42</v>
      </c>
      <c r="T343" s="13">
        <f t="shared" si="6"/>
        <v>1206963.84</v>
      </c>
      <c r="U343" s="13">
        <f t="shared" si="7"/>
        <v>1050160.04</v>
      </c>
      <c r="V343" s="13">
        <f t="shared" si="8"/>
        <v>156803.8</v>
      </c>
      <c r="W343" s="14">
        <f>Q343/totals!B$2</f>
        <v>0.0007189208159</v>
      </c>
      <c r="X343" s="14">
        <f t="shared" si="9"/>
        <v>0.2494092624</v>
      </c>
      <c r="Y343" s="14">
        <f>T343/totals!B$5</f>
        <v>0.0007090905275</v>
      </c>
      <c r="Z343" s="14">
        <f t="shared" si="10"/>
        <v>0.2491756757</v>
      </c>
      <c r="AA343" s="14">
        <f>V343/totals!B$4</f>
        <v>0.0003126629948</v>
      </c>
      <c r="AB343" s="14">
        <f t="shared" si="11"/>
        <v>0.2550671983</v>
      </c>
    </row>
    <row r="344">
      <c r="A344" s="7">
        <v>8293.0</v>
      </c>
      <c r="B344" s="7" t="str">
        <f>VLOOKUP($A344,product_category,2, False)</f>
        <v>Cosmetics</v>
      </c>
      <c r="C344" s="7">
        <v>3.29529607E8</v>
      </c>
      <c r="D344" s="9">
        <v>40561.0</v>
      </c>
      <c r="E344" s="10">
        <f t="shared" si="1"/>
        <v>1</v>
      </c>
      <c r="F344" s="10" t="str">
        <f t="shared" si="2"/>
        <v>Jan</v>
      </c>
      <c r="G344" s="11">
        <f t="shared" si="3"/>
        <v>18</v>
      </c>
      <c r="H344" s="7">
        <f t="shared" si="4"/>
        <v>2011</v>
      </c>
      <c r="I344" s="9">
        <v>40566.0</v>
      </c>
      <c r="J344" s="11">
        <f t="shared" si="5"/>
        <v>5</v>
      </c>
      <c r="K344" s="7" t="s">
        <v>322</v>
      </c>
      <c r="L344" s="7" t="s">
        <v>756</v>
      </c>
      <c r="M344" s="7" t="str">
        <f>VLOOKUP(L344,countries, 2,false)</f>
        <v>Ukraine</v>
      </c>
      <c r="N344" s="7" t="str">
        <f>VLOOKUP(L344,countries, 4,false)</f>
        <v>Europe</v>
      </c>
      <c r="O344" s="7" t="str">
        <f>VLOOKUP(L344,countries, 5,false)</f>
        <v>Eastern Europe</v>
      </c>
      <c r="P344" s="7" t="s">
        <v>129</v>
      </c>
      <c r="Q344" s="7">
        <v>3988.0</v>
      </c>
      <c r="R344" s="12">
        <v>437.2</v>
      </c>
      <c r="S344" s="12">
        <v>263.33</v>
      </c>
      <c r="T344" s="13">
        <f t="shared" si="6"/>
        <v>1743553.6</v>
      </c>
      <c r="U344" s="13">
        <f t="shared" si="7"/>
        <v>4159258.08</v>
      </c>
      <c r="V344" s="13">
        <f t="shared" si="8"/>
        <v>-2415704.48</v>
      </c>
      <c r="W344" s="14">
        <f>Q344/totals!B$2</f>
        <v>0.0006063993684</v>
      </c>
      <c r="X344" s="14">
        <f t="shared" si="9"/>
        <v>0.2500156618</v>
      </c>
      <c r="Y344" s="14">
        <f>T344/totals!B$5</f>
        <v>0.001024336688</v>
      </c>
      <c r="Z344" s="14">
        <f t="shared" si="10"/>
        <v>0.2502000124</v>
      </c>
      <c r="AA344" s="14">
        <f>V344/totals!B$4</f>
        <v>-0.004816856461</v>
      </c>
      <c r="AB344" s="14">
        <f t="shared" si="11"/>
        <v>0.2502503418</v>
      </c>
    </row>
    <row r="345">
      <c r="A345" s="7">
        <v>8681.0</v>
      </c>
      <c r="B345" s="7" t="str">
        <f>VLOOKUP($A345,product_category,2, False)</f>
        <v>Office Supplies</v>
      </c>
      <c r="C345" s="7">
        <v>3.30590474E8</v>
      </c>
      <c r="D345" s="9">
        <v>40938.0</v>
      </c>
      <c r="E345" s="10">
        <f t="shared" si="1"/>
        <v>1</v>
      </c>
      <c r="F345" s="10" t="str">
        <f t="shared" si="2"/>
        <v>Jan</v>
      </c>
      <c r="G345" s="11">
        <f t="shared" si="3"/>
        <v>30</v>
      </c>
      <c r="H345" s="7">
        <f t="shared" si="4"/>
        <v>2012</v>
      </c>
      <c r="I345" s="9">
        <v>40982.0</v>
      </c>
      <c r="J345" s="11">
        <f t="shared" si="5"/>
        <v>44</v>
      </c>
      <c r="K345" s="7" t="s">
        <v>322</v>
      </c>
      <c r="L345" s="7" t="s">
        <v>111</v>
      </c>
      <c r="M345" s="7" t="str">
        <f>VLOOKUP(L345,countries, 2,false)</f>
        <v>Norway</v>
      </c>
      <c r="N345" s="7" t="str">
        <f>VLOOKUP(L345,countries, 4,false)</f>
        <v>Europe</v>
      </c>
      <c r="O345" s="7" t="str">
        <f>VLOOKUP(L345,countries, 5,false)</f>
        <v>Northern Europe</v>
      </c>
      <c r="P345" s="7" t="s">
        <v>129</v>
      </c>
      <c r="Q345" s="7">
        <v>7923.0</v>
      </c>
      <c r="R345" s="12">
        <v>651.21</v>
      </c>
      <c r="S345" s="12">
        <v>524.96</v>
      </c>
      <c r="T345" s="13">
        <f t="shared" si="6"/>
        <v>5159536.83</v>
      </c>
      <c r="U345" s="13">
        <f t="shared" si="7"/>
        <v>524301.47</v>
      </c>
      <c r="V345" s="13">
        <f t="shared" si="8"/>
        <v>4635235.36</v>
      </c>
      <c r="W345" s="14">
        <f>Q345/totals!B$2</f>
        <v>0.001204739768</v>
      </c>
      <c r="X345" s="14">
        <f t="shared" si="9"/>
        <v>0.2512204015</v>
      </c>
      <c r="Y345" s="14">
        <f>T345/totals!B$5</f>
        <v>0.003031224774</v>
      </c>
      <c r="Z345" s="14">
        <f t="shared" si="10"/>
        <v>0.2532312371</v>
      </c>
      <c r="AA345" s="14">
        <f>V345/totals!B$4</f>
        <v>0.009242547496</v>
      </c>
      <c r="AB345" s="14">
        <f t="shared" si="11"/>
        <v>0.2594928893</v>
      </c>
    </row>
    <row r="346">
      <c r="A346" s="7">
        <v>2103.0</v>
      </c>
      <c r="B346" s="7" t="str">
        <f>VLOOKUP($A346,product_category,2, False)</f>
        <v>Cereal</v>
      </c>
      <c r="C346" s="7">
        <v>3.32268464E8</v>
      </c>
      <c r="D346" s="9">
        <v>41584.0</v>
      </c>
      <c r="E346" s="10">
        <f t="shared" si="1"/>
        <v>11</v>
      </c>
      <c r="F346" s="10" t="str">
        <f t="shared" si="2"/>
        <v>Nov</v>
      </c>
      <c r="G346" s="11">
        <f t="shared" si="3"/>
        <v>6</v>
      </c>
      <c r="H346" s="7">
        <f t="shared" si="4"/>
        <v>2013</v>
      </c>
      <c r="I346" s="9">
        <v>41622.0</v>
      </c>
      <c r="J346" s="11">
        <f t="shared" si="5"/>
        <v>38</v>
      </c>
      <c r="K346" s="7" t="s">
        <v>198</v>
      </c>
      <c r="L346" s="7" t="s">
        <v>594</v>
      </c>
      <c r="M346" s="7" t="str">
        <f>VLOOKUP(L346,countries, 2,false)</f>
        <v>Poland</v>
      </c>
      <c r="N346" s="7" t="str">
        <f>VLOOKUP(L346,countries, 4,false)</f>
        <v>Europe</v>
      </c>
      <c r="O346" s="7" t="str">
        <f>VLOOKUP(L346,countries, 5,false)</f>
        <v>Eastern Europe</v>
      </c>
      <c r="P346" s="7" t="s">
        <v>129</v>
      </c>
      <c r="Q346" s="7">
        <v>4477.0</v>
      </c>
      <c r="R346" s="12">
        <v>205.7</v>
      </c>
      <c r="S346" s="12">
        <v>117.11</v>
      </c>
      <c r="T346" s="13">
        <f t="shared" si="6"/>
        <v>920918.9</v>
      </c>
      <c r="U346" s="13">
        <f t="shared" si="7"/>
        <v>2500318.35</v>
      </c>
      <c r="V346" s="13">
        <f t="shared" si="8"/>
        <v>-1579399.45</v>
      </c>
      <c r="W346" s="14">
        <f>Q346/totals!B$2</f>
        <v>0.0006807547574</v>
      </c>
      <c r="X346" s="14">
        <f t="shared" si="9"/>
        <v>0.2519011563</v>
      </c>
      <c r="Y346" s="14">
        <f>T346/totals!B$5</f>
        <v>0.0005410392979</v>
      </c>
      <c r="Z346" s="14">
        <f t="shared" si="10"/>
        <v>0.2537722764</v>
      </c>
      <c r="AA346" s="14">
        <f>V346/totals!B$4</f>
        <v>-0.003149284405</v>
      </c>
      <c r="AB346" s="14">
        <f t="shared" si="11"/>
        <v>0.2563436049</v>
      </c>
    </row>
    <row r="347">
      <c r="A347" s="7">
        <v>8293.0</v>
      </c>
      <c r="B347" s="7" t="str">
        <f>VLOOKUP($A347,product_category,2, False)</f>
        <v>Cosmetics</v>
      </c>
      <c r="C347" s="7">
        <v>3.32353007E8</v>
      </c>
      <c r="D347" s="9">
        <v>40457.0</v>
      </c>
      <c r="E347" s="10">
        <f t="shared" si="1"/>
        <v>10</v>
      </c>
      <c r="F347" s="10" t="str">
        <f t="shared" si="2"/>
        <v>Oct</v>
      </c>
      <c r="G347" s="11">
        <f t="shared" si="3"/>
        <v>6</v>
      </c>
      <c r="H347" s="7">
        <f t="shared" si="4"/>
        <v>2010</v>
      </c>
      <c r="I347" s="9">
        <v>40504.0</v>
      </c>
      <c r="J347" s="11">
        <f t="shared" si="5"/>
        <v>47</v>
      </c>
      <c r="K347" s="7" t="s">
        <v>382</v>
      </c>
      <c r="L347" s="7" t="s">
        <v>364</v>
      </c>
      <c r="M347" s="7" t="str">
        <f>VLOOKUP(L347,countries, 2,false)</f>
        <v>Hungary</v>
      </c>
      <c r="N347" s="7" t="str">
        <f>VLOOKUP(L347,countries, 4,false)</f>
        <v>Europe</v>
      </c>
      <c r="O347" s="7" t="str">
        <f>VLOOKUP(L347,countries, 5,false)</f>
        <v>Eastern Europe</v>
      </c>
      <c r="P347" s="7" t="s">
        <v>129</v>
      </c>
      <c r="Q347" s="7">
        <v>9495.0</v>
      </c>
      <c r="R347" s="12">
        <v>437.2</v>
      </c>
      <c r="S347" s="12">
        <v>263.33</v>
      </c>
      <c r="T347" s="13">
        <f t="shared" si="6"/>
        <v>4151214</v>
      </c>
      <c r="U347" s="13">
        <f t="shared" si="7"/>
        <v>381465.74</v>
      </c>
      <c r="V347" s="13">
        <f t="shared" si="8"/>
        <v>3769748.26</v>
      </c>
      <c r="W347" s="14">
        <f>Q347/totals!B$2</f>
        <v>0.001443771816</v>
      </c>
      <c r="X347" s="14">
        <f t="shared" si="9"/>
        <v>0.2533449281</v>
      </c>
      <c r="Y347" s="14">
        <f>T347/totals!B$5</f>
        <v>0.00243883572</v>
      </c>
      <c r="Z347" s="14">
        <f t="shared" si="10"/>
        <v>0.2562111121</v>
      </c>
      <c r="AA347" s="14">
        <f>V347/totals!B$4</f>
        <v>0.007516787096</v>
      </c>
      <c r="AB347" s="14">
        <f t="shared" si="11"/>
        <v>0.263860392</v>
      </c>
    </row>
    <row r="348">
      <c r="A348" s="7">
        <v>8875.0</v>
      </c>
      <c r="B348" s="7" t="str">
        <f>VLOOKUP($A348,product_category,2, False)</f>
        <v>Meat</v>
      </c>
      <c r="C348" s="7">
        <v>3.3330444E8</v>
      </c>
      <c r="D348" s="9">
        <v>42897.0</v>
      </c>
      <c r="E348" s="10">
        <f t="shared" si="1"/>
        <v>6</v>
      </c>
      <c r="F348" s="10" t="str">
        <f t="shared" si="2"/>
        <v>Jun</v>
      </c>
      <c r="G348" s="11">
        <f t="shared" si="3"/>
        <v>11</v>
      </c>
      <c r="H348" s="7">
        <f t="shared" si="4"/>
        <v>2017</v>
      </c>
      <c r="I348" s="9">
        <v>42921.0</v>
      </c>
      <c r="J348" s="11">
        <f t="shared" si="5"/>
        <v>24</v>
      </c>
      <c r="K348" s="7" t="s">
        <v>322</v>
      </c>
      <c r="L348" s="7" t="s">
        <v>231</v>
      </c>
      <c r="M348" s="7" t="str">
        <f>VLOOKUP(L348,countries, 2,false)</f>
        <v>Cyprus</v>
      </c>
      <c r="N348" s="7" t="str">
        <f>VLOOKUP(L348,countries, 4,false)</f>
        <v>Asia</v>
      </c>
      <c r="O348" s="7" t="str">
        <f>VLOOKUP(L348,countries, 5,false)</f>
        <v>Western Asia</v>
      </c>
      <c r="P348" s="7" t="s">
        <v>129</v>
      </c>
      <c r="Q348" s="7">
        <v>1046.0</v>
      </c>
      <c r="R348" s="12">
        <v>421.89</v>
      </c>
      <c r="S348" s="12">
        <v>364.69</v>
      </c>
      <c r="T348" s="13">
        <f t="shared" si="6"/>
        <v>441296.94</v>
      </c>
      <c r="U348" s="13">
        <f t="shared" si="7"/>
        <v>238945.28</v>
      </c>
      <c r="V348" s="13">
        <f t="shared" si="8"/>
        <v>202351.66</v>
      </c>
      <c r="W348" s="14">
        <f>Q348/totals!B$2</f>
        <v>0.0001590505866</v>
      </c>
      <c r="X348" s="14">
        <f t="shared" si="9"/>
        <v>0.2535039787</v>
      </c>
      <c r="Y348" s="14">
        <f>T348/totals!B$5</f>
        <v>0.0002592616859</v>
      </c>
      <c r="Z348" s="14">
        <f t="shared" si="10"/>
        <v>0.2564703738</v>
      </c>
      <c r="AA348" s="14">
        <f>V348/totals!B$4</f>
        <v>0.0004034843289</v>
      </c>
      <c r="AB348" s="14">
        <f t="shared" si="11"/>
        <v>0.2642638763</v>
      </c>
    </row>
    <row r="349">
      <c r="A349" s="7">
        <v>2455.0</v>
      </c>
      <c r="B349" s="7" t="str">
        <f>VLOOKUP($A349,product_category,2, False)</f>
        <v>Clothes</v>
      </c>
      <c r="C349" s="7">
        <v>3.34539973E8</v>
      </c>
      <c r="D349" s="9">
        <v>40286.0</v>
      </c>
      <c r="E349" s="10">
        <f t="shared" si="1"/>
        <v>4</v>
      </c>
      <c r="F349" s="10" t="str">
        <f t="shared" si="2"/>
        <v>Apr</v>
      </c>
      <c r="G349" s="11">
        <f t="shared" si="3"/>
        <v>18</v>
      </c>
      <c r="H349" s="7">
        <f t="shared" si="4"/>
        <v>2010</v>
      </c>
      <c r="I349" s="9">
        <v>40309.0</v>
      </c>
      <c r="J349" s="11">
        <f t="shared" si="5"/>
        <v>23</v>
      </c>
      <c r="K349" s="7" t="s">
        <v>110</v>
      </c>
      <c r="L349" s="7" t="s">
        <v>392</v>
      </c>
      <c r="M349" s="7" t="str">
        <f>VLOOKUP(L349,countries, 2,false)</f>
        <v>Italy</v>
      </c>
      <c r="N349" s="7" t="str">
        <f>VLOOKUP(L349,countries, 4,false)</f>
        <v>Europe</v>
      </c>
      <c r="O349" s="7" t="str">
        <f>VLOOKUP(L349,countries, 5,false)</f>
        <v>Southern Europe</v>
      </c>
      <c r="P349" s="7" t="s">
        <v>129</v>
      </c>
      <c r="Q349" s="7">
        <v>6667.0</v>
      </c>
      <c r="R349" s="12">
        <v>109.28</v>
      </c>
      <c r="S349" s="12">
        <v>35.84</v>
      </c>
      <c r="T349" s="13">
        <f t="shared" si="6"/>
        <v>728569.76</v>
      </c>
      <c r="U349" s="13">
        <f t="shared" si="7"/>
        <v>105066.18</v>
      </c>
      <c r="V349" s="13">
        <f t="shared" si="8"/>
        <v>623503.58</v>
      </c>
      <c r="W349" s="14">
        <f>Q349/totals!B$2</f>
        <v>0.00101375742</v>
      </c>
      <c r="X349" s="14">
        <f t="shared" si="9"/>
        <v>0.2545177361</v>
      </c>
      <c r="Y349" s="14">
        <f>T349/totals!B$5</f>
        <v>0.0004280342943</v>
      </c>
      <c r="Z349" s="14">
        <f t="shared" si="10"/>
        <v>0.2568984081</v>
      </c>
      <c r="AA349" s="14">
        <f>V349/totals!B$4</f>
        <v>0.001243251098</v>
      </c>
      <c r="AB349" s="14">
        <f t="shared" si="11"/>
        <v>0.2655071274</v>
      </c>
    </row>
    <row r="350">
      <c r="A350" s="7">
        <v>3127.0</v>
      </c>
      <c r="B350" s="7" t="str">
        <f>VLOOKUP($A350,product_category,2, False)</f>
        <v>Personal Care</v>
      </c>
      <c r="C350" s="7">
        <v>3.36111962E8</v>
      </c>
      <c r="D350" s="9">
        <v>41053.0</v>
      </c>
      <c r="E350" s="10">
        <f t="shared" si="1"/>
        <v>5</v>
      </c>
      <c r="F350" s="10" t="str">
        <f t="shared" si="2"/>
        <v>May</v>
      </c>
      <c r="G350" s="11">
        <f t="shared" si="3"/>
        <v>24</v>
      </c>
      <c r="H350" s="7">
        <f t="shared" si="4"/>
        <v>2012</v>
      </c>
      <c r="I350" s="9">
        <v>41076.0</v>
      </c>
      <c r="J350" s="11">
        <f t="shared" si="5"/>
        <v>23</v>
      </c>
      <c r="K350" s="7" t="s">
        <v>110</v>
      </c>
      <c r="L350" s="7" t="e">
        <v>#N/A</v>
      </c>
      <c r="M350" s="7"/>
      <c r="N350" s="7"/>
      <c r="O350" s="7"/>
      <c r="P350" s="7" t="s">
        <v>212</v>
      </c>
      <c r="Q350" s="7">
        <v>1854.0</v>
      </c>
      <c r="R350" s="12">
        <v>81.73</v>
      </c>
      <c r="S350" s="12">
        <v>56.67</v>
      </c>
      <c r="T350" s="13">
        <f t="shared" si="6"/>
        <v>151527.42</v>
      </c>
      <c r="U350" s="13">
        <f t="shared" si="7"/>
        <v>2499528.36</v>
      </c>
      <c r="V350" s="13">
        <f t="shared" si="8"/>
        <v>-2348000.94</v>
      </c>
      <c r="W350" s="14">
        <f>Q350/totals!B$2</f>
        <v>0.0002819118428</v>
      </c>
      <c r="X350" s="14">
        <f t="shared" si="9"/>
        <v>0.254799648</v>
      </c>
      <c r="Y350" s="14">
        <f>T350/totals!B$5</f>
        <v>0.0000890222678</v>
      </c>
      <c r="Z350" s="14">
        <f t="shared" si="10"/>
        <v>0.2569874304</v>
      </c>
      <c r="AA350" s="14">
        <f>V350/totals!B$4</f>
        <v>-0.004681857236</v>
      </c>
      <c r="AB350" s="14">
        <f t="shared" si="11"/>
        <v>0.2608252702</v>
      </c>
    </row>
    <row r="351">
      <c r="A351" s="7">
        <v>8293.0</v>
      </c>
      <c r="B351" s="7" t="str">
        <f>VLOOKUP($A351,product_category,2, False)</f>
        <v>Cosmetics</v>
      </c>
      <c r="C351" s="7">
        <v>3.36813628E8</v>
      </c>
      <c r="D351" s="9">
        <v>40194.0</v>
      </c>
      <c r="E351" s="10">
        <f t="shared" si="1"/>
        <v>1</v>
      </c>
      <c r="F351" s="10" t="str">
        <f t="shared" si="2"/>
        <v>Jan</v>
      </c>
      <c r="G351" s="11">
        <f t="shared" si="3"/>
        <v>16</v>
      </c>
      <c r="H351" s="7">
        <f t="shared" si="4"/>
        <v>2010</v>
      </c>
      <c r="I351" s="9">
        <v>40232.0</v>
      </c>
      <c r="J351" s="11">
        <f t="shared" si="5"/>
        <v>38</v>
      </c>
      <c r="K351" s="7" t="s">
        <v>198</v>
      </c>
      <c r="L351" s="7" t="s">
        <v>702</v>
      </c>
      <c r="M351" s="7" t="str">
        <f>VLOOKUP(L351,countries, 2,false)</f>
        <v>Sweden</v>
      </c>
      <c r="N351" s="7" t="str">
        <f>VLOOKUP(L351,countries, 4,false)</f>
        <v>Europe</v>
      </c>
      <c r="O351" s="7" t="str">
        <f>VLOOKUP(L351,countries, 5,false)</f>
        <v>Northern Europe</v>
      </c>
      <c r="P351" s="7" t="s">
        <v>212</v>
      </c>
      <c r="Q351" s="7">
        <v>9492.0</v>
      </c>
      <c r="R351" s="12">
        <v>437.2</v>
      </c>
      <c r="S351" s="12">
        <v>263.33</v>
      </c>
      <c r="T351" s="13">
        <f t="shared" si="6"/>
        <v>4149902.4</v>
      </c>
      <c r="U351" s="13">
        <f t="shared" si="7"/>
        <v>2536921.22</v>
      </c>
      <c r="V351" s="13">
        <f t="shared" si="8"/>
        <v>1612981.18</v>
      </c>
      <c r="W351" s="14">
        <f>Q351/totals!B$2</f>
        <v>0.001443315648</v>
      </c>
      <c r="X351" s="14">
        <f t="shared" si="9"/>
        <v>0.2562429636</v>
      </c>
      <c r="Y351" s="14">
        <f>T351/totals!B$5</f>
        <v>0.002438065155</v>
      </c>
      <c r="Z351" s="14">
        <f t="shared" si="10"/>
        <v>0.2594254955</v>
      </c>
      <c r="AA351" s="14">
        <f>V351/totals!B$4</f>
        <v>0.003216245564</v>
      </c>
      <c r="AB351" s="14">
        <f t="shared" si="11"/>
        <v>0.2640415158</v>
      </c>
    </row>
    <row r="352">
      <c r="A352" s="7">
        <v>8293.0</v>
      </c>
      <c r="B352" s="7" t="str">
        <f>VLOOKUP($A352,product_category,2, False)</f>
        <v>Cosmetics</v>
      </c>
      <c r="C352" s="7">
        <v>3.37354791E8</v>
      </c>
      <c r="D352" s="9">
        <v>40886.0</v>
      </c>
      <c r="E352" s="10">
        <f t="shared" si="1"/>
        <v>12</v>
      </c>
      <c r="F352" s="10" t="str">
        <f t="shared" si="2"/>
        <v>Dec</v>
      </c>
      <c r="G352" s="11">
        <f t="shared" si="3"/>
        <v>9</v>
      </c>
      <c r="H352" s="7">
        <f t="shared" si="4"/>
        <v>2011</v>
      </c>
      <c r="I352" s="9">
        <v>40936.0</v>
      </c>
      <c r="J352" s="11">
        <f t="shared" si="5"/>
        <v>50</v>
      </c>
      <c r="K352" s="7" t="s">
        <v>322</v>
      </c>
      <c r="L352" s="7" t="s">
        <v>111</v>
      </c>
      <c r="M352" s="7" t="str">
        <f>VLOOKUP(L352,countries, 2,false)</f>
        <v>Norway</v>
      </c>
      <c r="N352" s="7" t="str">
        <f>VLOOKUP(L352,countries, 4,false)</f>
        <v>Europe</v>
      </c>
      <c r="O352" s="7" t="str">
        <f>VLOOKUP(L352,countries, 5,false)</f>
        <v>Northern Europe</v>
      </c>
      <c r="P352" s="7" t="s">
        <v>212</v>
      </c>
      <c r="Q352" s="7">
        <v>9634.0</v>
      </c>
      <c r="R352" s="12">
        <v>437.2</v>
      </c>
      <c r="S352" s="12">
        <v>263.33</v>
      </c>
      <c r="T352" s="13">
        <f t="shared" si="6"/>
        <v>4211984.8</v>
      </c>
      <c r="U352" s="13">
        <f t="shared" si="7"/>
        <v>4893152.16</v>
      </c>
      <c r="V352" s="13">
        <f t="shared" si="8"/>
        <v>-681167.36</v>
      </c>
      <c r="W352" s="14">
        <f>Q352/totals!B$2</f>
        <v>0.001464907602</v>
      </c>
      <c r="X352" s="14">
        <f t="shared" si="9"/>
        <v>0.2577078712</v>
      </c>
      <c r="Y352" s="14">
        <f>T352/totals!B$5</f>
        <v>0.002474538528</v>
      </c>
      <c r="Z352" s="14">
        <f t="shared" si="10"/>
        <v>0.2619000341</v>
      </c>
      <c r="AA352" s="14">
        <f>V352/totals!B$4</f>
        <v>-0.001358231285</v>
      </c>
      <c r="AB352" s="14">
        <f t="shared" si="11"/>
        <v>0.2626832845</v>
      </c>
    </row>
    <row r="353">
      <c r="A353" s="7">
        <v>8681.0</v>
      </c>
      <c r="B353" s="7" t="str">
        <f>VLOOKUP($A353,product_category,2, False)</f>
        <v>Office Supplies</v>
      </c>
      <c r="C353" s="7">
        <v>3.39786803E8</v>
      </c>
      <c r="D353" s="9">
        <v>40803.0</v>
      </c>
      <c r="E353" s="10">
        <f t="shared" si="1"/>
        <v>9</v>
      </c>
      <c r="F353" s="10" t="str">
        <f t="shared" si="2"/>
        <v>Sep</v>
      </c>
      <c r="G353" s="11">
        <f t="shared" si="3"/>
        <v>17</v>
      </c>
      <c r="H353" s="7">
        <f t="shared" si="4"/>
        <v>2011</v>
      </c>
      <c r="I353" s="9">
        <v>40841.0</v>
      </c>
      <c r="J353" s="11">
        <f t="shared" si="5"/>
        <v>38</v>
      </c>
      <c r="K353" s="7" t="s">
        <v>382</v>
      </c>
      <c r="L353" s="7" t="s">
        <v>454</v>
      </c>
      <c r="M353" s="7" t="str">
        <f>VLOOKUP(L353,countries, 2,false)</f>
        <v>Luxembourg</v>
      </c>
      <c r="N353" s="7" t="str">
        <f>VLOOKUP(L353,countries, 4,false)</f>
        <v>Europe</v>
      </c>
      <c r="O353" s="7" t="str">
        <f>VLOOKUP(L353,countries, 5,false)</f>
        <v>Western Europe</v>
      </c>
      <c r="P353" s="7" t="s">
        <v>212</v>
      </c>
      <c r="Q353" s="7">
        <v>9321.0</v>
      </c>
      <c r="R353" s="12">
        <v>651.21</v>
      </c>
      <c r="S353" s="12">
        <v>524.96</v>
      </c>
      <c r="T353" s="13">
        <f t="shared" si="6"/>
        <v>6069928.41</v>
      </c>
      <c r="U353" s="13">
        <f t="shared" si="7"/>
        <v>225183.84</v>
      </c>
      <c r="V353" s="13">
        <f t="shared" si="8"/>
        <v>5844744.57</v>
      </c>
      <c r="W353" s="14">
        <f>Q353/totals!B$2</f>
        <v>0.00141731407</v>
      </c>
      <c r="X353" s="14">
        <f t="shared" si="9"/>
        <v>0.2591251853</v>
      </c>
      <c r="Y353" s="14">
        <f>T353/totals!B$5</f>
        <v>0.003566079277</v>
      </c>
      <c r="Z353" s="14">
        <f t="shared" si="10"/>
        <v>0.2654661134</v>
      </c>
      <c r="AA353" s="14">
        <f>V353/totals!B$4</f>
        <v>0.01165427968</v>
      </c>
      <c r="AB353" s="14">
        <f t="shared" si="11"/>
        <v>0.2743375642</v>
      </c>
    </row>
    <row r="354">
      <c r="A354" s="7">
        <v>8969.0</v>
      </c>
      <c r="B354" s="7" t="str">
        <f>VLOOKUP($A354,product_category,2, False)</f>
        <v>Snacks</v>
      </c>
      <c r="C354" s="7">
        <v>3.39999663E8</v>
      </c>
      <c r="D354" s="9">
        <v>42150.0</v>
      </c>
      <c r="E354" s="10">
        <f t="shared" si="1"/>
        <v>5</v>
      </c>
      <c r="F354" s="10" t="str">
        <f t="shared" si="2"/>
        <v>May</v>
      </c>
      <c r="G354" s="11">
        <f t="shared" si="3"/>
        <v>26</v>
      </c>
      <c r="H354" s="7">
        <f t="shared" si="4"/>
        <v>2015</v>
      </c>
      <c r="I354" s="9">
        <v>42168.0</v>
      </c>
      <c r="J354" s="11">
        <f t="shared" si="5"/>
        <v>18</v>
      </c>
      <c r="K354" s="7" t="s">
        <v>322</v>
      </c>
      <c r="L354" s="7" t="s">
        <v>478</v>
      </c>
      <c r="M354" s="7" t="str">
        <f>VLOOKUP(L354,countries, 2,false)</f>
        <v>Malta</v>
      </c>
      <c r="N354" s="7" t="str">
        <f>VLOOKUP(L354,countries, 4,false)</f>
        <v>Europe</v>
      </c>
      <c r="O354" s="7" t="str">
        <f>VLOOKUP(L354,countries, 5,false)</f>
        <v>Southern Europe</v>
      </c>
      <c r="P354" s="7" t="s">
        <v>129</v>
      </c>
      <c r="Q354" s="7">
        <v>2311.0</v>
      </c>
      <c r="R354" s="12">
        <v>152.58</v>
      </c>
      <c r="S354" s="12">
        <v>97.44</v>
      </c>
      <c r="T354" s="13">
        <f t="shared" si="6"/>
        <v>352612.38</v>
      </c>
      <c r="U354" s="13">
        <f t="shared" si="7"/>
        <v>2982822.72</v>
      </c>
      <c r="V354" s="13">
        <f t="shared" si="8"/>
        <v>-2630210.34</v>
      </c>
      <c r="W354" s="14">
        <f>Q354/totals!B$2</f>
        <v>0.0003514014394</v>
      </c>
      <c r="X354" s="14">
        <f t="shared" si="9"/>
        <v>0.2594765867</v>
      </c>
      <c r="Y354" s="14">
        <f>T354/totals!B$5</f>
        <v>0.0002071595604</v>
      </c>
      <c r="Z354" s="14">
        <f t="shared" si="10"/>
        <v>0.2656732729</v>
      </c>
      <c r="AA354" s="14">
        <f>V354/totals!B$4</f>
        <v>-0.005244575972</v>
      </c>
      <c r="AB354" s="14">
        <f t="shared" si="11"/>
        <v>0.2690929882</v>
      </c>
    </row>
    <row r="355">
      <c r="A355" s="7">
        <v>8681.0</v>
      </c>
      <c r="B355" s="7" t="str">
        <f>VLOOKUP($A355,product_category,2, False)</f>
        <v>Office Supplies</v>
      </c>
      <c r="C355" s="7">
        <v>3.40213811E8</v>
      </c>
      <c r="D355" s="9">
        <v>40349.0</v>
      </c>
      <c r="E355" s="10">
        <f t="shared" si="1"/>
        <v>6</v>
      </c>
      <c r="F355" s="10" t="str">
        <f t="shared" si="2"/>
        <v>Jun</v>
      </c>
      <c r="G355" s="11">
        <f t="shared" si="3"/>
        <v>20</v>
      </c>
      <c r="H355" s="7">
        <f t="shared" si="4"/>
        <v>2010</v>
      </c>
      <c r="I355" s="9">
        <v>40385.0</v>
      </c>
      <c r="J355" s="11">
        <f t="shared" si="5"/>
        <v>36</v>
      </c>
      <c r="K355" s="7" t="s">
        <v>198</v>
      </c>
      <c r="L355" s="7" t="s">
        <v>286</v>
      </c>
      <c r="M355" s="7" t="str">
        <f>VLOOKUP(L355,countries, 2,false)</f>
        <v>France</v>
      </c>
      <c r="N355" s="7" t="str">
        <f>VLOOKUP(L355,countries, 4,false)</f>
        <v>Europe</v>
      </c>
      <c r="O355" s="7" t="str">
        <f>VLOOKUP(L355,countries, 5,false)</f>
        <v>Western Europe</v>
      </c>
      <c r="P355" s="7" t="s">
        <v>129</v>
      </c>
      <c r="Q355" s="7">
        <v>5682.0</v>
      </c>
      <c r="R355" s="12">
        <v>651.21</v>
      </c>
      <c r="S355" s="12">
        <v>524.96</v>
      </c>
      <c r="T355" s="13">
        <f t="shared" si="6"/>
        <v>3700175.22</v>
      </c>
      <c r="U355" s="13">
        <f t="shared" si="7"/>
        <v>603251.04</v>
      </c>
      <c r="V355" s="13">
        <f t="shared" si="8"/>
        <v>3096924.18</v>
      </c>
      <c r="W355" s="14">
        <f>Q355/totals!B$2</f>
        <v>0.0008639822496</v>
      </c>
      <c r="X355" s="14">
        <f t="shared" si="9"/>
        <v>0.260340569</v>
      </c>
      <c r="Y355" s="14">
        <f>T355/totals!B$5</f>
        <v>0.002173850709</v>
      </c>
      <c r="Z355" s="14">
        <f t="shared" si="10"/>
        <v>0.2678471236</v>
      </c>
      <c r="AA355" s="14">
        <f>V355/totals!B$4</f>
        <v>0.00617519211</v>
      </c>
      <c r="AB355" s="14">
        <f t="shared" si="11"/>
        <v>0.2752681803</v>
      </c>
    </row>
    <row r="356">
      <c r="A356" s="7">
        <v>8969.0</v>
      </c>
      <c r="B356" s="7" t="str">
        <f>VLOOKUP($A356,product_category,2, False)</f>
        <v>Snacks</v>
      </c>
      <c r="C356" s="7">
        <v>3.41398274E8</v>
      </c>
      <c r="D356" s="9">
        <v>42757.0</v>
      </c>
      <c r="E356" s="10">
        <f t="shared" si="1"/>
        <v>1</v>
      </c>
      <c r="F356" s="10" t="str">
        <f t="shared" si="2"/>
        <v>Jan</v>
      </c>
      <c r="G356" s="11">
        <f t="shared" si="3"/>
        <v>22</v>
      </c>
      <c r="H356" s="7">
        <f t="shared" si="4"/>
        <v>2017</v>
      </c>
      <c r="I356" s="9">
        <v>42801.0</v>
      </c>
      <c r="J356" s="11">
        <f t="shared" si="5"/>
        <v>44</v>
      </c>
      <c r="K356" s="7" t="s">
        <v>322</v>
      </c>
      <c r="L356" s="7" t="s">
        <v>304</v>
      </c>
      <c r="M356" s="7" t="str">
        <f>VLOOKUP(L356,countries, 2,false)</f>
        <v>Georgia</v>
      </c>
      <c r="N356" s="7" t="str">
        <f>VLOOKUP(L356,countries, 4,false)</f>
        <v>Asia</v>
      </c>
      <c r="O356" s="7" t="str">
        <f>VLOOKUP(L356,countries, 5,false)</f>
        <v>Western Asia</v>
      </c>
      <c r="P356" s="7" t="s">
        <v>212</v>
      </c>
      <c r="Q356" s="7">
        <v>6191.0</v>
      </c>
      <c r="R356" s="12">
        <v>152.58</v>
      </c>
      <c r="S356" s="12">
        <v>97.44</v>
      </c>
      <c r="T356" s="13">
        <f t="shared" si="6"/>
        <v>944622.78</v>
      </c>
      <c r="U356" s="13">
        <f t="shared" si="7"/>
        <v>2692519.84</v>
      </c>
      <c r="V356" s="13">
        <f t="shared" si="8"/>
        <v>-1747897.06</v>
      </c>
      <c r="W356" s="14">
        <f>Q356/totals!B$2</f>
        <v>0.0009413787587</v>
      </c>
      <c r="X356" s="14">
        <f t="shared" si="9"/>
        <v>0.2612819477</v>
      </c>
      <c r="Y356" s="14">
        <f>T356/totals!B$5</f>
        <v>0.0005549653131</v>
      </c>
      <c r="Z356" s="14">
        <f t="shared" si="10"/>
        <v>0.2684020889</v>
      </c>
      <c r="AA356" s="14">
        <f>V356/totals!B$4</f>
        <v>-0.003485264575</v>
      </c>
      <c r="AB356" s="14">
        <f t="shared" si="11"/>
        <v>0.2717829157</v>
      </c>
    </row>
    <row r="357">
      <c r="A357" s="7">
        <v>8681.0</v>
      </c>
      <c r="B357" s="7" t="str">
        <f>VLOOKUP($A357,product_category,2, False)</f>
        <v>Office Supplies</v>
      </c>
      <c r="C357" s="7">
        <v>3.43185698E8</v>
      </c>
      <c r="D357" s="9">
        <v>41340.0</v>
      </c>
      <c r="E357" s="10">
        <f t="shared" si="1"/>
        <v>3</v>
      </c>
      <c r="F357" s="10" t="str">
        <f t="shared" si="2"/>
        <v>Mar</v>
      </c>
      <c r="G357" s="11">
        <f t="shared" si="3"/>
        <v>7</v>
      </c>
      <c r="H357" s="7">
        <f t="shared" si="4"/>
        <v>2013</v>
      </c>
      <c r="I357" s="9">
        <v>41389.0</v>
      </c>
      <c r="J357" s="11">
        <f t="shared" si="5"/>
        <v>49</v>
      </c>
      <c r="K357" s="7" t="s">
        <v>382</v>
      </c>
      <c r="L357" s="7" t="s">
        <v>264</v>
      </c>
      <c r="M357" s="7" t="str">
        <f>VLOOKUP(L357,countries, 2,false)</f>
        <v>Estonia</v>
      </c>
      <c r="N357" s="7" t="str">
        <f>VLOOKUP(L357,countries, 4,false)</f>
        <v>Europe</v>
      </c>
      <c r="O357" s="7" t="str">
        <f>VLOOKUP(L357,countries, 5,false)</f>
        <v>Northern Europe</v>
      </c>
      <c r="P357" s="7" t="s">
        <v>212</v>
      </c>
      <c r="Q357" s="7">
        <v>5129.0</v>
      </c>
      <c r="R357" s="12">
        <v>651.21</v>
      </c>
      <c r="S357" s="12">
        <v>524.96</v>
      </c>
      <c r="T357" s="13">
        <f t="shared" si="6"/>
        <v>3340056.09</v>
      </c>
      <c r="U357" s="13">
        <f t="shared" si="7"/>
        <v>3300423.52</v>
      </c>
      <c r="V357" s="13">
        <f t="shared" si="8"/>
        <v>39632.57</v>
      </c>
      <c r="W357" s="14">
        <f>Q357/totals!B$2</f>
        <v>0.000779895276</v>
      </c>
      <c r="X357" s="14">
        <f t="shared" si="9"/>
        <v>0.262061843</v>
      </c>
      <c r="Y357" s="14">
        <f>T357/totals!B$5</f>
        <v>0.001962280937</v>
      </c>
      <c r="Z357" s="14">
        <f t="shared" si="10"/>
        <v>0.2703643699</v>
      </c>
      <c r="AA357" s="14">
        <f>V357/totals!B$4</f>
        <v>0.00007902638856</v>
      </c>
      <c r="AB357" s="14">
        <f t="shared" si="11"/>
        <v>0.2718619421</v>
      </c>
    </row>
    <row r="358">
      <c r="A358" s="7">
        <v>8681.0</v>
      </c>
      <c r="B358" s="7" t="str">
        <f>VLOOKUP($A358,product_category,2, False)</f>
        <v>Office Supplies</v>
      </c>
      <c r="C358" s="7">
        <v>3.43730294E8</v>
      </c>
      <c r="D358" s="9">
        <v>42856.0</v>
      </c>
      <c r="E358" s="10">
        <f t="shared" si="1"/>
        <v>5</v>
      </c>
      <c r="F358" s="10" t="str">
        <f t="shared" si="2"/>
        <v>May</v>
      </c>
      <c r="G358" s="11">
        <f t="shared" si="3"/>
        <v>1</v>
      </c>
      <c r="H358" s="7">
        <f t="shared" si="4"/>
        <v>2017</v>
      </c>
      <c r="I358" s="9">
        <v>42883.0</v>
      </c>
      <c r="J358" s="11">
        <f t="shared" si="5"/>
        <v>27</v>
      </c>
      <c r="K358" s="7" t="s">
        <v>322</v>
      </c>
      <c r="L358" s="7" t="s">
        <v>432</v>
      </c>
      <c r="M358" s="7" t="str">
        <f>VLOOKUP(L358,countries, 2,false)</f>
        <v>Latvia</v>
      </c>
      <c r="N358" s="7" t="str">
        <f>VLOOKUP(L358,countries, 4,false)</f>
        <v>Europe</v>
      </c>
      <c r="O358" s="7" t="str">
        <f>VLOOKUP(L358,countries, 5,false)</f>
        <v>Northern Europe</v>
      </c>
      <c r="P358" s="7" t="s">
        <v>129</v>
      </c>
      <c r="Q358" s="7">
        <v>6287.0</v>
      </c>
      <c r="R358" s="12">
        <v>651.21</v>
      </c>
      <c r="S358" s="12">
        <v>524.96</v>
      </c>
      <c r="T358" s="13">
        <f t="shared" si="6"/>
        <v>4094157.27</v>
      </c>
      <c r="U358" s="13">
        <f t="shared" si="7"/>
        <v>108181.37</v>
      </c>
      <c r="V358" s="13">
        <f t="shared" si="8"/>
        <v>3985975.9</v>
      </c>
      <c r="W358" s="14">
        <f>Q358/totals!B$2</f>
        <v>0.0009559761357</v>
      </c>
      <c r="X358" s="14">
        <f t="shared" si="9"/>
        <v>0.2630178191</v>
      </c>
      <c r="Y358" s="14">
        <f>T358/totals!B$5</f>
        <v>0.002405314925</v>
      </c>
      <c r="Z358" s="14">
        <f t="shared" si="10"/>
        <v>0.2727696848</v>
      </c>
      <c r="AA358" s="14">
        <f>V358/totals!B$4</f>
        <v>0.007947939794</v>
      </c>
      <c r="AB358" s="14">
        <f t="shared" si="11"/>
        <v>0.2798098819</v>
      </c>
    </row>
    <row r="359">
      <c r="A359" s="7">
        <v>1270.0</v>
      </c>
      <c r="B359" s="7" t="str">
        <f>VLOOKUP($A359,product_category,2, False)</f>
        <v>Beverages</v>
      </c>
      <c r="C359" s="7">
        <v>3.4388951E8</v>
      </c>
      <c r="D359" s="9">
        <v>41689.0</v>
      </c>
      <c r="E359" s="10">
        <f t="shared" si="1"/>
        <v>2</v>
      </c>
      <c r="F359" s="10" t="str">
        <f t="shared" si="2"/>
        <v>Feb</v>
      </c>
      <c r="G359" s="11">
        <f t="shared" si="3"/>
        <v>19</v>
      </c>
      <c r="H359" s="7">
        <f t="shared" si="4"/>
        <v>2014</v>
      </c>
      <c r="I359" s="9">
        <v>41731.0</v>
      </c>
      <c r="J359" s="11">
        <f t="shared" si="5"/>
        <v>42</v>
      </c>
      <c r="K359" s="7" t="s">
        <v>110</v>
      </c>
      <c r="L359" s="7" t="s">
        <v>756</v>
      </c>
      <c r="M359" s="7" t="str">
        <f>VLOOKUP(L359,countries, 2,false)</f>
        <v>Ukraine</v>
      </c>
      <c r="N359" s="7" t="str">
        <f>VLOOKUP(L359,countries, 4,false)</f>
        <v>Europe</v>
      </c>
      <c r="O359" s="7" t="str">
        <f>VLOOKUP(L359,countries, 5,false)</f>
        <v>Eastern Europe</v>
      </c>
      <c r="P359" s="7" t="s">
        <v>129</v>
      </c>
      <c r="Q359" s="7">
        <v>3403.0</v>
      </c>
      <c r="R359" s="12">
        <v>47.45</v>
      </c>
      <c r="S359" s="12">
        <v>31.79</v>
      </c>
      <c r="T359" s="13">
        <f t="shared" si="6"/>
        <v>161472.35</v>
      </c>
      <c r="U359" s="13">
        <f t="shared" si="7"/>
        <v>1336224.16</v>
      </c>
      <c r="V359" s="13">
        <f t="shared" si="8"/>
        <v>-1174751.81</v>
      </c>
      <c r="W359" s="14">
        <f>Q359/totals!B$2</f>
        <v>0.0005174466025</v>
      </c>
      <c r="X359" s="14">
        <f t="shared" si="9"/>
        <v>0.2635352657</v>
      </c>
      <c r="Y359" s="14">
        <f>T359/totals!B$5</f>
        <v>0.00009486490817</v>
      </c>
      <c r="Z359" s="14">
        <f t="shared" si="10"/>
        <v>0.2728645497</v>
      </c>
      <c r="AA359" s="14">
        <f>V359/totals!B$4</f>
        <v>-0.002342426772</v>
      </c>
      <c r="AB359" s="14">
        <f t="shared" si="11"/>
        <v>0.2774674551</v>
      </c>
    </row>
    <row r="360">
      <c r="A360" s="7">
        <v>8875.0</v>
      </c>
      <c r="B360" s="7" t="str">
        <f>VLOOKUP($A360,product_category,2, False)</f>
        <v>Meat</v>
      </c>
      <c r="C360" s="7">
        <v>3.44160735E8</v>
      </c>
      <c r="D360" s="9">
        <v>40460.0</v>
      </c>
      <c r="E360" s="10">
        <f t="shared" si="1"/>
        <v>10</v>
      </c>
      <c r="F360" s="10" t="str">
        <f t="shared" si="2"/>
        <v>Oct</v>
      </c>
      <c r="G360" s="11">
        <f t="shared" si="3"/>
        <v>9</v>
      </c>
      <c r="H360" s="7">
        <f t="shared" si="4"/>
        <v>2010</v>
      </c>
      <c r="I360" s="9">
        <v>40502.0</v>
      </c>
      <c r="J360" s="11">
        <f t="shared" si="5"/>
        <v>42</v>
      </c>
      <c r="K360" s="7" t="s">
        <v>110</v>
      </c>
      <c r="L360" s="7" t="s">
        <v>534</v>
      </c>
      <c r="M360" s="7" t="str">
        <f>VLOOKUP(L360,countries, 2,false)</f>
        <v>Netherlands</v>
      </c>
      <c r="N360" s="7" t="str">
        <f>VLOOKUP(L360,countries, 4,false)</f>
        <v>Europe</v>
      </c>
      <c r="O360" s="7" t="str">
        <f>VLOOKUP(L360,countries, 5,false)</f>
        <v>Western Europe</v>
      </c>
      <c r="P360" s="7" t="s">
        <v>129</v>
      </c>
      <c r="Q360" s="7">
        <v>3664.0</v>
      </c>
      <c r="R360" s="12">
        <v>421.89</v>
      </c>
      <c r="S360" s="12">
        <v>364.69</v>
      </c>
      <c r="T360" s="13">
        <f t="shared" si="6"/>
        <v>1545804.96</v>
      </c>
      <c r="U360" s="13">
        <f t="shared" si="7"/>
        <v>503661.27</v>
      </c>
      <c r="V360" s="13">
        <f t="shared" si="8"/>
        <v>1042143.69</v>
      </c>
      <c r="W360" s="14">
        <f>Q360/totals!B$2</f>
        <v>0.0005571332211</v>
      </c>
      <c r="X360" s="14">
        <f t="shared" si="9"/>
        <v>0.264092399</v>
      </c>
      <c r="Y360" s="14">
        <f>T360/totals!B$5</f>
        <v>0.000908159481</v>
      </c>
      <c r="Z360" s="14">
        <f t="shared" si="10"/>
        <v>0.2737727092</v>
      </c>
      <c r="AA360" s="14">
        <f>V360/totals!B$4</f>
        <v>0.002078009379</v>
      </c>
      <c r="AB360" s="14">
        <f t="shared" si="11"/>
        <v>0.2795454645</v>
      </c>
    </row>
    <row r="361">
      <c r="A361" s="7">
        <v>5988.0</v>
      </c>
      <c r="B361" s="7" t="str">
        <f>VLOOKUP($A361,product_category,2, False)</f>
        <v>Vegetables</v>
      </c>
      <c r="C361" s="7">
        <v>3.46498763E8</v>
      </c>
      <c r="D361" s="9">
        <v>40620.0</v>
      </c>
      <c r="E361" s="10">
        <f t="shared" si="1"/>
        <v>3</v>
      </c>
      <c r="F361" s="10" t="str">
        <f t="shared" si="2"/>
        <v>Mar</v>
      </c>
      <c r="G361" s="11">
        <f t="shared" si="3"/>
        <v>18</v>
      </c>
      <c r="H361" s="7">
        <f t="shared" si="4"/>
        <v>2011</v>
      </c>
      <c r="I361" s="9">
        <v>40635.0</v>
      </c>
      <c r="J361" s="11">
        <f t="shared" si="5"/>
        <v>15</v>
      </c>
      <c r="K361" s="7" t="s">
        <v>322</v>
      </c>
      <c r="L361" s="7" t="s">
        <v>505</v>
      </c>
      <c r="M361" s="7" t="str">
        <f>VLOOKUP(L361,countries, 2,false)</f>
        <v>Monaco</v>
      </c>
      <c r="N361" s="7" t="str">
        <f>VLOOKUP(L361,countries, 4,false)</f>
        <v>Europe</v>
      </c>
      <c r="O361" s="7" t="str">
        <f>VLOOKUP(L361,countries, 5,false)</f>
        <v>Western Europe</v>
      </c>
      <c r="P361" s="7" t="s">
        <v>129</v>
      </c>
      <c r="Q361" s="7">
        <v>5539.0</v>
      </c>
      <c r="R361" s="12">
        <v>154.06</v>
      </c>
      <c r="S361" s="12">
        <v>90.93</v>
      </c>
      <c r="T361" s="13">
        <f t="shared" si="6"/>
        <v>853338.34</v>
      </c>
      <c r="U361" s="13">
        <f t="shared" si="7"/>
        <v>1107302.65</v>
      </c>
      <c r="V361" s="13">
        <f t="shared" si="8"/>
        <v>-253964.31</v>
      </c>
      <c r="W361" s="14">
        <f>Q361/totals!B$2</f>
        <v>0.0008422382401</v>
      </c>
      <c r="X361" s="14">
        <f t="shared" si="9"/>
        <v>0.2649346372</v>
      </c>
      <c r="Y361" s="14">
        <f>T361/totals!B$5</f>
        <v>0.0005013357597</v>
      </c>
      <c r="Z361" s="14">
        <f t="shared" si="10"/>
        <v>0.2742740449</v>
      </c>
      <c r="AA361" s="14">
        <f>V361/totals!B$4</f>
        <v>-0.000506398708</v>
      </c>
      <c r="AB361" s="14">
        <f t="shared" si="11"/>
        <v>0.2790390658</v>
      </c>
    </row>
    <row r="362">
      <c r="A362" s="7">
        <v>8293.0</v>
      </c>
      <c r="B362" s="7" t="str">
        <f>VLOOKUP($A362,product_category,2, False)</f>
        <v>Cosmetics</v>
      </c>
      <c r="C362" s="7">
        <v>3.47609412E8</v>
      </c>
      <c r="D362" s="9">
        <v>41892.0</v>
      </c>
      <c r="E362" s="10">
        <f t="shared" si="1"/>
        <v>9</v>
      </c>
      <c r="F362" s="10" t="str">
        <f t="shared" si="2"/>
        <v>Sep</v>
      </c>
      <c r="G362" s="11">
        <f t="shared" si="3"/>
        <v>10</v>
      </c>
      <c r="H362" s="7">
        <f t="shared" si="4"/>
        <v>2014</v>
      </c>
      <c r="I362" s="9">
        <v>41899.0</v>
      </c>
      <c r="J362" s="11">
        <f t="shared" si="5"/>
        <v>7</v>
      </c>
      <c r="K362" s="7" t="s">
        <v>198</v>
      </c>
      <c r="L362" s="7" t="s">
        <v>705</v>
      </c>
      <c r="M362" s="7" t="str">
        <f>VLOOKUP(L362,countries, 2,false)</f>
        <v>Switzerland</v>
      </c>
      <c r="N362" s="7" t="str">
        <f>VLOOKUP(L362,countries, 4,false)</f>
        <v>Europe</v>
      </c>
      <c r="O362" s="7" t="str">
        <f>VLOOKUP(L362,countries, 5,false)</f>
        <v>Western Europe</v>
      </c>
      <c r="P362" s="7" t="s">
        <v>212</v>
      </c>
      <c r="Q362" s="7">
        <v>4205.0</v>
      </c>
      <c r="R362" s="12">
        <v>437.2</v>
      </c>
      <c r="S362" s="12">
        <v>263.33</v>
      </c>
      <c r="T362" s="13">
        <f t="shared" si="6"/>
        <v>1838426</v>
      </c>
      <c r="U362" s="13">
        <f t="shared" si="7"/>
        <v>355266.24</v>
      </c>
      <c r="V362" s="13">
        <f t="shared" si="8"/>
        <v>1483159.76</v>
      </c>
      <c r="W362" s="14">
        <f>Q362/totals!B$2</f>
        <v>0.0006393955226</v>
      </c>
      <c r="X362" s="14">
        <f t="shared" si="9"/>
        <v>0.2655740327</v>
      </c>
      <c r="Y362" s="14">
        <f>T362/totals!B$5</f>
        <v>0.001080074165</v>
      </c>
      <c r="Z362" s="14">
        <f t="shared" si="10"/>
        <v>0.2753541191</v>
      </c>
      <c r="AA362" s="14">
        <f>V362/totals!B$4</f>
        <v>0.002957384784</v>
      </c>
      <c r="AB362" s="14">
        <f t="shared" si="11"/>
        <v>0.2819964506</v>
      </c>
    </row>
    <row r="363">
      <c r="A363" s="7">
        <v>8969.0</v>
      </c>
      <c r="B363" s="7" t="str">
        <f>VLOOKUP($A363,product_category,2, False)</f>
        <v>Snacks</v>
      </c>
      <c r="C363" s="7">
        <v>3.48080623E8</v>
      </c>
      <c r="D363" s="9">
        <v>40301.0</v>
      </c>
      <c r="E363" s="10">
        <f t="shared" si="1"/>
        <v>5</v>
      </c>
      <c r="F363" s="10" t="str">
        <f t="shared" si="2"/>
        <v>May</v>
      </c>
      <c r="G363" s="11">
        <f t="shared" si="3"/>
        <v>3</v>
      </c>
      <c r="H363" s="7">
        <f t="shared" si="4"/>
        <v>2010</v>
      </c>
      <c r="I363" s="9">
        <v>40317.0</v>
      </c>
      <c r="J363" s="11">
        <f t="shared" si="5"/>
        <v>16</v>
      </c>
      <c r="K363" s="7" t="s">
        <v>110</v>
      </c>
      <c r="L363" s="7" t="s">
        <v>56</v>
      </c>
      <c r="M363" s="7" t="str">
        <f>VLOOKUP(L363,countries, 2,false)</f>
        <v>Andorra</v>
      </c>
      <c r="N363" s="7" t="str">
        <f>VLOOKUP(L363,countries, 4,false)</f>
        <v>Europe</v>
      </c>
      <c r="O363" s="7" t="str">
        <f>VLOOKUP(L363,countries, 5,false)</f>
        <v>Southern Europe</v>
      </c>
      <c r="P363" s="7" t="s">
        <v>129</v>
      </c>
      <c r="Q363" s="7">
        <v>3646.0</v>
      </c>
      <c r="R363" s="12">
        <v>152.58</v>
      </c>
      <c r="S363" s="12">
        <v>97.44</v>
      </c>
      <c r="T363" s="13">
        <f t="shared" si="6"/>
        <v>556306.68</v>
      </c>
      <c r="U363" s="13">
        <f t="shared" si="7"/>
        <v>570404.76</v>
      </c>
      <c r="V363" s="13">
        <f t="shared" si="8"/>
        <v>-14098.08</v>
      </c>
      <c r="W363" s="14">
        <f>Q363/totals!B$2</f>
        <v>0.000554396213</v>
      </c>
      <c r="X363" s="14">
        <f t="shared" si="9"/>
        <v>0.2661284289</v>
      </c>
      <c r="Y363" s="14">
        <f>T363/totals!B$5</f>
        <v>0.0003268298387</v>
      </c>
      <c r="Z363" s="14">
        <f t="shared" si="10"/>
        <v>0.2756809489</v>
      </c>
      <c r="AA363" s="14">
        <f>V363/totals!B$4</f>
        <v>-0.00002811123144</v>
      </c>
      <c r="AB363" s="14">
        <f t="shared" si="11"/>
        <v>0.2819683393</v>
      </c>
    </row>
    <row r="364">
      <c r="A364" s="7">
        <v>7331.0</v>
      </c>
      <c r="B364" s="7" t="str">
        <f>VLOOKUP($A364,product_category,2, False)</f>
        <v>Baby Food</v>
      </c>
      <c r="C364" s="7">
        <v>3.4906038E8</v>
      </c>
      <c r="D364" s="9">
        <v>42629.0</v>
      </c>
      <c r="E364" s="10">
        <f t="shared" si="1"/>
        <v>9</v>
      </c>
      <c r="F364" s="10" t="str">
        <f t="shared" si="2"/>
        <v>Sep</v>
      </c>
      <c r="G364" s="11">
        <f t="shared" si="3"/>
        <v>16</v>
      </c>
      <c r="H364" s="7">
        <f t="shared" si="4"/>
        <v>2016</v>
      </c>
      <c r="I364" s="9">
        <v>42641.0</v>
      </c>
      <c r="J364" s="11">
        <f t="shared" si="5"/>
        <v>12</v>
      </c>
      <c r="K364" s="7" t="s">
        <v>382</v>
      </c>
      <c r="L364" s="7" t="s">
        <v>460</v>
      </c>
      <c r="M364" s="7" t="str">
        <f>VLOOKUP(L364,countries, 2,false)</f>
        <v>Macedonia</v>
      </c>
      <c r="N364" s="7" t="str">
        <f>VLOOKUP(L364,countries, 4,false)</f>
        <v>Europe</v>
      </c>
      <c r="O364" s="7" t="str">
        <f>VLOOKUP(L364,countries, 5,false)</f>
        <v>Southern Europe</v>
      </c>
      <c r="P364" s="7" t="s">
        <v>129</v>
      </c>
      <c r="Q364" s="7">
        <v>3578.0</v>
      </c>
      <c r="R364" s="12">
        <v>255.28</v>
      </c>
      <c r="S364" s="12">
        <v>159.42</v>
      </c>
      <c r="T364" s="13">
        <f t="shared" si="6"/>
        <v>913391.84</v>
      </c>
      <c r="U364" s="13">
        <f t="shared" si="7"/>
        <v>3158944.78</v>
      </c>
      <c r="V364" s="13">
        <f t="shared" si="8"/>
        <v>-2245552.94</v>
      </c>
      <c r="W364" s="14">
        <f>Q364/totals!B$2</f>
        <v>0.0005440564043</v>
      </c>
      <c r="X364" s="14">
        <f t="shared" si="9"/>
        <v>0.2666724853</v>
      </c>
      <c r="Y364" s="14">
        <f>T364/totals!B$5</f>
        <v>0.0005366171547</v>
      </c>
      <c r="Z364" s="14">
        <f t="shared" si="10"/>
        <v>0.2762175661</v>
      </c>
      <c r="AA364" s="14">
        <f>V364/totals!B$4</f>
        <v>-0.004477578395</v>
      </c>
      <c r="AB364" s="14">
        <f t="shared" si="11"/>
        <v>0.277490761</v>
      </c>
    </row>
    <row r="365">
      <c r="A365" s="7">
        <v>8875.0</v>
      </c>
      <c r="B365" s="7" t="str">
        <f>VLOOKUP($A365,product_category,2, False)</f>
        <v>Meat</v>
      </c>
      <c r="C365" s="7">
        <v>3.49212729E8</v>
      </c>
      <c r="D365" s="9">
        <v>42578.0</v>
      </c>
      <c r="E365" s="10">
        <f t="shared" si="1"/>
        <v>7</v>
      </c>
      <c r="F365" s="10" t="str">
        <f t="shared" si="2"/>
        <v>Jul</v>
      </c>
      <c r="G365" s="11">
        <f t="shared" si="3"/>
        <v>27</v>
      </c>
      <c r="H365" s="7">
        <f t="shared" si="4"/>
        <v>2016</v>
      </c>
      <c r="I365" s="9">
        <v>42624.0</v>
      </c>
      <c r="J365" s="11">
        <f t="shared" si="5"/>
        <v>46</v>
      </c>
      <c r="K365" s="7" t="s">
        <v>198</v>
      </c>
      <c r="L365" s="7" t="s">
        <v>155</v>
      </c>
      <c r="M365" s="7" t="str">
        <f>VLOOKUP(L365,countries, 2,false)</f>
        <v>Bulgaria</v>
      </c>
      <c r="N365" s="7" t="str">
        <f>VLOOKUP(L365,countries, 4,false)</f>
        <v>Europe</v>
      </c>
      <c r="O365" s="7" t="str">
        <f>VLOOKUP(L365,countries, 5,false)</f>
        <v>Eastern Europe</v>
      </c>
      <c r="P365" s="7" t="s">
        <v>129</v>
      </c>
      <c r="Q365" s="7">
        <v>8662.0</v>
      </c>
      <c r="R365" s="12">
        <v>421.89</v>
      </c>
      <c r="S365" s="12">
        <v>364.69</v>
      </c>
      <c r="T365" s="13">
        <f t="shared" si="6"/>
        <v>3654411.18</v>
      </c>
      <c r="U365" s="13">
        <f t="shared" si="7"/>
        <v>1187091.64</v>
      </c>
      <c r="V365" s="13">
        <f t="shared" si="8"/>
        <v>2467319.54</v>
      </c>
      <c r="W365" s="14">
        <f>Q365/totals!B$2</f>
        <v>0.00131710916</v>
      </c>
      <c r="X365" s="14">
        <f t="shared" si="9"/>
        <v>0.2679895945</v>
      </c>
      <c r="Y365" s="14">
        <f>T365/totals!B$5</f>
        <v>0.002146964363</v>
      </c>
      <c r="Z365" s="14">
        <f t="shared" si="10"/>
        <v>0.2783645305</v>
      </c>
      <c r="AA365" s="14">
        <f>V365/totals!B$4</f>
        <v>0.004919775646</v>
      </c>
      <c r="AB365" s="14">
        <f t="shared" si="11"/>
        <v>0.2824105366</v>
      </c>
    </row>
    <row r="366">
      <c r="A366" s="7">
        <v>8293.0</v>
      </c>
      <c r="B366" s="7" t="str">
        <f>VLOOKUP($A366,product_category,2, False)</f>
        <v>Cosmetics</v>
      </c>
      <c r="C366" s="7">
        <v>3.50550401E8</v>
      </c>
      <c r="D366" s="9">
        <v>40993.0</v>
      </c>
      <c r="E366" s="10">
        <f t="shared" si="1"/>
        <v>3</v>
      </c>
      <c r="F366" s="10" t="str">
        <f t="shared" si="2"/>
        <v>Mar</v>
      </c>
      <c r="G366" s="11">
        <f t="shared" si="3"/>
        <v>25</v>
      </c>
      <c r="H366" s="7">
        <f t="shared" si="4"/>
        <v>2012</v>
      </c>
      <c r="I366" s="9">
        <v>41021.0</v>
      </c>
      <c r="J366" s="11">
        <f t="shared" si="5"/>
        <v>28</v>
      </c>
      <c r="K366" s="7" t="s">
        <v>382</v>
      </c>
      <c r="L366" s="7" t="s">
        <v>200</v>
      </c>
      <c r="M366" s="7" t="str">
        <f>VLOOKUP(L366,countries, 2,false)</f>
        <v>Serbia</v>
      </c>
      <c r="N366" s="7" t="str">
        <f>VLOOKUP(L366,countries, 4,false)</f>
        <v>Europe</v>
      </c>
      <c r="O366" s="7" t="str">
        <f>VLOOKUP(L366,countries, 5,false)</f>
        <v>Southern Europe</v>
      </c>
      <c r="P366" s="7" t="s">
        <v>129</v>
      </c>
      <c r="Q366" s="7">
        <v>4508.0</v>
      </c>
      <c r="R366" s="12">
        <v>437.2</v>
      </c>
      <c r="S366" s="12">
        <v>263.33</v>
      </c>
      <c r="T366" s="13">
        <f t="shared" si="6"/>
        <v>1970897.6</v>
      </c>
      <c r="U366" s="13">
        <f t="shared" si="7"/>
        <v>228833.77</v>
      </c>
      <c r="V366" s="13">
        <f t="shared" si="8"/>
        <v>1742063.83</v>
      </c>
      <c r="W366" s="14">
        <f>Q366/totals!B$2</f>
        <v>0.0006854684937</v>
      </c>
      <c r="X366" s="14">
        <f t="shared" si="9"/>
        <v>0.268675063</v>
      </c>
      <c r="Y366" s="14">
        <f>T366/totals!B$5</f>
        <v>0.00115790115</v>
      </c>
      <c r="Z366" s="14">
        <f t="shared" si="10"/>
        <v>0.2795224316</v>
      </c>
      <c r="AA366" s="14">
        <f>V366/totals!B$4</f>
        <v>0.003473633255</v>
      </c>
      <c r="AB366" s="14">
        <f t="shared" si="11"/>
        <v>0.2858841699</v>
      </c>
    </row>
    <row r="367">
      <c r="A367" s="7">
        <v>8293.0</v>
      </c>
      <c r="B367" s="7" t="str">
        <f>VLOOKUP($A367,product_category,2, False)</f>
        <v>Cosmetics</v>
      </c>
      <c r="C367" s="7">
        <v>3.50977408E8</v>
      </c>
      <c r="D367" s="9">
        <v>40538.0</v>
      </c>
      <c r="E367" s="10">
        <f t="shared" si="1"/>
        <v>12</v>
      </c>
      <c r="F367" s="10" t="str">
        <f t="shared" si="2"/>
        <v>Dec</v>
      </c>
      <c r="G367" s="11">
        <f t="shared" si="3"/>
        <v>26</v>
      </c>
      <c r="H367" s="7">
        <f t="shared" si="4"/>
        <v>2010</v>
      </c>
      <c r="I367" s="9">
        <v>40565.0</v>
      </c>
      <c r="J367" s="11">
        <f t="shared" si="5"/>
        <v>27</v>
      </c>
      <c r="K367" s="7" t="s">
        <v>198</v>
      </c>
      <c r="L367" s="7" t="s">
        <v>460</v>
      </c>
      <c r="M367" s="7" t="str">
        <f>VLOOKUP(L367,countries, 2,false)</f>
        <v>Macedonia</v>
      </c>
      <c r="N367" s="7" t="str">
        <f>VLOOKUP(L367,countries, 4,false)</f>
        <v>Europe</v>
      </c>
      <c r="O367" s="7" t="str">
        <f>VLOOKUP(L367,countries, 5,false)</f>
        <v>Southern Europe</v>
      </c>
      <c r="P367" s="7" t="s">
        <v>129</v>
      </c>
      <c r="Q367" s="7">
        <v>869.0</v>
      </c>
      <c r="R367" s="12">
        <v>437.2</v>
      </c>
      <c r="S367" s="12">
        <v>263.33</v>
      </c>
      <c r="T367" s="13">
        <f t="shared" si="6"/>
        <v>379926.8</v>
      </c>
      <c r="U367" s="13">
        <f t="shared" si="7"/>
        <v>42502.5</v>
      </c>
      <c r="V367" s="13">
        <f t="shared" si="8"/>
        <v>337424.3</v>
      </c>
      <c r="W367" s="14">
        <f>Q367/totals!B$2</f>
        <v>0.0001321366728</v>
      </c>
      <c r="X367" s="14">
        <f t="shared" si="9"/>
        <v>0.2688071997</v>
      </c>
      <c r="Y367" s="14">
        <f>T367/totals!B$5</f>
        <v>0.0002232067657</v>
      </c>
      <c r="Z367" s="14">
        <f t="shared" si="10"/>
        <v>0.2797456384</v>
      </c>
      <c r="AA367" s="14">
        <f>V367/totals!B$4</f>
        <v>0.0006728159148</v>
      </c>
      <c r="AB367" s="14">
        <f t="shared" si="11"/>
        <v>0.2865569858</v>
      </c>
    </row>
    <row r="368">
      <c r="A368" s="7">
        <v>3127.0</v>
      </c>
      <c r="B368" s="7" t="str">
        <f>VLOOKUP($A368,product_category,2, False)</f>
        <v>Personal Care</v>
      </c>
      <c r="C368" s="7">
        <v>3.51247346E8</v>
      </c>
      <c r="D368" s="9">
        <v>42458.0</v>
      </c>
      <c r="E368" s="10">
        <f t="shared" si="1"/>
        <v>3</v>
      </c>
      <c r="F368" s="10" t="str">
        <f t="shared" si="2"/>
        <v>Mar</v>
      </c>
      <c r="G368" s="11">
        <f t="shared" si="3"/>
        <v>29</v>
      </c>
      <c r="H368" s="7">
        <f t="shared" si="4"/>
        <v>2016</v>
      </c>
      <c r="I368" s="9">
        <v>42498.0</v>
      </c>
      <c r="J368" s="11">
        <f t="shared" si="5"/>
        <v>40</v>
      </c>
      <c r="K368" s="7" t="s">
        <v>382</v>
      </c>
      <c r="L368" s="7" t="s">
        <v>505</v>
      </c>
      <c r="M368" s="7" t="str">
        <f>VLOOKUP(L368,countries, 2,false)</f>
        <v>Monaco</v>
      </c>
      <c r="N368" s="7" t="str">
        <f>VLOOKUP(L368,countries, 4,false)</f>
        <v>Europe</v>
      </c>
      <c r="O368" s="7" t="str">
        <f>VLOOKUP(L368,countries, 5,false)</f>
        <v>Western Europe</v>
      </c>
      <c r="P368" s="7" t="s">
        <v>129</v>
      </c>
      <c r="Q368" s="7">
        <v>750.0</v>
      </c>
      <c r="R368" s="12">
        <v>81.73</v>
      </c>
      <c r="S368" s="12">
        <v>56.67</v>
      </c>
      <c r="T368" s="13">
        <f t="shared" si="6"/>
        <v>61297.5</v>
      </c>
      <c r="U368" s="13">
        <f t="shared" si="7"/>
        <v>471999.36</v>
      </c>
      <c r="V368" s="13">
        <f t="shared" si="8"/>
        <v>-410701.86</v>
      </c>
      <c r="W368" s="14">
        <f>Q368/totals!B$2</f>
        <v>0.0001140420076</v>
      </c>
      <c r="X368" s="14">
        <f t="shared" si="9"/>
        <v>0.2689212417</v>
      </c>
      <c r="Y368" s="14">
        <f>T368/totals!B$5</f>
        <v>0.00003601224425</v>
      </c>
      <c r="Z368" s="14">
        <f t="shared" si="10"/>
        <v>0.2797816506</v>
      </c>
      <c r="AA368" s="14">
        <f>V368/totals!B$4</f>
        <v>-0.0008189296018</v>
      </c>
      <c r="AB368" s="14">
        <f t="shared" si="11"/>
        <v>0.2857380562</v>
      </c>
    </row>
    <row r="369">
      <c r="A369" s="7">
        <v>8969.0</v>
      </c>
      <c r="B369" s="7" t="str">
        <f>VLOOKUP($A369,product_category,2, False)</f>
        <v>Snacks</v>
      </c>
      <c r="C369" s="7">
        <v>3.52342545E8</v>
      </c>
      <c r="D369" s="9">
        <v>42785.0</v>
      </c>
      <c r="E369" s="10">
        <f t="shared" si="1"/>
        <v>2</v>
      </c>
      <c r="F369" s="10" t="str">
        <f t="shared" si="2"/>
        <v>Feb</v>
      </c>
      <c r="G369" s="11">
        <f t="shared" si="3"/>
        <v>19</v>
      </c>
      <c r="H369" s="7">
        <f t="shared" si="4"/>
        <v>2017</v>
      </c>
      <c r="I369" s="9">
        <v>42821.0</v>
      </c>
      <c r="J369" s="11">
        <f t="shared" si="5"/>
        <v>36</v>
      </c>
      <c r="K369" s="7" t="s">
        <v>110</v>
      </c>
      <c r="L369" s="7" t="s">
        <v>540</v>
      </c>
      <c r="M369" s="7" t="str">
        <f>VLOOKUP(L369,countries, 2,false)</f>
        <v>Spain</v>
      </c>
      <c r="N369" s="7" t="str">
        <f>VLOOKUP(L369,countries, 4,false)</f>
        <v>Europe</v>
      </c>
      <c r="O369" s="7" t="str">
        <f>VLOOKUP(L369,countries, 5,false)</f>
        <v>Southern Europe</v>
      </c>
      <c r="P369" s="7" t="s">
        <v>212</v>
      </c>
      <c r="Q369" s="7">
        <v>4844.0</v>
      </c>
      <c r="R369" s="12">
        <v>152.58</v>
      </c>
      <c r="S369" s="12">
        <v>97.44</v>
      </c>
      <c r="T369" s="13">
        <f t="shared" si="6"/>
        <v>739097.52</v>
      </c>
      <c r="U369" s="13">
        <f t="shared" si="7"/>
        <v>221096.96</v>
      </c>
      <c r="V369" s="13">
        <f t="shared" si="8"/>
        <v>518000.56</v>
      </c>
      <c r="W369" s="14">
        <f>Q369/totals!B$2</f>
        <v>0.0007365593131</v>
      </c>
      <c r="X369" s="14">
        <f t="shared" si="9"/>
        <v>0.269657801</v>
      </c>
      <c r="Y369" s="14">
        <f>T369/totals!B$5</f>
        <v>0.0004342193469</v>
      </c>
      <c r="Z369" s="14">
        <f t="shared" si="10"/>
        <v>0.28021587</v>
      </c>
      <c r="AA369" s="14">
        <f>V369/totals!B$4</f>
        <v>0.001032880621</v>
      </c>
      <c r="AB369" s="14">
        <f t="shared" si="11"/>
        <v>0.2867709368</v>
      </c>
    </row>
    <row r="370">
      <c r="A370" s="7">
        <v>2455.0</v>
      </c>
      <c r="B370" s="7" t="str">
        <f>VLOOKUP($A370,product_category,2, False)</f>
        <v>Clothes</v>
      </c>
      <c r="C370" s="7">
        <v>3.5319184E8</v>
      </c>
      <c r="D370" s="9">
        <v>41433.0</v>
      </c>
      <c r="E370" s="10">
        <f t="shared" si="1"/>
        <v>6</v>
      </c>
      <c r="F370" s="10" t="str">
        <f t="shared" si="2"/>
        <v>Jun</v>
      </c>
      <c r="G370" s="11">
        <f t="shared" si="3"/>
        <v>8</v>
      </c>
      <c r="H370" s="7">
        <f t="shared" si="4"/>
        <v>2013</v>
      </c>
      <c r="I370" s="9">
        <v>41464.0</v>
      </c>
      <c r="J370" s="11">
        <f t="shared" si="5"/>
        <v>31</v>
      </c>
      <c r="K370" s="7" t="s">
        <v>382</v>
      </c>
      <c r="L370" s="7" t="s">
        <v>264</v>
      </c>
      <c r="M370" s="7" t="str">
        <f>VLOOKUP(L370,countries, 2,false)</f>
        <v>Estonia</v>
      </c>
      <c r="N370" s="7" t="str">
        <f>VLOOKUP(L370,countries, 4,false)</f>
        <v>Europe</v>
      </c>
      <c r="O370" s="7" t="str">
        <f>VLOOKUP(L370,countries, 5,false)</f>
        <v>Northern Europe</v>
      </c>
      <c r="P370" s="7" t="s">
        <v>212</v>
      </c>
      <c r="Q370" s="7">
        <v>6169.0</v>
      </c>
      <c r="R370" s="12">
        <v>109.28</v>
      </c>
      <c r="S370" s="12">
        <v>35.84</v>
      </c>
      <c r="T370" s="13">
        <f t="shared" si="6"/>
        <v>674148.32</v>
      </c>
      <c r="U370" s="13">
        <f t="shared" si="7"/>
        <v>1090449.53</v>
      </c>
      <c r="V370" s="13">
        <f t="shared" si="8"/>
        <v>-416301.21</v>
      </c>
      <c r="W370" s="14">
        <f>Q370/totals!B$2</f>
        <v>0.0009380335265</v>
      </c>
      <c r="X370" s="14">
        <f t="shared" si="9"/>
        <v>0.2705958345</v>
      </c>
      <c r="Y370" s="14">
        <f>T370/totals!B$5</f>
        <v>0.0003960617311</v>
      </c>
      <c r="Z370" s="14">
        <f t="shared" si="10"/>
        <v>0.2806119317</v>
      </c>
      <c r="AA370" s="14">
        <f>V370/totals!B$4</f>
        <v>-0.0008300945707</v>
      </c>
      <c r="AB370" s="14">
        <f t="shared" si="11"/>
        <v>0.2859408422</v>
      </c>
    </row>
    <row r="371">
      <c r="A371" s="7">
        <v>8293.0</v>
      </c>
      <c r="B371" s="7" t="str">
        <f>VLOOKUP($A371,product_category,2, False)</f>
        <v>Cosmetics</v>
      </c>
      <c r="C371" s="7">
        <v>3.53320157E8</v>
      </c>
      <c r="D371" s="9">
        <v>41140.0</v>
      </c>
      <c r="E371" s="10">
        <f t="shared" si="1"/>
        <v>8</v>
      </c>
      <c r="F371" s="10" t="str">
        <f t="shared" si="2"/>
        <v>Aug</v>
      </c>
      <c r="G371" s="11">
        <f t="shared" si="3"/>
        <v>19</v>
      </c>
      <c r="H371" s="7">
        <f t="shared" si="4"/>
        <v>2012</v>
      </c>
      <c r="I371" s="9">
        <v>41143.0</v>
      </c>
      <c r="J371" s="11">
        <f t="shared" si="5"/>
        <v>3</v>
      </c>
      <c r="K371" s="7" t="s">
        <v>322</v>
      </c>
      <c r="L371" s="7" t="s">
        <v>323</v>
      </c>
      <c r="M371" s="7" t="str">
        <f>VLOOKUP(L371,countries, 2,false)</f>
        <v>Montenegro</v>
      </c>
      <c r="N371" s="7" t="str">
        <f>VLOOKUP(L371,countries, 4,false)</f>
        <v>Europe</v>
      </c>
      <c r="O371" s="7" t="str">
        <f>VLOOKUP(L371,countries, 5,false)</f>
        <v>Southern Europe</v>
      </c>
      <c r="P371" s="7" t="s">
        <v>212</v>
      </c>
      <c r="Q371" s="7">
        <v>4141.0</v>
      </c>
      <c r="R371" s="12">
        <v>437.2</v>
      </c>
      <c r="S371" s="12">
        <v>263.33</v>
      </c>
      <c r="T371" s="13">
        <f t="shared" si="6"/>
        <v>1810445.2</v>
      </c>
      <c r="U371" s="13">
        <f t="shared" si="7"/>
        <v>1474612.64</v>
      </c>
      <c r="V371" s="13">
        <f t="shared" si="8"/>
        <v>335832.56</v>
      </c>
      <c r="W371" s="14">
        <f>Q371/totals!B$2</f>
        <v>0.000629663938</v>
      </c>
      <c r="X371" s="14">
        <f t="shared" si="9"/>
        <v>0.2712254985</v>
      </c>
      <c r="Y371" s="14">
        <f>T371/totals!B$5</f>
        <v>0.001063635462</v>
      </c>
      <c r="Z371" s="14">
        <f t="shared" si="10"/>
        <v>0.2816755672</v>
      </c>
      <c r="AA371" s="14">
        <f>V371/totals!B$4</f>
        <v>0.0006696420236</v>
      </c>
      <c r="AB371" s="14">
        <f t="shared" si="11"/>
        <v>0.2866104842</v>
      </c>
    </row>
    <row r="372">
      <c r="A372" s="7">
        <v>8681.0</v>
      </c>
      <c r="B372" s="7" t="str">
        <f>VLOOKUP($A372,product_category,2, False)</f>
        <v>Office Supplies</v>
      </c>
      <c r="C372" s="7">
        <v>3.53383243E8</v>
      </c>
      <c r="D372" s="9">
        <v>41774.0</v>
      </c>
      <c r="E372" s="10">
        <f t="shared" si="1"/>
        <v>5</v>
      </c>
      <c r="F372" s="10" t="str">
        <f t="shared" si="2"/>
        <v>May</v>
      </c>
      <c r="G372" s="11">
        <f t="shared" si="3"/>
        <v>15</v>
      </c>
      <c r="H372" s="7">
        <f t="shared" si="4"/>
        <v>2014</v>
      </c>
      <c r="I372" s="9">
        <v>41799.0</v>
      </c>
      <c r="J372" s="11">
        <f t="shared" si="5"/>
        <v>25</v>
      </c>
      <c r="K372" s="7" t="s">
        <v>322</v>
      </c>
      <c r="L372" s="7" t="e">
        <v>#N/A</v>
      </c>
      <c r="M372" s="7"/>
      <c r="N372" s="7"/>
      <c r="O372" s="7"/>
      <c r="P372" s="7" t="s">
        <v>129</v>
      </c>
      <c r="Q372" s="7">
        <v>2809.0</v>
      </c>
      <c r="R372" s="12">
        <v>651.21</v>
      </c>
      <c r="S372" s="12">
        <v>524.96</v>
      </c>
      <c r="T372" s="13">
        <f t="shared" si="6"/>
        <v>1829248.89</v>
      </c>
      <c r="U372" s="13">
        <f t="shared" si="7"/>
        <v>132267.78</v>
      </c>
      <c r="V372" s="13">
        <f t="shared" si="8"/>
        <v>1696981.11</v>
      </c>
      <c r="W372" s="14">
        <f>Q372/totals!B$2</f>
        <v>0.0004271253325</v>
      </c>
      <c r="X372" s="14">
        <f t="shared" si="9"/>
        <v>0.2716526238</v>
      </c>
      <c r="Y372" s="14">
        <f>T372/totals!B$5</f>
        <v>0.001074682619</v>
      </c>
      <c r="Z372" s="14">
        <f t="shared" si="10"/>
        <v>0.2827502498</v>
      </c>
      <c r="AA372" s="14">
        <f>V372/totals!B$4</f>
        <v>0.003383739398</v>
      </c>
      <c r="AB372" s="14">
        <f t="shared" si="11"/>
        <v>0.2899942236</v>
      </c>
    </row>
    <row r="373">
      <c r="A373" s="7">
        <v>3127.0</v>
      </c>
      <c r="B373" s="7" t="str">
        <f>VLOOKUP($A373,product_category,2, False)</f>
        <v>Personal Care</v>
      </c>
      <c r="C373" s="7">
        <v>3.53415429E8</v>
      </c>
      <c r="D373" s="9">
        <v>40516.0</v>
      </c>
      <c r="E373" s="10">
        <f t="shared" si="1"/>
        <v>12</v>
      </c>
      <c r="F373" s="10" t="str">
        <f t="shared" si="2"/>
        <v>Dec</v>
      </c>
      <c r="G373" s="11">
        <f t="shared" si="3"/>
        <v>4</v>
      </c>
      <c r="H373" s="7">
        <f t="shared" si="4"/>
        <v>2010</v>
      </c>
      <c r="I373" s="9">
        <v>40520.0</v>
      </c>
      <c r="J373" s="11">
        <f t="shared" si="5"/>
        <v>4</v>
      </c>
      <c r="K373" s="7" t="s">
        <v>110</v>
      </c>
      <c r="L373" s="7" t="s">
        <v>234</v>
      </c>
      <c r="M373" s="7" t="str">
        <f>VLOOKUP(L373,countries, 2,false)</f>
        <v>Czech Republic</v>
      </c>
      <c r="N373" s="7" t="str">
        <f>VLOOKUP(L373,countries, 4,false)</f>
        <v>Europe</v>
      </c>
      <c r="O373" s="7" t="str">
        <f>VLOOKUP(L373,countries, 5,false)</f>
        <v>Eastern Europe</v>
      </c>
      <c r="P373" s="7" t="s">
        <v>129</v>
      </c>
      <c r="Q373" s="7">
        <v>2334.0</v>
      </c>
      <c r="R373" s="12">
        <v>81.73</v>
      </c>
      <c r="S373" s="12">
        <v>56.67</v>
      </c>
      <c r="T373" s="13">
        <f t="shared" si="6"/>
        <v>190757.82</v>
      </c>
      <c r="U373" s="13">
        <f t="shared" si="7"/>
        <v>13600.8</v>
      </c>
      <c r="V373" s="13">
        <f t="shared" si="8"/>
        <v>177157.02</v>
      </c>
      <c r="W373" s="14">
        <f>Q373/totals!B$2</f>
        <v>0.0003548987277</v>
      </c>
      <c r="X373" s="14">
        <f t="shared" si="9"/>
        <v>0.2720075225</v>
      </c>
      <c r="Y373" s="14">
        <f>T373/totals!B$5</f>
        <v>0.0001120701041</v>
      </c>
      <c r="Z373" s="14">
        <f t="shared" si="10"/>
        <v>0.2828623199</v>
      </c>
      <c r="AA373" s="14">
        <f>V373/totals!B$4</f>
        <v>0.0003532468245</v>
      </c>
      <c r="AB373" s="14">
        <f t="shared" si="11"/>
        <v>0.2903474705</v>
      </c>
    </row>
    <row r="374">
      <c r="A374" s="7">
        <v>3127.0</v>
      </c>
      <c r="B374" s="7" t="str">
        <f>VLOOKUP($A374,product_category,2, False)</f>
        <v>Personal Care</v>
      </c>
      <c r="C374" s="7">
        <v>3.5347594E8</v>
      </c>
      <c r="D374" s="9">
        <v>41914.0</v>
      </c>
      <c r="E374" s="10">
        <f t="shared" si="1"/>
        <v>10</v>
      </c>
      <c r="F374" s="10" t="str">
        <f t="shared" si="2"/>
        <v>Oct</v>
      </c>
      <c r="G374" s="11">
        <f t="shared" si="3"/>
        <v>2</v>
      </c>
      <c r="H374" s="7">
        <f t="shared" si="4"/>
        <v>2014</v>
      </c>
      <c r="I374" s="9">
        <v>41916.0</v>
      </c>
      <c r="J374" s="11">
        <f t="shared" si="5"/>
        <v>2</v>
      </c>
      <c r="K374" s="7" t="s">
        <v>382</v>
      </c>
      <c r="L374" s="7" t="s">
        <v>534</v>
      </c>
      <c r="M374" s="7" t="str">
        <f>VLOOKUP(L374,countries, 2,false)</f>
        <v>Netherlands</v>
      </c>
      <c r="N374" s="7" t="str">
        <f>VLOOKUP(L374,countries, 4,false)</f>
        <v>Europe</v>
      </c>
      <c r="O374" s="7" t="str">
        <f>VLOOKUP(L374,countries, 5,false)</f>
        <v>Western Europe</v>
      </c>
      <c r="P374" s="7" t="s">
        <v>212</v>
      </c>
      <c r="Q374" s="7">
        <v>240.0</v>
      </c>
      <c r="R374" s="12">
        <v>81.73</v>
      </c>
      <c r="S374" s="12">
        <v>56.67</v>
      </c>
      <c r="T374" s="13">
        <f t="shared" si="6"/>
        <v>19615.2</v>
      </c>
      <c r="U374" s="13">
        <f t="shared" si="7"/>
        <v>35935.56</v>
      </c>
      <c r="V374" s="13">
        <f t="shared" si="8"/>
        <v>-16320.36</v>
      </c>
      <c r="W374" s="14">
        <f>Q374/totals!B$2</f>
        <v>0.00003649344243</v>
      </c>
      <c r="X374" s="14">
        <f t="shared" si="9"/>
        <v>0.272044016</v>
      </c>
      <c r="Y374" s="14">
        <f>T374/totals!B$5</f>
        <v>0.00001152391816</v>
      </c>
      <c r="Z374" s="14">
        <f t="shared" si="10"/>
        <v>0.2828738438</v>
      </c>
      <c r="AA374" s="14">
        <f>V374/totals!B$4</f>
        <v>-0.00003254240416</v>
      </c>
      <c r="AB374" s="14">
        <f t="shared" si="11"/>
        <v>0.2903149281</v>
      </c>
    </row>
    <row r="375">
      <c r="A375" s="7">
        <v>4594.0</v>
      </c>
      <c r="B375" s="7" t="str">
        <f>VLOOKUP($A375,product_category,2, False)</f>
        <v>Fruits</v>
      </c>
      <c r="C375" s="7">
        <v>3.53492677E8</v>
      </c>
      <c r="D375" s="9">
        <v>42477.0</v>
      </c>
      <c r="E375" s="10">
        <f t="shared" si="1"/>
        <v>4</v>
      </c>
      <c r="F375" s="10" t="str">
        <f t="shared" si="2"/>
        <v>Apr</v>
      </c>
      <c r="G375" s="11">
        <f t="shared" si="3"/>
        <v>17</v>
      </c>
      <c r="H375" s="7">
        <f t="shared" si="4"/>
        <v>2016</v>
      </c>
      <c r="I375" s="9">
        <v>42513.0</v>
      </c>
      <c r="J375" s="11">
        <f t="shared" si="5"/>
        <v>36</v>
      </c>
      <c r="K375" s="7" t="s">
        <v>198</v>
      </c>
      <c r="L375" s="7" t="s">
        <v>364</v>
      </c>
      <c r="M375" s="7" t="str">
        <f>VLOOKUP(L375,countries, 2,false)</f>
        <v>Hungary</v>
      </c>
      <c r="N375" s="7" t="str">
        <f>VLOOKUP(L375,countries, 4,false)</f>
        <v>Europe</v>
      </c>
      <c r="O375" s="7" t="str">
        <f>VLOOKUP(L375,countries, 5,false)</f>
        <v>Eastern Europe</v>
      </c>
      <c r="P375" s="7" t="s">
        <v>212</v>
      </c>
      <c r="Q375" s="7">
        <v>5193.0</v>
      </c>
      <c r="R375" s="12">
        <v>9.33</v>
      </c>
      <c r="S375" s="12">
        <v>6.92</v>
      </c>
      <c r="T375" s="13">
        <f t="shared" si="6"/>
        <v>48450.69</v>
      </c>
      <c r="U375" s="13">
        <f t="shared" si="7"/>
        <v>482838.3</v>
      </c>
      <c r="V375" s="13">
        <f t="shared" si="8"/>
        <v>-434387.61</v>
      </c>
      <c r="W375" s="14">
        <f>Q375/totals!B$2</f>
        <v>0.0007896268606</v>
      </c>
      <c r="X375" s="14">
        <f t="shared" si="9"/>
        <v>0.2728336428</v>
      </c>
      <c r="Y375" s="14">
        <f>T375/totals!B$5</f>
        <v>0.00002846475113</v>
      </c>
      <c r="Z375" s="14">
        <f t="shared" si="10"/>
        <v>0.2829023086</v>
      </c>
      <c r="AA375" s="14">
        <f>V375/totals!B$4</f>
        <v>-0.000866158416</v>
      </c>
      <c r="AB375" s="14">
        <f t="shared" si="11"/>
        <v>0.2894487696</v>
      </c>
    </row>
    <row r="376">
      <c r="A376" s="7">
        <v>5988.0</v>
      </c>
      <c r="B376" s="7" t="str">
        <f>VLOOKUP($A376,product_category,2, False)</f>
        <v>Vegetables</v>
      </c>
      <c r="C376" s="7">
        <v>3.54270303E8</v>
      </c>
      <c r="D376" s="9">
        <v>41196.0</v>
      </c>
      <c r="E376" s="10">
        <f t="shared" si="1"/>
        <v>10</v>
      </c>
      <c r="F376" s="10" t="str">
        <f t="shared" si="2"/>
        <v>Oct</v>
      </c>
      <c r="G376" s="11">
        <f t="shared" si="3"/>
        <v>14</v>
      </c>
      <c r="H376" s="7">
        <f t="shared" si="4"/>
        <v>2012</v>
      </c>
      <c r="I376" s="9">
        <v>41240.0</v>
      </c>
      <c r="J376" s="11">
        <f t="shared" si="5"/>
        <v>44</v>
      </c>
      <c r="K376" s="7" t="s">
        <v>322</v>
      </c>
      <c r="L376" s="7" t="s">
        <v>642</v>
      </c>
      <c r="M376" s="7" t="str">
        <f>VLOOKUP(L376,countries, 2,false)</f>
        <v>San Marino</v>
      </c>
      <c r="N376" s="7" t="str">
        <f>VLOOKUP(L376,countries, 4,false)</f>
        <v>Europe</v>
      </c>
      <c r="O376" s="7" t="str">
        <f>VLOOKUP(L376,countries, 5,false)</f>
        <v>Southern Europe</v>
      </c>
      <c r="P376" s="7" t="s">
        <v>212</v>
      </c>
      <c r="Q376" s="7">
        <v>5310.0</v>
      </c>
      <c r="R376" s="12">
        <v>154.06</v>
      </c>
      <c r="S376" s="12">
        <v>90.93</v>
      </c>
      <c r="T376" s="13">
        <f t="shared" si="6"/>
        <v>818058.6</v>
      </c>
      <c r="U376" s="13">
        <f t="shared" si="7"/>
        <v>297331.87</v>
      </c>
      <c r="V376" s="13">
        <f t="shared" si="8"/>
        <v>520726.73</v>
      </c>
      <c r="W376" s="14">
        <f>Q376/totals!B$2</f>
        <v>0.0008074174138</v>
      </c>
      <c r="X376" s="14">
        <f t="shared" si="9"/>
        <v>0.2736410602</v>
      </c>
      <c r="Y376" s="14">
        <f>T376/totals!B$5</f>
        <v>0.0004806089338</v>
      </c>
      <c r="Z376" s="14">
        <f t="shared" si="10"/>
        <v>0.2833829175</v>
      </c>
      <c r="AA376" s="14">
        <f>V376/totals!B$4</f>
        <v>0.001038316539</v>
      </c>
      <c r="AB376" s="14">
        <f t="shared" si="11"/>
        <v>0.2904870862</v>
      </c>
    </row>
    <row r="377">
      <c r="A377" s="7">
        <v>1270.0</v>
      </c>
      <c r="B377" s="7" t="str">
        <f>VLOOKUP($A377,product_category,2, False)</f>
        <v>Beverages</v>
      </c>
      <c r="C377" s="7">
        <v>3.54655683E8</v>
      </c>
      <c r="D377" s="9">
        <v>41114.0</v>
      </c>
      <c r="E377" s="10">
        <f t="shared" si="1"/>
        <v>7</v>
      </c>
      <c r="F377" s="10" t="str">
        <f t="shared" si="2"/>
        <v>Jul</v>
      </c>
      <c r="G377" s="11">
        <f t="shared" si="3"/>
        <v>24</v>
      </c>
      <c r="H377" s="7">
        <f t="shared" si="4"/>
        <v>2012</v>
      </c>
      <c r="I377" s="9">
        <v>41121.0</v>
      </c>
      <c r="J377" s="11">
        <f t="shared" si="5"/>
        <v>7</v>
      </c>
      <c r="K377" s="7" t="s">
        <v>110</v>
      </c>
      <c r="L377" s="7" t="s">
        <v>460</v>
      </c>
      <c r="M377" s="7" t="str">
        <f>VLOOKUP(L377,countries, 2,false)</f>
        <v>Macedonia</v>
      </c>
      <c r="N377" s="7" t="str">
        <f>VLOOKUP(L377,countries, 4,false)</f>
        <v>Europe</v>
      </c>
      <c r="O377" s="7" t="str">
        <f>VLOOKUP(L377,countries, 5,false)</f>
        <v>Southern Europe</v>
      </c>
      <c r="P377" s="7" t="s">
        <v>212</v>
      </c>
      <c r="Q377" s="7">
        <v>9353.0</v>
      </c>
      <c r="R377" s="12">
        <v>47.45</v>
      </c>
      <c r="S377" s="12">
        <v>31.79</v>
      </c>
      <c r="T377" s="13">
        <f t="shared" si="6"/>
        <v>443799.85</v>
      </c>
      <c r="U377" s="13">
        <f t="shared" si="7"/>
        <v>1526583.68</v>
      </c>
      <c r="V377" s="13">
        <f t="shared" si="8"/>
        <v>-1082783.83</v>
      </c>
      <c r="W377" s="14">
        <f>Q377/totals!B$2</f>
        <v>0.001422179863</v>
      </c>
      <c r="X377" s="14">
        <f t="shared" si="9"/>
        <v>0.2750632401</v>
      </c>
      <c r="Y377" s="14">
        <f>T377/totals!B$5</f>
        <v>0.000260732144</v>
      </c>
      <c r="Z377" s="14">
        <f t="shared" si="10"/>
        <v>0.2836436496</v>
      </c>
      <c r="AA377" s="14">
        <f>V377/totals!B$4</f>
        <v>-0.002159044838</v>
      </c>
      <c r="AB377" s="14">
        <f t="shared" si="11"/>
        <v>0.2883280413</v>
      </c>
    </row>
    <row r="378">
      <c r="A378" s="7">
        <v>8681.0</v>
      </c>
      <c r="B378" s="7" t="str">
        <f>VLOOKUP($A378,product_category,2, False)</f>
        <v>Office Supplies</v>
      </c>
      <c r="C378" s="7">
        <v>3.54667699E8</v>
      </c>
      <c r="D378" s="9">
        <v>41234.0</v>
      </c>
      <c r="E378" s="10">
        <f t="shared" si="1"/>
        <v>11</v>
      </c>
      <c r="F378" s="10" t="str">
        <f t="shared" si="2"/>
        <v>Nov</v>
      </c>
      <c r="G378" s="11">
        <f t="shared" si="3"/>
        <v>21</v>
      </c>
      <c r="H378" s="7">
        <f t="shared" si="4"/>
        <v>2012</v>
      </c>
      <c r="I378" s="9">
        <v>41272.0</v>
      </c>
      <c r="J378" s="11">
        <f t="shared" si="5"/>
        <v>38</v>
      </c>
      <c r="K378" s="7" t="s">
        <v>322</v>
      </c>
      <c r="L378" s="7" t="s">
        <v>222</v>
      </c>
      <c r="M378" s="7" t="str">
        <f>VLOOKUP(L378,countries, 2,false)</f>
        <v>Croatia</v>
      </c>
      <c r="N378" s="7" t="str">
        <f>VLOOKUP(L378,countries, 4,false)</f>
        <v>Europe</v>
      </c>
      <c r="O378" s="7" t="str">
        <f>VLOOKUP(L378,countries, 5,false)</f>
        <v>Southern Europe</v>
      </c>
      <c r="P378" s="7" t="s">
        <v>212</v>
      </c>
      <c r="Q378" s="7">
        <v>2908.0</v>
      </c>
      <c r="R378" s="12">
        <v>651.21</v>
      </c>
      <c r="S378" s="12">
        <v>524.96</v>
      </c>
      <c r="T378" s="13">
        <f t="shared" si="6"/>
        <v>1893718.68</v>
      </c>
      <c r="U378" s="13">
        <f t="shared" si="7"/>
        <v>57293.37</v>
      </c>
      <c r="V378" s="13">
        <f t="shared" si="8"/>
        <v>1836425.31</v>
      </c>
      <c r="W378" s="14">
        <f>Q378/totals!B$2</f>
        <v>0.0004421788775</v>
      </c>
      <c r="X378" s="14">
        <f t="shared" si="9"/>
        <v>0.275505419</v>
      </c>
      <c r="Y378" s="14">
        <f>T378/totals!B$5</f>
        <v>0.001112558582</v>
      </c>
      <c r="Z378" s="14">
        <f t="shared" si="10"/>
        <v>0.2847562082</v>
      </c>
      <c r="AA378" s="14">
        <f>V378/totals!B$4</f>
        <v>0.00366178777</v>
      </c>
      <c r="AB378" s="14">
        <f t="shared" si="11"/>
        <v>0.2919898291</v>
      </c>
    </row>
    <row r="379">
      <c r="A379" s="7">
        <v>3127.0</v>
      </c>
      <c r="B379" s="7" t="str">
        <f>VLOOKUP($A379,product_category,2, False)</f>
        <v>Personal Care</v>
      </c>
      <c r="C379" s="7">
        <v>3.54931628E8</v>
      </c>
      <c r="D379" s="9">
        <v>40328.0</v>
      </c>
      <c r="E379" s="10">
        <f t="shared" si="1"/>
        <v>5</v>
      </c>
      <c r="F379" s="10" t="str">
        <f t="shared" si="2"/>
        <v>May</v>
      </c>
      <c r="G379" s="11">
        <f t="shared" si="3"/>
        <v>30</v>
      </c>
      <c r="H379" s="7">
        <f t="shared" si="4"/>
        <v>2010</v>
      </c>
      <c r="I379" s="9">
        <v>40337.0</v>
      </c>
      <c r="J379" s="11">
        <f t="shared" si="5"/>
        <v>9</v>
      </c>
      <c r="K379" s="7" t="s">
        <v>382</v>
      </c>
      <c r="L379" s="7" t="s">
        <v>383</v>
      </c>
      <c r="M379" s="7" t="str">
        <f>VLOOKUP(L379,countries, 2,false)</f>
        <v>Ireland</v>
      </c>
      <c r="N379" s="7" t="str">
        <f>VLOOKUP(L379,countries, 4,false)</f>
        <v>Europe</v>
      </c>
      <c r="O379" s="7" t="str">
        <f>VLOOKUP(L379,countries, 5,false)</f>
        <v>Northern Europe</v>
      </c>
      <c r="P379" s="7" t="s">
        <v>212</v>
      </c>
      <c r="Q379" s="7">
        <v>1011.0</v>
      </c>
      <c r="R379" s="12">
        <v>81.73</v>
      </c>
      <c r="S379" s="12">
        <v>56.67</v>
      </c>
      <c r="T379" s="13">
        <f t="shared" si="6"/>
        <v>82629.03</v>
      </c>
      <c r="U379" s="13">
        <f t="shared" si="7"/>
        <v>338329.6</v>
      </c>
      <c r="V379" s="13">
        <f t="shared" si="8"/>
        <v>-255700.57</v>
      </c>
      <c r="W379" s="14">
        <f>Q379/totals!B$2</f>
        <v>0.0001537286262</v>
      </c>
      <c r="X379" s="14">
        <f t="shared" si="9"/>
        <v>0.2756591476</v>
      </c>
      <c r="Y379" s="14">
        <f>T379/totals!B$5</f>
        <v>0.00004854450525</v>
      </c>
      <c r="Z379" s="14">
        <f t="shared" si="10"/>
        <v>0.2848047527</v>
      </c>
      <c r="AA379" s="14">
        <f>V379/totals!B$4</f>
        <v>-0.0005098607685</v>
      </c>
      <c r="AB379" s="14">
        <f t="shared" si="11"/>
        <v>0.2914799683</v>
      </c>
    </row>
    <row r="380">
      <c r="A380" s="7">
        <v>2455.0</v>
      </c>
      <c r="B380" s="7" t="str">
        <f>VLOOKUP($A380,product_category,2, False)</f>
        <v>Clothes</v>
      </c>
      <c r="C380" s="7">
        <v>3.55534589E8</v>
      </c>
      <c r="D380" s="9">
        <v>42035.0</v>
      </c>
      <c r="E380" s="10">
        <f t="shared" si="1"/>
        <v>1</v>
      </c>
      <c r="F380" s="10" t="str">
        <f t="shared" si="2"/>
        <v>Jan</v>
      </c>
      <c r="G380" s="11">
        <f t="shared" si="3"/>
        <v>31</v>
      </c>
      <c r="H380" s="7">
        <f t="shared" si="4"/>
        <v>2015</v>
      </c>
      <c r="I380" s="9">
        <v>42041.0</v>
      </c>
      <c r="J380" s="11">
        <f t="shared" si="5"/>
        <v>6</v>
      </c>
      <c r="K380" s="7" t="s">
        <v>382</v>
      </c>
      <c r="L380" s="7" t="s">
        <v>316</v>
      </c>
      <c r="M380" s="7" t="str">
        <f>VLOOKUP(L380,countries, 2,false)</f>
        <v>Greece</v>
      </c>
      <c r="N380" s="7" t="str">
        <f>VLOOKUP(L380,countries, 4,false)</f>
        <v>Europe</v>
      </c>
      <c r="O380" s="7" t="str">
        <f>VLOOKUP(L380,countries, 5,false)</f>
        <v>Southern Europe</v>
      </c>
      <c r="P380" s="7" t="s">
        <v>129</v>
      </c>
      <c r="Q380" s="7">
        <v>9440.0</v>
      </c>
      <c r="R380" s="12">
        <v>109.28</v>
      </c>
      <c r="S380" s="12">
        <v>35.84</v>
      </c>
      <c r="T380" s="13">
        <f t="shared" si="6"/>
        <v>1031603.2</v>
      </c>
      <c r="U380" s="13">
        <f t="shared" si="7"/>
        <v>539951.76</v>
      </c>
      <c r="V380" s="13">
        <f t="shared" si="8"/>
        <v>491651.44</v>
      </c>
      <c r="W380" s="14">
        <f>Q380/totals!B$2</f>
        <v>0.001435408736</v>
      </c>
      <c r="X380" s="14">
        <f t="shared" si="9"/>
        <v>0.2770945563</v>
      </c>
      <c r="Y380" s="14">
        <f>T380/totals!B$5</f>
        <v>0.0006060662574</v>
      </c>
      <c r="Z380" s="14">
        <f t="shared" si="10"/>
        <v>0.285410819</v>
      </c>
      <c r="AA380" s="14">
        <f>V380/totals!B$4</f>
        <v>0.0009803411117</v>
      </c>
      <c r="AB380" s="14">
        <f t="shared" si="11"/>
        <v>0.2924603095</v>
      </c>
    </row>
    <row r="381">
      <c r="A381" s="7">
        <v>3127.0</v>
      </c>
      <c r="B381" s="7" t="str">
        <f>VLOOKUP($A381,product_category,2, False)</f>
        <v>Personal Care</v>
      </c>
      <c r="C381" s="7">
        <v>3.56413495E8</v>
      </c>
      <c r="D381" s="9">
        <v>40190.0</v>
      </c>
      <c r="E381" s="10">
        <f t="shared" si="1"/>
        <v>1</v>
      </c>
      <c r="F381" s="10" t="str">
        <f t="shared" si="2"/>
        <v>Jan</v>
      </c>
      <c r="G381" s="11">
        <f t="shared" si="3"/>
        <v>12</v>
      </c>
      <c r="H381" s="7">
        <f t="shared" si="4"/>
        <v>2010</v>
      </c>
      <c r="I381" s="9">
        <v>40196.0</v>
      </c>
      <c r="J381" s="11">
        <f t="shared" si="5"/>
        <v>6</v>
      </c>
      <c r="K381" s="7" t="s">
        <v>322</v>
      </c>
      <c r="L381" s="7" t="s">
        <v>136</v>
      </c>
      <c r="M381" s="7" t="str">
        <f>VLOOKUP(L381,countries, 2,false)</f>
        <v>Bosnia and Herzegovina</v>
      </c>
      <c r="N381" s="7" t="str">
        <f>VLOOKUP(L381,countries, 4,false)</f>
        <v>Europe</v>
      </c>
      <c r="O381" s="7" t="str">
        <f>VLOOKUP(L381,countries, 5,false)</f>
        <v>Southern Europe</v>
      </c>
      <c r="P381" s="7" t="s">
        <v>212</v>
      </c>
      <c r="Q381" s="7">
        <v>9528.0</v>
      </c>
      <c r="R381" s="12">
        <v>81.73</v>
      </c>
      <c r="S381" s="12">
        <v>56.67</v>
      </c>
      <c r="T381" s="13">
        <f t="shared" si="6"/>
        <v>778723.44</v>
      </c>
      <c r="U381" s="13">
        <f t="shared" si="7"/>
        <v>468464.07</v>
      </c>
      <c r="V381" s="13">
        <f t="shared" si="8"/>
        <v>310259.37</v>
      </c>
      <c r="W381" s="14">
        <f>Q381/totals!B$2</f>
        <v>0.001448789665</v>
      </c>
      <c r="X381" s="14">
        <f t="shared" si="9"/>
        <v>0.278543346</v>
      </c>
      <c r="Y381" s="14">
        <f>T381/totals!B$5</f>
        <v>0.000457499551</v>
      </c>
      <c r="Z381" s="14">
        <f t="shared" si="10"/>
        <v>0.2858683185</v>
      </c>
      <c r="AA381" s="14">
        <f>V381/totals!B$4</f>
        <v>0.0006186496997</v>
      </c>
      <c r="AB381" s="14">
        <f t="shared" si="11"/>
        <v>0.2930789592</v>
      </c>
    </row>
    <row r="382">
      <c r="A382" s="7">
        <v>8293.0</v>
      </c>
      <c r="B382" s="7" t="str">
        <f>VLOOKUP($A382,product_category,2, False)</f>
        <v>Cosmetics</v>
      </c>
      <c r="C382" s="7">
        <v>3.5743488E8</v>
      </c>
      <c r="D382" s="9">
        <v>42146.0</v>
      </c>
      <c r="E382" s="10">
        <f t="shared" si="1"/>
        <v>5</v>
      </c>
      <c r="F382" s="10" t="str">
        <f t="shared" si="2"/>
        <v>May</v>
      </c>
      <c r="G382" s="11">
        <f t="shared" si="3"/>
        <v>22</v>
      </c>
      <c r="H382" s="7">
        <f t="shared" si="4"/>
        <v>2015</v>
      </c>
      <c r="I382" s="9">
        <v>42184.0</v>
      </c>
      <c r="J382" s="11">
        <f t="shared" si="5"/>
        <v>38</v>
      </c>
      <c r="K382" s="7" t="s">
        <v>198</v>
      </c>
      <c r="L382" s="7" t="s">
        <v>323</v>
      </c>
      <c r="M382" s="7" t="str">
        <f>VLOOKUP(L382,countries, 2,false)</f>
        <v>Montenegro</v>
      </c>
      <c r="N382" s="7" t="str">
        <f>VLOOKUP(L382,countries, 4,false)</f>
        <v>Europe</v>
      </c>
      <c r="O382" s="7" t="str">
        <f>VLOOKUP(L382,countries, 5,false)</f>
        <v>Southern Europe</v>
      </c>
      <c r="P382" s="7" t="s">
        <v>129</v>
      </c>
      <c r="Q382" s="7">
        <v>1779.0</v>
      </c>
      <c r="R382" s="12">
        <v>437.2</v>
      </c>
      <c r="S382" s="12">
        <v>263.33</v>
      </c>
      <c r="T382" s="13">
        <f t="shared" si="6"/>
        <v>777778.8</v>
      </c>
      <c r="U382" s="13">
        <f t="shared" si="7"/>
        <v>186766.25</v>
      </c>
      <c r="V382" s="13">
        <f t="shared" si="8"/>
        <v>591012.55</v>
      </c>
      <c r="W382" s="14">
        <f>Q382/totals!B$2</f>
        <v>0.000270507642</v>
      </c>
      <c r="X382" s="14">
        <f t="shared" si="9"/>
        <v>0.2788138536</v>
      </c>
      <c r="Y382" s="14">
        <f>T382/totals!B$5</f>
        <v>0.0004569445756</v>
      </c>
      <c r="Z382" s="14">
        <f t="shared" si="10"/>
        <v>0.2863252631</v>
      </c>
      <c r="AA382" s="14">
        <f>V382/totals!B$4</f>
        <v>0.001178464768</v>
      </c>
      <c r="AB382" s="14">
        <f t="shared" si="11"/>
        <v>0.2942574239</v>
      </c>
    </row>
    <row r="383">
      <c r="A383" s="7">
        <v>1270.0</v>
      </c>
      <c r="B383" s="7" t="str">
        <f>VLOOKUP($A383,product_category,2, False)</f>
        <v>Beverages</v>
      </c>
      <c r="C383" s="7">
        <v>3.57482516E8</v>
      </c>
      <c r="D383" s="9">
        <v>41834.0</v>
      </c>
      <c r="E383" s="10">
        <f t="shared" si="1"/>
        <v>7</v>
      </c>
      <c r="F383" s="10" t="str">
        <f t="shared" si="2"/>
        <v>Jul</v>
      </c>
      <c r="G383" s="11">
        <f t="shared" si="3"/>
        <v>14</v>
      </c>
      <c r="H383" s="7">
        <f t="shared" si="4"/>
        <v>2014</v>
      </c>
      <c r="I383" s="9">
        <v>41848.0</v>
      </c>
      <c r="J383" s="11">
        <f t="shared" si="5"/>
        <v>14</v>
      </c>
      <c r="K383" s="7" t="s">
        <v>198</v>
      </c>
      <c r="L383" s="7" t="s">
        <v>383</v>
      </c>
      <c r="M383" s="7" t="str">
        <f>VLOOKUP(L383,countries, 2,false)</f>
        <v>Ireland</v>
      </c>
      <c r="N383" s="7" t="str">
        <f>VLOOKUP(L383,countries, 4,false)</f>
        <v>Europe</v>
      </c>
      <c r="O383" s="7" t="str">
        <f>VLOOKUP(L383,countries, 5,false)</f>
        <v>Northern Europe</v>
      </c>
      <c r="P383" s="7" t="s">
        <v>129</v>
      </c>
      <c r="Q383" s="7">
        <v>5875.0</v>
      </c>
      <c r="R383" s="12">
        <v>47.45</v>
      </c>
      <c r="S383" s="12">
        <v>31.79</v>
      </c>
      <c r="T383" s="13">
        <f t="shared" si="6"/>
        <v>278768.75</v>
      </c>
      <c r="U383" s="13">
        <f t="shared" si="7"/>
        <v>307722.24</v>
      </c>
      <c r="V383" s="13">
        <f t="shared" si="8"/>
        <v>-28953.49</v>
      </c>
      <c r="W383" s="14">
        <f>Q383/totals!B$2</f>
        <v>0.0008933290595</v>
      </c>
      <c r="X383" s="14">
        <f t="shared" si="9"/>
        <v>0.2797071827</v>
      </c>
      <c r="Y383" s="14">
        <f>T383/totals!B$5</f>
        <v>0.0001637764724</v>
      </c>
      <c r="Z383" s="14">
        <f t="shared" si="10"/>
        <v>0.2864890396</v>
      </c>
      <c r="AA383" s="14">
        <f>V383/totals!B$4</f>
        <v>-0.00005773256064</v>
      </c>
      <c r="AB383" s="14">
        <f t="shared" si="11"/>
        <v>0.2941996914</v>
      </c>
    </row>
    <row r="384">
      <c r="A384" s="7">
        <v>2455.0</v>
      </c>
      <c r="B384" s="7" t="str">
        <f>VLOOKUP($A384,product_category,2, False)</f>
        <v>Clothes</v>
      </c>
      <c r="C384" s="7">
        <v>3.57930982E8</v>
      </c>
      <c r="D384" s="9">
        <v>42385.0</v>
      </c>
      <c r="E384" s="10">
        <f t="shared" si="1"/>
        <v>1</v>
      </c>
      <c r="F384" s="10" t="str">
        <f t="shared" si="2"/>
        <v>Jan</v>
      </c>
      <c r="G384" s="11">
        <f t="shared" si="3"/>
        <v>16</v>
      </c>
      <c r="H384" s="7">
        <f t="shared" si="4"/>
        <v>2016</v>
      </c>
      <c r="I384" s="9">
        <v>42434.0</v>
      </c>
      <c r="J384" s="11">
        <f t="shared" si="5"/>
        <v>49</v>
      </c>
      <c r="K384" s="7" t="s">
        <v>198</v>
      </c>
      <c r="L384" s="7" t="s">
        <v>28</v>
      </c>
      <c r="M384" s="7" t="str">
        <f>VLOOKUP(L384,countries, 2,false)</f>
        <v>Albania</v>
      </c>
      <c r="N384" s="7" t="str">
        <f>VLOOKUP(L384,countries, 4,false)</f>
        <v>Europe</v>
      </c>
      <c r="O384" s="7" t="str">
        <f>VLOOKUP(L384,countries, 5,false)</f>
        <v>Southern Europe</v>
      </c>
      <c r="P384" s="7" t="s">
        <v>212</v>
      </c>
      <c r="Q384" s="7">
        <v>8586.0</v>
      </c>
      <c r="R384" s="12">
        <v>109.28</v>
      </c>
      <c r="S384" s="12">
        <v>35.84</v>
      </c>
      <c r="T384" s="13">
        <f t="shared" si="6"/>
        <v>938278.08</v>
      </c>
      <c r="U384" s="13">
        <f t="shared" si="7"/>
        <v>381970.32</v>
      </c>
      <c r="V384" s="13">
        <f t="shared" si="8"/>
        <v>556307.76</v>
      </c>
      <c r="W384" s="14">
        <f>Q384/totals!B$2</f>
        <v>0.001305552903</v>
      </c>
      <c r="X384" s="14">
        <f t="shared" si="9"/>
        <v>0.2810127356</v>
      </c>
      <c r="Y384" s="14">
        <f>T384/totals!B$5</f>
        <v>0.0005512378057</v>
      </c>
      <c r="Z384" s="14">
        <f t="shared" si="10"/>
        <v>0.2870402774</v>
      </c>
      <c r="AA384" s="14">
        <f>V384/totals!B$4</f>
        <v>0.001109264254</v>
      </c>
      <c r="AB384" s="14">
        <f t="shared" si="11"/>
        <v>0.2953089556</v>
      </c>
    </row>
    <row r="385">
      <c r="A385" s="7">
        <v>7331.0</v>
      </c>
      <c r="B385" s="7" t="str">
        <f>VLOOKUP($A385,product_category,2, False)</f>
        <v>Baby Food</v>
      </c>
      <c r="C385" s="7">
        <v>3.57943856E8</v>
      </c>
      <c r="D385" s="9">
        <v>41329.0</v>
      </c>
      <c r="E385" s="10">
        <f t="shared" si="1"/>
        <v>2</v>
      </c>
      <c r="F385" s="10" t="str">
        <f t="shared" si="2"/>
        <v>Feb</v>
      </c>
      <c r="G385" s="11">
        <f t="shared" si="3"/>
        <v>24</v>
      </c>
      <c r="H385" s="7">
        <f t="shared" si="4"/>
        <v>2013</v>
      </c>
      <c r="I385" s="9">
        <v>41350.0</v>
      </c>
      <c r="J385" s="11">
        <f t="shared" si="5"/>
        <v>21</v>
      </c>
      <c r="K385" s="7" t="s">
        <v>322</v>
      </c>
      <c r="L385" s="7" t="s">
        <v>111</v>
      </c>
      <c r="M385" s="7" t="str">
        <f>VLOOKUP(L385,countries, 2,false)</f>
        <v>Norway</v>
      </c>
      <c r="N385" s="7" t="str">
        <f>VLOOKUP(L385,countries, 4,false)</f>
        <v>Europe</v>
      </c>
      <c r="O385" s="7" t="str">
        <f>VLOOKUP(L385,countries, 5,false)</f>
        <v>Northern Europe</v>
      </c>
      <c r="P385" s="7" t="s">
        <v>212</v>
      </c>
      <c r="Q385" s="7">
        <v>2396.0</v>
      </c>
      <c r="R385" s="12">
        <v>255.28</v>
      </c>
      <c r="S385" s="12">
        <v>159.42</v>
      </c>
      <c r="T385" s="13">
        <f t="shared" si="6"/>
        <v>611650.88</v>
      </c>
      <c r="U385" s="13">
        <f t="shared" si="7"/>
        <v>479599.68</v>
      </c>
      <c r="V385" s="13">
        <f t="shared" si="8"/>
        <v>132051.2</v>
      </c>
      <c r="W385" s="14">
        <f>Q385/totals!B$2</f>
        <v>0.0003643262003</v>
      </c>
      <c r="X385" s="14">
        <f t="shared" si="9"/>
        <v>0.2813770618</v>
      </c>
      <c r="Y385" s="14">
        <f>T385/totals!B$5</f>
        <v>0.0003593445228</v>
      </c>
      <c r="Z385" s="14">
        <f t="shared" si="10"/>
        <v>0.2873996219</v>
      </c>
      <c r="AA385" s="14">
        <f>V385/totals!B$4</f>
        <v>0.0002633069074</v>
      </c>
      <c r="AB385" s="14">
        <f t="shared" si="11"/>
        <v>0.2955722625</v>
      </c>
    </row>
    <row r="386">
      <c r="A386" s="7">
        <v>8969.0</v>
      </c>
      <c r="B386" s="7" t="str">
        <f>VLOOKUP($A386,product_category,2, False)</f>
        <v>Snacks</v>
      </c>
      <c r="C386" s="7">
        <v>3.58594453E8</v>
      </c>
      <c r="D386" s="9">
        <v>42724.0</v>
      </c>
      <c r="E386" s="10">
        <f t="shared" si="1"/>
        <v>12</v>
      </c>
      <c r="F386" s="10" t="str">
        <f t="shared" si="2"/>
        <v>Dec</v>
      </c>
      <c r="G386" s="11">
        <f t="shared" si="3"/>
        <v>20</v>
      </c>
      <c r="H386" s="7">
        <f t="shared" si="4"/>
        <v>2016</v>
      </c>
      <c r="I386" s="9">
        <v>42768.0</v>
      </c>
      <c r="J386" s="11">
        <f t="shared" si="5"/>
        <v>44</v>
      </c>
      <c r="K386" s="7" t="s">
        <v>322</v>
      </c>
      <c r="L386" s="7" t="s">
        <v>367</v>
      </c>
      <c r="M386" s="7" t="str">
        <f>VLOOKUP(L386,countries, 2,false)</f>
        <v>Iceland</v>
      </c>
      <c r="N386" s="7" t="str">
        <f>VLOOKUP(L386,countries, 4,false)</f>
        <v>Europe</v>
      </c>
      <c r="O386" s="7" t="str">
        <f>VLOOKUP(L386,countries, 5,false)</f>
        <v>Northern Europe</v>
      </c>
      <c r="P386" s="7" t="s">
        <v>212</v>
      </c>
      <c r="Q386" s="7">
        <v>4922.0</v>
      </c>
      <c r="R386" s="12">
        <v>152.58</v>
      </c>
      <c r="S386" s="12">
        <v>97.44</v>
      </c>
      <c r="T386" s="13">
        <f t="shared" si="6"/>
        <v>750998.76</v>
      </c>
      <c r="U386" s="13">
        <f t="shared" si="7"/>
        <v>132070.4</v>
      </c>
      <c r="V386" s="13">
        <f t="shared" si="8"/>
        <v>618928.36</v>
      </c>
      <c r="W386" s="14">
        <f>Q386/totals!B$2</f>
        <v>0.0007484196819</v>
      </c>
      <c r="X386" s="14">
        <f t="shared" si="9"/>
        <v>0.2821254815</v>
      </c>
      <c r="Y386" s="14">
        <f>T386/totals!B$5</f>
        <v>0.0004412113182</v>
      </c>
      <c r="Z386" s="14">
        <f t="shared" si="10"/>
        <v>0.2878408332</v>
      </c>
      <c r="AA386" s="14">
        <f>V386/totals!B$4</f>
        <v>0.00123412822</v>
      </c>
      <c r="AB386" s="14">
        <f t="shared" si="11"/>
        <v>0.2968063907</v>
      </c>
    </row>
    <row r="387">
      <c r="A387" s="7">
        <v>2455.0</v>
      </c>
      <c r="B387" s="7" t="str">
        <f>VLOOKUP($A387,product_category,2, False)</f>
        <v>Clothes</v>
      </c>
      <c r="C387" s="7">
        <v>3.58624064E8</v>
      </c>
      <c r="D387" s="9">
        <v>42231.0</v>
      </c>
      <c r="E387" s="10">
        <f t="shared" si="1"/>
        <v>8</v>
      </c>
      <c r="F387" s="10" t="str">
        <f t="shared" si="2"/>
        <v>Aug</v>
      </c>
      <c r="G387" s="11">
        <f t="shared" si="3"/>
        <v>15</v>
      </c>
      <c r="H387" s="7">
        <f t="shared" si="4"/>
        <v>2015</v>
      </c>
      <c r="I387" s="9">
        <v>42280.0</v>
      </c>
      <c r="J387" s="11">
        <f t="shared" si="5"/>
        <v>49</v>
      </c>
      <c r="K387" s="7" t="s">
        <v>382</v>
      </c>
      <c r="L387" s="7" t="s">
        <v>612</v>
      </c>
      <c r="M387" s="7" t="str">
        <f>VLOOKUP(L387,countries, 2,false)</f>
        <v>Russia</v>
      </c>
      <c r="N387" s="7" t="str">
        <f>VLOOKUP(L387,countries, 4,false)</f>
        <v>Europe</v>
      </c>
      <c r="O387" s="7" t="str">
        <f>VLOOKUP(L387,countries, 5,false)</f>
        <v>Eastern Europe</v>
      </c>
      <c r="P387" s="7" t="s">
        <v>212</v>
      </c>
      <c r="Q387" s="7">
        <v>3685.0</v>
      </c>
      <c r="R387" s="12">
        <v>109.28</v>
      </c>
      <c r="S387" s="12">
        <v>35.84</v>
      </c>
      <c r="T387" s="13">
        <f t="shared" si="6"/>
        <v>402696.8</v>
      </c>
      <c r="U387" s="13">
        <f t="shared" si="7"/>
        <v>534375.84</v>
      </c>
      <c r="V387" s="13">
        <f t="shared" si="8"/>
        <v>-131679.04</v>
      </c>
      <c r="W387" s="14">
        <f>Q387/totals!B$2</f>
        <v>0.0005603263973</v>
      </c>
      <c r="X387" s="14">
        <f t="shared" si="9"/>
        <v>0.2826858079</v>
      </c>
      <c r="Y387" s="14">
        <f>T387/totals!B$5</f>
        <v>0.000236584127</v>
      </c>
      <c r="Z387" s="14">
        <f t="shared" si="10"/>
        <v>0.2880774174</v>
      </c>
      <c r="AA387" s="14">
        <f>V387/totals!B$4</f>
        <v>-0.0002625648294</v>
      </c>
      <c r="AB387" s="14">
        <f t="shared" si="11"/>
        <v>0.2965438259</v>
      </c>
    </row>
    <row r="388">
      <c r="A388" s="7">
        <v>7331.0</v>
      </c>
      <c r="B388" s="7" t="str">
        <f>VLOOKUP($A388,product_category,2, False)</f>
        <v>Baby Food</v>
      </c>
      <c r="C388" s="7">
        <v>3.59197413E8</v>
      </c>
      <c r="D388" s="9">
        <v>41665.0</v>
      </c>
      <c r="E388" s="10">
        <f t="shared" si="1"/>
        <v>1</v>
      </c>
      <c r="F388" s="10" t="str">
        <f t="shared" si="2"/>
        <v>Jan</v>
      </c>
      <c r="G388" s="11">
        <f t="shared" si="3"/>
        <v>26</v>
      </c>
      <c r="H388" s="7">
        <f t="shared" si="4"/>
        <v>2014</v>
      </c>
      <c r="I388" s="9">
        <v>41706.0</v>
      </c>
      <c r="J388" s="11">
        <f t="shared" si="5"/>
        <v>41</v>
      </c>
      <c r="K388" s="7" t="s">
        <v>322</v>
      </c>
      <c r="L388" s="7" t="s">
        <v>304</v>
      </c>
      <c r="M388" s="7" t="str">
        <f>VLOOKUP(L388,countries, 2,false)</f>
        <v>Georgia</v>
      </c>
      <c r="N388" s="7" t="str">
        <f>VLOOKUP(L388,countries, 4,false)</f>
        <v>Asia</v>
      </c>
      <c r="O388" s="7" t="str">
        <f>VLOOKUP(L388,countries, 5,false)</f>
        <v>Western Asia</v>
      </c>
      <c r="P388" s="7" t="s">
        <v>129</v>
      </c>
      <c r="Q388" s="7">
        <v>3352.0</v>
      </c>
      <c r="R388" s="12">
        <v>255.28</v>
      </c>
      <c r="S388" s="12">
        <v>159.42</v>
      </c>
      <c r="T388" s="13">
        <f t="shared" si="6"/>
        <v>855698.56</v>
      </c>
      <c r="U388" s="13">
        <f t="shared" si="7"/>
        <v>837647.16</v>
      </c>
      <c r="V388" s="13">
        <f t="shared" si="8"/>
        <v>18051.4</v>
      </c>
      <c r="W388" s="14">
        <f>Q388/totals!B$2</f>
        <v>0.000509691746</v>
      </c>
      <c r="X388" s="14">
        <f t="shared" si="9"/>
        <v>0.2831954996</v>
      </c>
      <c r="Y388" s="14">
        <f>T388/totals!B$5</f>
        <v>0.0005027223875</v>
      </c>
      <c r="Z388" s="14">
        <f t="shared" si="10"/>
        <v>0.2885801397</v>
      </c>
      <c r="AA388" s="14">
        <f>V388/totals!B$4</f>
        <v>0.00003599405616</v>
      </c>
      <c r="AB388" s="14">
        <f t="shared" si="11"/>
        <v>0.29657982</v>
      </c>
    </row>
    <row r="389">
      <c r="A389" s="7">
        <v>5988.0</v>
      </c>
      <c r="B389" s="7" t="str">
        <f>VLOOKUP($A389,product_category,2, False)</f>
        <v>Vegetables</v>
      </c>
      <c r="C389" s="7">
        <v>3.59893071E8</v>
      </c>
      <c r="D389" s="9">
        <v>40746.0</v>
      </c>
      <c r="E389" s="10">
        <f t="shared" si="1"/>
        <v>7</v>
      </c>
      <c r="F389" s="10" t="str">
        <f t="shared" si="2"/>
        <v>Jul</v>
      </c>
      <c r="G389" s="11">
        <f t="shared" si="3"/>
        <v>22</v>
      </c>
      <c r="H389" s="7">
        <f t="shared" si="4"/>
        <v>2011</v>
      </c>
      <c r="I389" s="9">
        <v>40761.0</v>
      </c>
      <c r="J389" s="11">
        <f t="shared" si="5"/>
        <v>15</v>
      </c>
      <c r="K389" s="7" t="s">
        <v>382</v>
      </c>
      <c r="L389" s="7" t="s">
        <v>392</v>
      </c>
      <c r="M389" s="7" t="str">
        <f>VLOOKUP(L389,countries, 2,false)</f>
        <v>Italy</v>
      </c>
      <c r="N389" s="7" t="str">
        <f>VLOOKUP(L389,countries, 4,false)</f>
        <v>Europe</v>
      </c>
      <c r="O389" s="7" t="str">
        <f>VLOOKUP(L389,countries, 5,false)</f>
        <v>Southern Europe</v>
      </c>
      <c r="P389" s="7" t="s">
        <v>129</v>
      </c>
      <c r="Q389" s="7">
        <v>9212.0</v>
      </c>
      <c r="R389" s="12">
        <v>154.06</v>
      </c>
      <c r="S389" s="12">
        <v>90.93</v>
      </c>
      <c r="T389" s="13">
        <f t="shared" si="6"/>
        <v>1419200.72</v>
      </c>
      <c r="U389" s="13">
        <f t="shared" si="7"/>
        <v>1444504.62</v>
      </c>
      <c r="V389" s="13">
        <f t="shared" si="8"/>
        <v>-25303.9</v>
      </c>
      <c r="W389" s="14">
        <f>Q389/totals!B$2</f>
        <v>0.001400739965</v>
      </c>
      <c r="X389" s="14">
        <f t="shared" si="9"/>
        <v>0.2845962396</v>
      </c>
      <c r="Y389" s="14">
        <f>T389/totals!B$5</f>
        <v>0.0008337795664</v>
      </c>
      <c r="Z389" s="14">
        <f t="shared" si="10"/>
        <v>0.2894139193</v>
      </c>
      <c r="AA389" s="14">
        <f>V389/totals!B$4</f>
        <v>-0.00005045536622</v>
      </c>
      <c r="AB389" s="14">
        <f t="shared" si="11"/>
        <v>0.2965293646</v>
      </c>
    </row>
    <row r="390">
      <c r="A390" s="7">
        <v>7331.0</v>
      </c>
      <c r="B390" s="7" t="str">
        <f>VLOOKUP($A390,product_category,2, False)</f>
        <v>Baby Food</v>
      </c>
      <c r="C390" s="7">
        <v>3.61311852E8</v>
      </c>
      <c r="D390" s="9">
        <v>42741.0</v>
      </c>
      <c r="E390" s="10">
        <f t="shared" si="1"/>
        <v>1</v>
      </c>
      <c r="F390" s="10" t="str">
        <f t="shared" si="2"/>
        <v>Jan</v>
      </c>
      <c r="G390" s="11">
        <f t="shared" si="3"/>
        <v>6</v>
      </c>
      <c r="H390" s="7">
        <f t="shared" si="4"/>
        <v>2017</v>
      </c>
      <c r="I390" s="9">
        <v>42781.0</v>
      </c>
      <c r="J390" s="11">
        <f t="shared" si="5"/>
        <v>40</v>
      </c>
      <c r="K390" s="7" t="s">
        <v>322</v>
      </c>
      <c r="L390" s="7" t="s">
        <v>307</v>
      </c>
      <c r="M390" s="7" t="str">
        <f>VLOOKUP(L390,countries, 2,false)</f>
        <v>Germany</v>
      </c>
      <c r="N390" s="7" t="str">
        <f>VLOOKUP(L390,countries, 4,false)</f>
        <v>Europe</v>
      </c>
      <c r="O390" s="7" t="str">
        <f>VLOOKUP(L390,countries, 5,false)</f>
        <v>Western Europe</v>
      </c>
      <c r="P390" s="7" t="s">
        <v>212</v>
      </c>
      <c r="Q390" s="7">
        <v>9061.0</v>
      </c>
      <c r="R390" s="12">
        <v>255.28</v>
      </c>
      <c r="S390" s="12">
        <v>159.42</v>
      </c>
      <c r="T390" s="13">
        <f t="shared" si="6"/>
        <v>2313092.08</v>
      </c>
      <c r="U390" s="13">
        <f t="shared" si="7"/>
        <v>210915.11</v>
      </c>
      <c r="V390" s="13">
        <f t="shared" si="8"/>
        <v>2102176.97</v>
      </c>
      <c r="W390" s="14">
        <f>Q390/totals!B$2</f>
        <v>0.001377779508</v>
      </c>
      <c r="X390" s="14">
        <f t="shared" si="9"/>
        <v>0.2859740191</v>
      </c>
      <c r="Y390" s="14">
        <f>T390/totals!B$5</f>
        <v>0.001358940201</v>
      </c>
      <c r="Z390" s="14">
        <f t="shared" si="10"/>
        <v>0.2907728595</v>
      </c>
      <c r="AA390" s="14">
        <f>V390/totals!B$4</f>
        <v>0.004191690169</v>
      </c>
      <c r="AB390" s="14">
        <f t="shared" si="11"/>
        <v>0.3007210548</v>
      </c>
    </row>
    <row r="391">
      <c r="A391" s="7">
        <v>2103.0</v>
      </c>
      <c r="B391" s="7" t="str">
        <f>VLOOKUP($A391,product_category,2, False)</f>
        <v>Cereal</v>
      </c>
      <c r="C391" s="7">
        <v>3.61659038E8</v>
      </c>
      <c r="D391" s="9">
        <v>41090.0</v>
      </c>
      <c r="E391" s="10">
        <f t="shared" si="1"/>
        <v>6</v>
      </c>
      <c r="F391" s="10" t="str">
        <f t="shared" si="2"/>
        <v>Jun</v>
      </c>
      <c r="G391" s="11">
        <f t="shared" si="3"/>
        <v>30</v>
      </c>
      <c r="H391" s="7">
        <f t="shared" si="4"/>
        <v>2012</v>
      </c>
      <c r="I391" s="9">
        <v>41124.0</v>
      </c>
      <c r="J391" s="11">
        <f t="shared" si="5"/>
        <v>34</v>
      </c>
      <c r="K391" s="7" t="s">
        <v>322</v>
      </c>
      <c r="L391" s="7" t="s">
        <v>454</v>
      </c>
      <c r="M391" s="7" t="str">
        <f>VLOOKUP(L391,countries, 2,false)</f>
        <v>Luxembourg</v>
      </c>
      <c r="N391" s="7" t="str">
        <f>VLOOKUP(L391,countries, 4,false)</f>
        <v>Europe</v>
      </c>
      <c r="O391" s="7" t="str">
        <f>VLOOKUP(L391,countries, 5,false)</f>
        <v>Western Europe</v>
      </c>
      <c r="P391" s="7" t="s">
        <v>129</v>
      </c>
      <c r="Q391" s="7">
        <v>1801.0</v>
      </c>
      <c r="R391" s="12">
        <v>205.7</v>
      </c>
      <c r="S391" s="12">
        <v>117.11</v>
      </c>
      <c r="T391" s="13">
        <f t="shared" si="6"/>
        <v>370465.7</v>
      </c>
      <c r="U391" s="13">
        <f t="shared" si="7"/>
        <v>135031.05</v>
      </c>
      <c r="V391" s="13">
        <f t="shared" si="8"/>
        <v>235434.65</v>
      </c>
      <c r="W391" s="14">
        <f>Q391/totals!B$2</f>
        <v>0.0002738528743</v>
      </c>
      <c r="X391" s="14">
        <f t="shared" si="9"/>
        <v>0.286247872</v>
      </c>
      <c r="Y391" s="14">
        <f>T391/totals!B$5</f>
        <v>0.0002176483752</v>
      </c>
      <c r="Z391" s="14">
        <f t="shared" si="10"/>
        <v>0.2909905079</v>
      </c>
      <c r="AA391" s="14">
        <f>V391/totals!B$4</f>
        <v>0.0004694510129</v>
      </c>
      <c r="AB391" s="14">
        <f t="shared" si="11"/>
        <v>0.3011905058</v>
      </c>
    </row>
    <row r="392">
      <c r="A392" s="7">
        <v>5988.0</v>
      </c>
      <c r="B392" s="7" t="str">
        <f>VLOOKUP($A392,product_category,2, False)</f>
        <v>Vegetables</v>
      </c>
      <c r="C392" s="7">
        <v>3.61725556E8</v>
      </c>
      <c r="D392" s="9">
        <v>42548.0</v>
      </c>
      <c r="E392" s="10">
        <f t="shared" si="1"/>
        <v>6</v>
      </c>
      <c r="F392" s="10" t="str">
        <f t="shared" si="2"/>
        <v>Jun</v>
      </c>
      <c r="G392" s="11">
        <f t="shared" si="3"/>
        <v>27</v>
      </c>
      <c r="H392" s="7">
        <f t="shared" si="4"/>
        <v>2016</v>
      </c>
      <c r="I392" s="9">
        <v>42569.0</v>
      </c>
      <c r="J392" s="11">
        <f t="shared" si="5"/>
        <v>21</v>
      </c>
      <c r="K392" s="7" t="s">
        <v>322</v>
      </c>
      <c r="L392" s="7" t="s">
        <v>642</v>
      </c>
      <c r="M392" s="7" t="str">
        <f>VLOOKUP(L392,countries, 2,false)</f>
        <v>San Marino</v>
      </c>
      <c r="N392" s="7" t="str">
        <f>VLOOKUP(L392,countries, 4,false)</f>
        <v>Europe</v>
      </c>
      <c r="O392" s="7" t="str">
        <f>VLOOKUP(L392,countries, 5,false)</f>
        <v>Southern Europe</v>
      </c>
      <c r="P392" s="7" t="s">
        <v>212</v>
      </c>
      <c r="Q392" s="7">
        <v>1485.0</v>
      </c>
      <c r="R392" s="12">
        <v>154.06</v>
      </c>
      <c r="S392" s="12">
        <v>90.93</v>
      </c>
      <c r="T392" s="13">
        <f t="shared" si="6"/>
        <v>228779.1</v>
      </c>
      <c r="U392" s="13">
        <f t="shared" si="7"/>
        <v>63760.88</v>
      </c>
      <c r="V392" s="13">
        <f t="shared" si="8"/>
        <v>165018.22</v>
      </c>
      <c r="W392" s="14">
        <f>Q392/totals!B$2</f>
        <v>0.0002258031751</v>
      </c>
      <c r="X392" s="14">
        <f t="shared" si="9"/>
        <v>0.2864736752</v>
      </c>
      <c r="Y392" s="14">
        <f>T392/totals!B$5</f>
        <v>0.0001344075832</v>
      </c>
      <c r="Z392" s="14">
        <f t="shared" si="10"/>
        <v>0.2911249155</v>
      </c>
      <c r="AA392" s="14">
        <f>V392/totals!B$4</f>
        <v>0.0003290423501</v>
      </c>
      <c r="AB392" s="14">
        <f t="shared" si="11"/>
        <v>0.3015195481</v>
      </c>
    </row>
    <row r="393">
      <c r="A393" s="7">
        <v>4594.0</v>
      </c>
      <c r="B393" s="7" t="str">
        <f>VLOOKUP($A393,product_category,2, False)</f>
        <v>Fruits</v>
      </c>
      <c r="C393" s="7">
        <v>3.62258565E8</v>
      </c>
      <c r="D393" s="9">
        <v>41972.0</v>
      </c>
      <c r="E393" s="10">
        <f t="shared" si="1"/>
        <v>11</v>
      </c>
      <c r="F393" s="10" t="str">
        <f t="shared" si="2"/>
        <v>Nov</v>
      </c>
      <c r="G393" s="11">
        <f t="shared" si="3"/>
        <v>29</v>
      </c>
      <c r="H393" s="7">
        <f t="shared" si="4"/>
        <v>2014</v>
      </c>
      <c r="I393" s="9">
        <v>41987.0</v>
      </c>
      <c r="J393" s="11">
        <f t="shared" si="5"/>
        <v>15</v>
      </c>
      <c r="K393" s="7" t="s">
        <v>198</v>
      </c>
      <c r="L393" s="7" t="s">
        <v>77</v>
      </c>
      <c r="M393" s="7" t="str">
        <f>VLOOKUP(L393,countries, 2,false)</f>
        <v>Armenia</v>
      </c>
      <c r="N393" s="7" t="str">
        <f>VLOOKUP(L393,countries, 4,false)</f>
        <v>Asia</v>
      </c>
      <c r="O393" s="7" t="str">
        <f>VLOOKUP(L393,countries, 5,false)</f>
        <v>Western Asia</v>
      </c>
      <c r="P393" s="7" t="s">
        <v>212</v>
      </c>
      <c r="Q393" s="7">
        <v>9214.0</v>
      </c>
      <c r="R393" s="12">
        <v>9.33</v>
      </c>
      <c r="S393" s="12">
        <v>6.92</v>
      </c>
      <c r="T393" s="13">
        <f t="shared" si="6"/>
        <v>85966.62</v>
      </c>
      <c r="U393" s="13">
        <f t="shared" si="7"/>
        <v>1650289.11</v>
      </c>
      <c r="V393" s="13">
        <f t="shared" si="8"/>
        <v>-1564322.49</v>
      </c>
      <c r="W393" s="14">
        <f>Q393/totals!B$2</f>
        <v>0.001401044077</v>
      </c>
      <c r="X393" s="14">
        <f t="shared" si="9"/>
        <v>0.2878747192</v>
      </c>
      <c r="Y393" s="14">
        <f>T393/totals!B$5</f>
        <v>0.00005050533736</v>
      </c>
      <c r="Z393" s="14">
        <f t="shared" si="10"/>
        <v>0.2911754208</v>
      </c>
      <c r="AA393" s="14">
        <f>V393/totals!B$4</f>
        <v>-0.00311922131</v>
      </c>
      <c r="AB393" s="14">
        <f t="shared" si="11"/>
        <v>0.2984003268</v>
      </c>
    </row>
    <row r="394">
      <c r="A394" s="7">
        <v>8293.0</v>
      </c>
      <c r="B394" s="7" t="str">
        <f>VLOOKUP($A394,product_category,2, False)</f>
        <v>Cosmetics</v>
      </c>
      <c r="C394" s="7">
        <v>3.64715468E8</v>
      </c>
      <c r="D394" s="9">
        <v>40954.0</v>
      </c>
      <c r="E394" s="10">
        <f t="shared" si="1"/>
        <v>2</v>
      </c>
      <c r="F394" s="10" t="str">
        <f t="shared" si="2"/>
        <v>Feb</v>
      </c>
      <c r="G394" s="11">
        <f t="shared" si="3"/>
        <v>15</v>
      </c>
      <c r="H394" s="7">
        <f t="shared" si="4"/>
        <v>2012</v>
      </c>
      <c r="I394" s="9">
        <v>40958.0</v>
      </c>
      <c r="J394" s="11">
        <f t="shared" si="5"/>
        <v>4</v>
      </c>
      <c r="K394" s="7" t="s">
        <v>110</v>
      </c>
      <c r="L394" s="7" t="s">
        <v>222</v>
      </c>
      <c r="M394" s="7" t="str">
        <f>VLOOKUP(L394,countries, 2,false)</f>
        <v>Croatia</v>
      </c>
      <c r="N394" s="7" t="str">
        <f>VLOOKUP(L394,countries, 4,false)</f>
        <v>Europe</v>
      </c>
      <c r="O394" s="7" t="str">
        <f>VLOOKUP(L394,countries, 5,false)</f>
        <v>Southern Europe</v>
      </c>
      <c r="P394" s="7" t="s">
        <v>212</v>
      </c>
      <c r="Q394" s="7">
        <v>6267.0</v>
      </c>
      <c r="R394" s="12">
        <v>437.2</v>
      </c>
      <c r="S394" s="12">
        <v>263.33</v>
      </c>
      <c r="T394" s="13">
        <f t="shared" si="6"/>
        <v>2739932.4</v>
      </c>
      <c r="U394" s="13">
        <f t="shared" si="7"/>
        <v>1181780.46</v>
      </c>
      <c r="V394" s="13">
        <f t="shared" si="8"/>
        <v>1558151.94</v>
      </c>
      <c r="W394" s="14">
        <f>Q394/totals!B$2</f>
        <v>0.0009529350155</v>
      </c>
      <c r="X394" s="14">
        <f t="shared" si="9"/>
        <v>0.2888276542</v>
      </c>
      <c r="Y394" s="14">
        <f>T394/totals!B$5</f>
        <v>0.001609708631</v>
      </c>
      <c r="Z394" s="14">
        <f t="shared" si="10"/>
        <v>0.2927851294</v>
      </c>
      <c r="AA394" s="14">
        <f>V394/totals!B$4</f>
        <v>0.003106917382</v>
      </c>
      <c r="AB394" s="14">
        <f t="shared" si="11"/>
        <v>0.3015072442</v>
      </c>
    </row>
    <row r="395">
      <c r="A395" s="7">
        <v>7331.0</v>
      </c>
      <c r="B395" s="7" t="str">
        <f>VLOOKUP($A395,product_category,2, False)</f>
        <v>Baby Food</v>
      </c>
      <c r="C395" s="7">
        <v>3.64854514E8</v>
      </c>
      <c r="D395" s="9">
        <v>41165.0</v>
      </c>
      <c r="E395" s="10">
        <f t="shared" si="1"/>
        <v>9</v>
      </c>
      <c r="F395" s="10" t="str">
        <f t="shared" si="2"/>
        <v>Sep</v>
      </c>
      <c r="G395" s="11">
        <f t="shared" si="3"/>
        <v>13</v>
      </c>
      <c r="H395" s="7">
        <f t="shared" si="4"/>
        <v>2012</v>
      </c>
      <c r="I395" s="9">
        <v>41185.0</v>
      </c>
      <c r="J395" s="11">
        <f t="shared" si="5"/>
        <v>20</v>
      </c>
      <c r="K395" s="7" t="s">
        <v>110</v>
      </c>
      <c r="L395" s="7" t="e">
        <v>#N/A</v>
      </c>
      <c r="M395" s="7"/>
      <c r="N395" s="7"/>
      <c r="O395" s="7"/>
      <c r="P395" s="7" t="s">
        <v>212</v>
      </c>
      <c r="Q395" s="7">
        <v>7413.0</v>
      </c>
      <c r="R395" s="12">
        <v>255.28</v>
      </c>
      <c r="S395" s="12">
        <v>159.42</v>
      </c>
      <c r="T395" s="13">
        <f t="shared" si="6"/>
        <v>1892390.64</v>
      </c>
      <c r="U395" s="13">
        <f t="shared" si="7"/>
        <v>4733424.26</v>
      </c>
      <c r="V395" s="13">
        <f t="shared" si="8"/>
        <v>-2841033.62</v>
      </c>
      <c r="W395" s="14">
        <f>Q395/totals!B$2</f>
        <v>0.001127191203</v>
      </c>
      <c r="X395" s="14">
        <f t="shared" si="9"/>
        <v>0.2899548454</v>
      </c>
      <c r="Y395" s="14">
        <f>T395/totals!B$5</f>
        <v>0.001111778359</v>
      </c>
      <c r="Z395" s="14">
        <f t="shared" si="10"/>
        <v>0.2938969078</v>
      </c>
      <c r="AA395" s="14">
        <f>V395/totals!B$4</f>
        <v>-0.005664952506</v>
      </c>
      <c r="AB395" s="14">
        <f t="shared" si="11"/>
        <v>0.2958422917</v>
      </c>
    </row>
    <row r="396">
      <c r="A396" s="7">
        <v>7940.0</v>
      </c>
      <c r="B396" s="7" t="str">
        <f>VLOOKUP($A396,product_category,2, False)</f>
        <v>Household</v>
      </c>
      <c r="C396" s="7">
        <v>3.67328155E8</v>
      </c>
      <c r="D396" s="9">
        <v>40710.0</v>
      </c>
      <c r="E396" s="10">
        <f t="shared" si="1"/>
        <v>6</v>
      </c>
      <c r="F396" s="10" t="str">
        <f t="shared" si="2"/>
        <v>Jun</v>
      </c>
      <c r="G396" s="11">
        <f t="shared" si="3"/>
        <v>16</v>
      </c>
      <c r="H396" s="7">
        <f t="shared" si="4"/>
        <v>2011</v>
      </c>
      <c r="I396" s="9">
        <v>40754.0</v>
      </c>
      <c r="J396" s="11">
        <f t="shared" si="5"/>
        <v>44</v>
      </c>
      <c r="K396" s="7" t="s">
        <v>322</v>
      </c>
      <c r="L396" s="7" t="s">
        <v>286</v>
      </c>
      <c r="M396" s="7" t="str">
        <f>VLOOKUP(L396,countries, 2,false)</f>
        <v>France</v>
      </c>
      <c r="N396" s="7" t="str">
        <f>VLOOKUP(L396,countries, 4,false)</f>
        <v>Europe</v>
      </c>
      <c r="O396" s="7" t="str">
        <f>VLOOKUP(L396,countries, 5,false)</f>
        <v>Western Europe</v>
      </c>
      <c r="P396" s="7" t="s">
        <v>129</v>
      </c>
      <c r="Q396" s="7">
        <v>9419.0</v>
      </c>
      <c r="R396" s="12">
        <v>668.27</v>
      </c>
      <c r="S396" s="12">
        <v>502.54</v>
      </c>
      <c r="T396" s="13">
        <f t="shared" si="6"/>
        <v>6294435.13</v>
      </c>
      <c r="U396" s="13">
        <f t="shared" si="7"/>
        <v>2333447.2</v>
      </c>
      <c r="V396" s="13">
        <f t="shared" si="8"/>
        <v>3960987.93</v>
      </c>
      <c r="W396" s="14">
        <f>Q396/totals!B$2</f>
        <v>0.001432215559</v>
      </c>
      <c r="X396" s="14">
        <f t="shared" si="9"/>
        <v>0.291387061</v>
      </c>
      <c r="Y396" s="14">
        <f>T396/totals!B$5</f>
        <v>0.00369797684</v>
      </c>
      <c r="Z396" s="14">
        <f t="shared" si="10"/>
        <v>0.2975948846</v>
      </c>
      <c r="AA396" s="14">
        <f>V396/totals!B$4</f>
        <v>0.007898114385</v>
      </c>
      <c r="AB396" s="14">
        <f t="shared" si="11"/>
        <v>0.3037404061</v>
      </c>
    </row>
    <row r="397">
      <c r="A397" s="7">
        <v>8681.0</v>
      </c>
      <c r="B397" s="7" t="str">
        <f>VLOOKUP($A397,product_category,2, False)</f>
        <v>Office Supplies</v>
      </c>
      <c r="C397" s="7">
        <v>3.68865811E8</v>
      </c>
      <c r="D397" s="9">
        <v>41528.0</v>
      </c>
      <c r="E397" s="10">
        <f t="shared" si="1"/>
        <v>9</v>
      </c>
      <c r="F397" s="10" t="str">
        <f t="shared" si="2"/>
        <v>Sep</v>
      </c>
      <c r="G397" s="11">
        <f t="shared" si="3"/>
        <v>11</v>
      </c>
      <c r="H397" s="7">
        <f t="shared" si="4"/>
        <v>2013</v>
      </c>
      <c r="I397" s="9">
        <v>41563.0</v>
      </c>
      <c r="J397" s="11">
        <f t="shared" si="5"/>
        <v>35</v>
      </c>
      <c r="K397" s="7" t="s">
        <v>322</v>
      </c>
      <c r="L397" s="7" t="s">
        <v>307</v>
      </c>
      <c r="M397" s="7" t="str">
        <f>VLOOKUP(L397,countries, 2,false)</f>
        <v>Germany</v>
      </c>
      <c r="N397" s="7" t="str">
        <f>VLOOKUP(L397,countries, 4,false)</f>
        <v>Europe</v>
      </c>
      <c r="O397" s="7" t="str">
        <f>VLOOKUP(L397,countries, 5,false)</f>
        <v>Western Europe</v>
      </c>
      <c r="P397" s="7" t="s">
        <v>129</v>
      </c>
      <c r="Q397" s="7">
        <v>4445.0</v>
      </c>
      <c r="R397" s="12">
        <v>651.21</v>
      </c>
      <c r="S397" s="12">
        <v>524.96</v>
      </c>
      <c r="T397" s="13">
        <f t="shared" si="6"/>
        <v>2894628.45</v>
      </c>
      <c r="U397" s="13">
        <f t="shared" si="7"/>
        <v>715158.12</v>
      </c>
      <c r="V397" s="13">
        <f t="shared" si="8"/>
        <v>2179470.33</v>
      </c>
      <c r="W397" s="14">
        <f>Q397/totals!B$2</f>
        <v>0.0006758889651</v>
      </c>
      <c r="X397" s="14">
        <f t="shared" si="9"/>
        <v>0.29206295</v>
      </c>
      <c r="Y397" s="14">
        <f>T397/totals!B$5</f>
        <v>0.001700592467</v>
      </c>
      <c r="Z397" s="14">
        <f t="shared" si="10"/>
        <v>0.2992954771</v>
      </c>
      <c r="AA397" s="14">
        <f>V397/totals!B$4</f>
        <v>0.004345811264</v>
      </c>
      <c r="AB397" s="14">
        <f t="shared" si="11"/>
        <v>0.3080862174</v>
      </c>
    </row>
    <row r="398">
      <c r="A398" s="7">
        <v>7331.0</v>
      </c>
      <c r="B398" s="7" t="str">
        <f>VLOOKUP($A398,product_category,2, False)</f>
        <v>Baby Food</v>
      </c>
      <c r="C398" s="7">
        <v>3.69170081E8</v>
      </c>
      <c r="D398" s="9">
        <v>40631.0</v>
      </c>
      <c r="E398" s="10">
        <f t="shared" si="1"/>
        <v>3</v>
      </c>
      <c r="F398" s="10" t="str">
        <f t="shared" si="2"/>
        <v>Mar</v>
      </c>
      <c r="G398" s="11">
        <f t="shared" si="3"/>
        <v>29</v>
      </c>
      <c r="H398" s="7">
        <f t="shared" si="4"/>
        <v>2011</v>
      </c>
      <c r="I398" s="9">
        <v>40636.0</v>
      </c>
      <c r="J398" s="11">
        <f t="shared" si="5"/>
        <v>5</v>
      </c>
      <c r="K398" s="7" t="s">
        <v>382</v>
      </c>
      <c r="L398" s="7" t="s">
        <v>702</v>
      </c>
      <c r="M398" s="7" t="str">
        <f>VLOOKUP(L398,countries, 2,false)</f>
        <v>Sweden</v>
      </c>
      <c r="N398" s="7" t="str">
        <f>VLOOKUP(L398,countries, 4,false)</f>
        <v>Europe</v>
      </c>
      <c r="O398" s="7" t="str">
        <f>VLOOKUP(L398,countries, 5,false)</f>
        <v>Northern Europe</v>
      </c>
      <c r="P398" s="7" t="s">
        <v>212</v>
      </c>
      <c r="Q398" s="7">
        <v>4486.0</v>
      </c>
      <c r="R398" s="12">
        <v>255.28</v>
      </c>
      <c r="S398" s="12">
        <v>159.42</v>
      </c>
      <c r="T398" s="13">
        <f t="shared" si="6"/>
        <v>1145186.08</v>
      </c>
      <c r="U398" s="13">
        <f t="shared" si="7"/>
        <v>106432.92</v>
      </c>
      <c r="V398" s="13">
        <f t="shared" si="8"/>
        <v>1038753.16</v>
      </c>
      <c r="W398" s="14">
        <f>Q398/totals!B$2</f>
        <v>0.0006821232615</v>
      </c>
      <c r="X398" s="14">
        <f t="shared" si="9"/>
        <v>0.2927450732</v>
      </c>
      <c r="Y398" s="14">
        <f>T398/totals!B$5</f>
        <v>0.0006727961308</v>
      </c>
      <c r="Z398" s="14">
        <f t="shared" si="10"/>
        <v>0.2999682732</v>
      </c>
      <c r="AA398" s="14">
        <f>V398/totals!B$4</f>
        <v>0.002071248744</v>
      </c>
      <c r="AB398" s="14">
        <f t="shared" si="11"/>
        <v>0.3101574661</v>
      </c>
    </row>
    <row r="399">
      <c r="A399" s="7">
        <v>1270.0</v>
      </c>
      <c r="B399" s="7" t="str">
        <f>VLOOKUP($A399,product_category,2, False)</f>
        <v>Beverages</v>
      </c>
      <c r="C399" s="7">
        <v>3.70484149E8</v>
      </c>
      <c r="D399" s="9">
        <v>42365.0</v>
      </c>
      <c r="E399" s="10">
        <f t="shared" si="1"/>
        <v>12</v>
      </c>
      <c r="F399" s="10" t="str">
        <f t="shared" si="2"/>
        <v>Dec</v>
      </c>
      <c r="G399" s="11">
        <f t="shared" si="3"/>
        <v>27</v>
      </c>
      <c r="H399" s="7">
        <f t="shared" si="4"/>
        <v>2015</v>
      </c>
      <c r="I399" s="9">
        <v>42388.0</v>
      </c>
      <c r="J399" s="11">
        <f t="shared" si="5"/>
        <v>23</v>
      </c>
      <c r="K399" s="7" t="s">
        <v>198</v>
      </c>
      <c r="L399" s="7" t="e">
        <v>#N/A</v>
      </c>
      <c r="M399" s="7"/>
      <c r="N399" s="7"/>
      <c r="O399" s="7"/>
      <c r="P399" s="7" t="s">
        <v>129</v>
      </c>
      <c r="Q399" s="7">
        <v>3348.0</v>
      </c>
      <c r="R399" s="12">
        <v>47.45</v>
      </c>
      <c r="S399" s="12">
        <v>31.79</v>
      </c>
      <c r="T399" s="13">
        <f t="shared" si="6"/>
        <v>158862.6</v>
      </c>
      <c r="U399" s="13">
        <f t="shared" si="7"/>
        <v>405870.54</v>
      </c>
      <c r="V399" s="13">
        <f t="shared" si="8"/>
        <v>-247007.94</v>
      </c>
      <c r="W399" s="14">
        <f>Q399/totals!B$2</f>
        <v>0.0005090835219</v>
      </c>
      <c r="X399" s="14">
        <f t="shared" si="9"/>
        <v>0.2932541568</v>
      </c>
      <c r="Y399" s="14">
        <f>T399/totals!B$5</f>
        <v>0.00009333168162</v>
      </c>
      <c r="Z399" s="14">
        <f t="shared" si="10"/>
        <v>0.3000616049</v>
      </c>
      <c r="AA399" s="14">
        <f>V399/totals!B$4</f>
        <v>-0.000492527874</v>
      </c>
      <c r="AB399" s="14">
        <f t="shared" si="11"/>
        <v>0.3096649382</v>
      </c>
    </row>
    <row r="400">
      <c r="A400" s="7">
        <v>3127.0</v>
      </c>
      <c r="B400" s="7" t="str">
        <f>VLOOKUP($A400,product_category,2, False)</f>
        <v>Personal Care</v>
      </c>
      <c r="C400" s="7">
        <v>3.71814954E8</v>
      </c>
      <c r="D400" s="9">
        <v>41896.0</v>
      </c>
      <c r="E400" s="10">
        <f t="shared" si="1"/>
        <v>9</v>
      </c>
      <c r="F400" s="10" t="str">
        <f t="shared" si="2"/>
        <v>Sep</v>
      </c>
      <c r="G400" s="11">
        <f t="shared" si="3"/>
        <v>14</v>
      </c>
      <c r="H400" s="7">
        <f t="shared" si="4"/>
        <v>2014</v>
      </c>
      <c r="I400" s="9">
        <v>41920.0</v>
      </c>
      <c r="J400" s="11">
        <f t="shared" si="5"/>
        <v>24</v>
      </c>
      <c r="K400" s="7" t="s">
        <v>110</v>
      </c>
      <c r="L400" s="7" t="s">
        <v>612</v>
      </c>
      <c r="M400" s="7" t="str">
        <f>VLOOKUP(L400,countries, 2,false)</f>
        <v>Russia</v>
      </c>
      <c r="N400" s="7" t="str">
        <f>VLOOKUP(L400,countries, 4,false)</f>
        <v>Europe</v>
      </c>
      <c r="O400" s="7" t="str">
        <f>VLOOKUP(L400,countries, 5,false)</f>
        <v>Eastern Europe</v>
      </c>
      <c r="P400" s="7" t="s">
        <v>129</v>
      </c>
      <c r="Q400" s="7">
        <v>7162.0</v>
      </c>
      <c r="R400" s="12">
        <v>81.73</v>
      </c>
      <c r="S400" s="12">
        <v>56.67</v>
      </c>
      <c r="T400" s="13">
        <f t="shared" si="6"/>
        <v>585350.26</v>
      </c>
      <c r="U400" s="13">
        <f t="shared" si="7"/>
        <v>18373.6</v>
      </c>
      <c r="V400" s="13">
        <f t="shared" si="8"/>
        <v>566976.66</v>
      </c>
      <c r="W400" s="14">
        <f>Q400/totals!B$2</f>
        <v>0.001089025145</v>
      </c>
      <c r="X400" s="14">
        <f t="shared" si="9"/>
        <v>0.2943431819</v>
      </c>
      <c r="Y400" s="14">
        <f>T400/totals!B$5</f>
        <v>0.0003438929245</v>
      </c>
      <c r="Z400" s="14">
        <f t="shared" si="10"/>
        <v>0.3004054978</v>
      </c>
      <c r="AA400" s="14">
        <f>V400/totals!B$4</f>
        <v>0.001130537783</v>
      </c>
      <c r="AB400" s="14">
        <f t="shared" si="11"/>
        <v>0.310795476</v>
      </c>
    </row>
    <row r="401">
      <c r="A401" s="7">
        <v>8681.0</v>
      </c>
      <c r="B401" s="7" t="str">
        <f>VLOOKUP($A401,product_category,2, False)</f>
        <v>Office Supplies</v>
      </c>
      <c r="C401" s="7">
        <v>3.74663245E8</v>
      </c>
      <c r="D401" s="9">
        <v>40856.0</v>
      </c>
      <c r="E401" s="10">
        <f t="shared" si="1"/>
        <v>11</v>
      </c>
      <c r="F401" s="10" t="str">
        <f t="shared" si="2"/>
        <v>Nov</v>
      </c>
      <c r="G401" s="11">
        <f t="shared" si="3"/>
        <v>9</v>
      </c>
      <c r="H401" s="7">
        <f t="shared" si="4"/>
        <v>2011</v>
      </c>
      <c r="I401" s="9">
        <v>40873.0</v>
      </c>
      <c r="J401" s="11">
        <f t="shared" si="5"/>
        <v>17</v>
      </c>
      <c r="K401" s="7" t="s">
        <v>198</v>
      </c>
      <c r="L401" s="7" t="e">
        <v>#N/A</v>
      </c>
      <c r="M401" s="7"/>
      <c r="N401" s="7"/>
      <c r="O401" s="7"/>
      <c r="P401" s="7" t="s">
        <v>129</v>
      </c>
      <c r="Q401" s="7">
        <v>35.0</v>
      </c>
      <c r="R401" s="12">
        <v>651.21</v>
      </c>
      <c r="S401" s="12">
        <v>524.96</v>
      </c>
      <c r="T401" s="13">
        <f t="shared" si="6"/>
        <v>22792.35</v>
      </c>
      <c r="U401" s="13">
        <f t="shared" si="7"/>
        <v>175508.48</v>
      </c>
      <c r="V401" s="13">
        <f t="shared" si="8"/>
        <v>-152716.13</v>
      </c>
      <c r="W401" s="14">
        <f>Q401/totals!B$2</f>
        <v>0.000005321960355</v>
      </c>
      <c r="X401" s="14">
        <f t="shared" si="9"/>
        <v>0.2943485039</v>
      </c>
      <c r="Y401" s="14">
        <f>T401/totals!B$5</f>
        <v>0.00001339049187</v>
      </c>
      <c r="Z401" s="14">
        <f t="shared" si="10"/>
        <v>0.3004188883</v>
      </c>
      <c r="AA401" s="14">
        <f>V401/totals!B$4</f>
        <v>-0.0003045122794</v>
      </c>
      <c r="AB401" s="14">
        <f t="shared" si="11"/>
        <v>0.3104909637</v>
      </c>
    </row>
    <row r="402">
      <c r="A402" s="7">
        <v>2455.0</v>
      </c>
      <c r="B402" s="7" t="str">
        <f>VLOOKUP($A402,product_category,2, False)</f>
        <v>Clothes</v>
      </c>
      <c r="C402" s="7">
        <v>3.74848639E8</v>
      </c>
      <c r="D402" s="9">
        <v>41137.0</v>
      </c>
      <c r="E402" s="10">
        <f t="shared" si="1"/>
        <v>8</v>
      </c>
      <c r="F402" s="10" t="str">
        <f t="shared" si="2"/>
        <v>Aug</v>
      </c>
      <c r="G402" s="11">
        <f t="shared" si="3"/>
        <v>16</v>
      </c>
      <c r="H402" s="7">
        <f t="shared" si="4"/>
        <v>2012</v>
      </c>
      <c r="I402" s="9">
        <v>41158.0</v>
      </c>
      <c r="J402" s="11">
        <f t="shared" si="5"/>
        <v>21</v>
      </c>
      <c r="K402" s="7" t="s">
        <v>382</v>
      </c>
      <c r="L402" s="7" t="s">
        <v>540</v>
      </c>
      <c r="M402" s="7" t="str">
        <f>VLOOKUP(L402,countries, 2,false)</f>
        <v>Spain</v>
      </c>
      <c r="N402" s="7" t="str">
        <f>VLOOKUP(L402,countries, 4,false)</f>
        <v>Europe</v>
      </c>
      <c r="O402" s="7" t="str">
        <f>VLOOKUP(L402,countries, 5,false)</f>
        <v>Southern Europe</v>
      </c>
      <c r="P402" s="7" t="s">
        <v>129</v>
      </c>
      <c r="Q402" s="7">
        <v>4897.0</v>
      </c>
      <c r="R402" s="12">
        <v>109.28</v>
      </c>
      <c r="S402" s="12">
        <v>35.84</v>
      </c>
      <c r="T402" s="13">
        <f t="shared" si="6"/>
        <v>535144.16</v>
      </c>
      <c r="U402" s="13">
        <f t="shared" si="7"/>
        <v>55982.08</v>
      </c>
      <c r="V402" s="13">
        <f t="shared" si="8"/>
        <v>479162.08</v>
      </c>
      <c r="W402" s="14">
        <f>Q402/totals!B$2</f>
        <v>0.0007446182816</v>
      </c>
      <c r="X402" s="14">
        <f t="shared" si="9"/>
        <v>0.2950931221</v>
      </c>
      <c r="Y402" s="14">
        <f>T402/totals!B$5</f>
        <v>0.000314396871</v>
      </c>
      <c r="Z402" s="14">
        <f t="shared" si="10"/>
        <v>0.3007332852</v>
      </c>
      <c r="AA402" s="14">
        <f>V402/totals!B$4</f>
        <v>0.0009554376291</v>
      </c>
      <c r="AB402" s="14">
        <f t="shared" si="11"/>
        <v>0.3114464014</v>
      </c>
    </row>
    <row r="403">
      <c r="A403" s="7">
        <v>2455.0</v>
      </c>
      <c r="B403" s="7" t="str">
        <f>VLOOKUP($A403,product_category,2, False)</f>
        <v>Clothes</v>
      </c>
      <c r="C403" s="7">
        <v>3.78216636E8</v>
      </c>
      <c r="D403" s="9">
        <v>42549.0</v>
      </c>
      <c r="E403" s="10">
        <f t="shared" si="1"/>
        <v>6</v>
      </c>
      <c r="F403" s="10" t="str">
        <f t="shared" si="2"/>
        <v>Jun</v>
      </c>
      <c r="G403" s="11">
        <f t="shared" si="3"/>
        <v>28</v>
      </c>
      <c r="H403" s="7">
        <f t="shared" si="4"/>
        <v>2016</v>
      </c>
      <c r="I403" s="9">
        <v>42590.0</v>
      </c>
      <c r="J403" s="11">
        <f t="shared" si="5"/>
        <v>41</v>
      </c>
      <c r="K403" s="7" t="s">
        <v>382</v>
      </c>
      <c r="L403" s="7" t="s">
        <v>451</v>
      </c>
      <c r="M403" s="7" t="str">
        <f>VLOOKUP(L403,countries, 2,false)</f>
        <v>Lithuania</v>
      </c>
      <c r="N403" s="7" t="str">
        <f>VLOOKUP(L403,countries, 4,false)</f>
        <v>Europe</v>
      </c>
      <c r="O403" s="7" t="str">
        <f>VLOOKUP(L403,countries, 5,false)</f>
        <v>Northern Europe</v>
      </c>
      <c r="P403" s="7" t="s">
        <v>129</v>
      </c>
      <c r="Q403" s="7">
        <v>1562.0</v>
      </c>
      <c r="R403" s="12">
        <v>109.28</v>
      </c>
      <c r="S403" s="12">
        <v>35.84</v>
      </c>
      <c r="T403" s="13">
        <f t="shared" si="6"/>
        <v>170695.36</v>
      </c>
      <c r="U403" s="13">
        <f t="shared" si="7"/>
        <v>2371286.65</v>
      </c>
      <c r="V403" s="13">
        <f t="shared" si="8"/>
        <v>-2200591.29</v>
      </c>
      <c r="W403" s="14">
        <f>Q403/totals!B$2</f>
        <v>0.0002375114878</v>
      </c>
      <c r="X403" s="14">
        <f t="shared" si="9"/>
        <v>0.2953306336</v>
      </c>
      <c r="Y403" s="14">
        <f>T403/totals!B$5</f>
        <v>0.000100283421</v>
      </c>
      <c r="Z403" s="14">
        <f t="shared" si="10"/>
        <v>0.3008335686</v>
      </c>
      <c r="AA403" s="14">
        <f>V403/totals!B$4</f>
        <v>-0.004387925949</v>
      </c>
      <c r="AB403" s="14">
        <f t="shared" si="11"/>
        <v>0.3070584754</v>
      </c>
    </row>
    <row r="404">
      <c r="A404" s="7">
        <v>8293.0</v>
      </c>
      <c r="B404" s="7" t="str">
        <f>VLOOKUP($A404,product_category,2, False)</f>
        <v>Cosmetics</v>
      </c>
      <c r="C404" s="7">
        <v>3.78714883E8</v>
      </c>
      <c r="D404" s="9">
        <v>41229.0</v>
      </c>
      <c r="E404" s="10">
        <f t="shared" si="1"/>
        <v>11</v>
      </c>
      <c r="F404" s="10" t="str">
        <f t="shared" si="2"/>
        <v>Nov</v>
      </c>
      <c r="G404" s="11">
        <f t="shared" si="3"/>
        <v>16</v>
      </c>
      <c r="H404" s="7">
        <f t="shared" si="4"/>
        <v>2012</v>
      </c>
      <c r="I404" s="9">
        <v>41259.0</v>
      </c>
      <c r="J404" s="11">
        <f t="shared" si="5"/>
        <v>30</v>
      </c>
      <c r="K404" s="7" t="s">
        <v>110</v>
      </c>
      <c r="L404" s="7" t="s">
        <v>323</v>
      </c>
      <c r="M404" s="7" t="str">
        <f>VLOOKUP(L404,countries, 2,false)</f>
        <v>Montenegro</v>
      </c>
      <c r="N404" s="7" t="str">
        <f>VLOOKUP(L404,countries, 4,false)</f>
        <v>Europe</v>
      </c>
      <c r="O404" s="7" t="str">
        <f>VLOOKUP(L404,countries, 5,false)</f>
        <v>Southern Europe</v>
      </c>
      <c r="P404" s="7" t="s">
        <v>212</v>
      </c>
      <c r="Q404" s="7">
        <v>9005.0</v>
      </c>
      <c r="R404" s="12">
        <v>437.2</v>
      </c>
      <c r="S404" s="12">
        <v>263.33</v>
      </c>
      <c r="T404" s="13">
        <f t="shared" si="6"/>
        <v>3936986</v>
      </c>
      <c r="U404" s="13">
        <f t="shared" si="7"/>
        <v>186480.14</v>
      </c>
      <c r="V404" s="13">
        <f t="shared" si="8"/>
        <v>3750505.86</v>
      </c>
      <c r="W404" s="14">
        <f>Q404/totals!B$2</f>
        <v>0.001369264371</v>
      </c>
      <c r="X404" s="14">
        <f t="shared" si="9"/>
        <v>0.296699898</v>
      </c>
      <c r="Y404" s="14">
        <f>T404/totals!B$5</f>
        <v>0.002312976899</v>
      </c>
      <c r="Z404" s="14">
        <f t="shared" si="10"/>
        <v>0.3031465455</v>
      </c>
      <c r="AA404" s="14">
        <f>V404/totals!B$4</f>
        <v>0.007478418215</v>
      </c>
      <c r="AB404" s="14">
        <f t="shared" si="11"/>
        <v>0.3145368936</v>
      </c>
    </row>
    <row r="405">
      <c r="A405" s="7">
        <v>1270.0</v>
      </c>
      <c r="B405" s="7" t="str">
        <f>VLOOKUP($A405,product_category,2, False)</f>
        <v>Beverages</v>
      </c>
      <c r="C405" s="7">
        <v>3.7887324E8</v>
      </c>
      <c r="D405" s="9">
        <v>41238.0</v>
      </c>
      <c r="E405" s="10">
        <f t="shared" si="1"/>
        <v>11</v>
      </c>
      <c r="F405" s="10" t="str">
        <f t="shared" si="2"/>
        <v>Nov</v>
      </c>
      <c r="G405" s="11">
        <f t="shared" si="3"/>
        <v>25</v>
      </c>
      <c r="H405" s="7">
        <f t="shared" si="4"/>
        <v>2012</v>
      </c>
      <c r="I405" s="9">
        <v>41241.0</v>
      </c>
      <c r="J405" s="11">
        <f t="shared" si="5"/>
        <v>3</v>
      </c>
      <c r="K405" s="7" t="s">
        <v>382</v>
      </c>
      <c r="L405" s="7" t="s">
        <v>56</v>
      </c>
      <c r="M405" s="7" t="str">
        <f>VLOOKUP(L405,countries, 2,false)</f>
        <v>Andorra</v>
      </c>
      <c r="N405" s="7" t="str">
        <f>VLOOKUP(L405,countries, 4,false)</f>
        <v>Europe</v>
      </c>
      <c r="O405" s="7" t="str">
        <f>VLOOKUP(L405,countries, 5,false)</f>
        <v>Southern Europe</v>
      </c>
      <c r="P405" s="7" t="s">
        <v>129</v>
      </c>
      <c r="Q405" s="7">
        <v>5866.0</v>
      </c>
      <c r="R405" s="12">
        <v>47.45</v>
      </c>
      <c r="S405" s="12">
        <v>31.79</v>
      </c>
      <c r="T405" s="13">
        <f t="shared" si="6"/>
        <v>278341.7</v>
      </c>
      <c r="U405" s="13">
        <f t="shared" si="7"/>
        <v>354636.8</v>
      </c>
      <c r="V405" s="13">
        <f t="shared" si="8"/>
        <v>-76295.1</v>
      </c>
      <c r="W405" s="14">
        <f>Q405/totals!B$2</f>
        <v>0.0008919605555</v>
      </c>
      <c r="X405" s="14">
        <f t="shared" si="9"/>
        <v>0.2975918586</v>
      </c>
      <c r="Y405" s="14">
        <f>T405/totals!B$5</f>
        <v>0.0001635255808</v>
      </c>
      <c r="Z405" s="14">
        <f t="shared" si="10"/>
        <v>0.3033100711</v>
      </c>
      <c r="AA405" s="14">
        <f>V405/totals!B$4</f>
        <v>-0.000152130589</v>
      </c>
      <c r="AB405" s="14">
        <f t="shared" si="11"/>
        <v>0.314384763</v>
      </c>
    </row>
    <row r="406">
      <c r="A406" s="7">
        <v>2455.0</v>
      </c>
      <c r="B406" s="7" t="str">
        <f>VLOOKUP($A406,product_category,2, False)</f>
        <v>Clothes</v>
      </c>
      <c r="C406" s="7">
        <v>3.79900634E8</v>
      </c>
      <c r="D406" s="9">
        <v>40489.0</v>
      </c>
      <c r="E406" s="10">
        <f t="shared" si="1"/>
        <v>11</v>
      </c>
      <c r="F406" s="10" t="str">
        <f t="shared" si="2"/>
        <v>Nov</v>
      </c>
      <c r="G406" s="11">
        <f t="shared" si="3"/>
        <v>7</v>
      </c>
      <c r="H406" s="7">
        <f t="shared" si="4"/>
        <v>2010</v>
      </c>
      <c r="I406" s="9">
        <v>40514.0</v>
      </c>
      <c r="J406" s="11">
        <f t="shared" si="5"/>
        <v>25</v>
      </c>
      <c r="K406" s="7" t="s">
        <v>322</v>
      </c>
      <c r="L406" s="7" t="s">
        <v>307</v>
      </c>
      <c r="M406" s="7" t="str">
        <f>VLOOKUP(L406,countries, 2,false)</f>
        <v>Germany</v>
      </c>
      <c r="N406" s="7" t="str">
        <f>VLOOKUP(L406,countries, 4,false)</f>
        <v>Europe</v>
      </c>
      <c r="O406" s="7" t="str">
        <f>VLOOKUP(L406,countries, 5,false)</f>
        <v>Western Europe</v>
      </c>
      <c r="P406" s="7" t="s">
        <v>212</v>
      </c>
      <c r="Q406" s="7">
        <v>9895.0</v>
      </c>
      <c r="R406" s="12">
        <v>109.28</v>
      </c>
      <c r="S406" s="12">
        <v>35.84</v>
      </c>
      <c r="T406" s="13">
        <f t="shared" si="6"/>
        <v>1081325.6</v>
      </c>
      <c r="U406" s="13">
        <f t="shared" si="7"/>
        <v>878942.46</v>
      </c>
      <c r="V406" s="13">
        <f t="shared" si="8"/>
        <v>202383.14</v>
      </c>
      <c r="W406" s="14">
        <f>Q406/totals!B$2</f>
        <v>0.00150459422</v>
      </c>
      <c r="X406" s="14">
        <f t="shared" si="9"/>
        <v>0.2990964528</v>
      </c>
      <c r="Y406" s="14">
        <f>T406/totals!B$5</f>
        <v>0.0006352781374</v>
      </c>
      <c r="Z406" s="14">
        <f t="shared" si="10"/>
        <v>0.3039453492</v>
      </c>
      <c r="AA406" s="14">
        <f>V406/totals!B$4</f>
        <v>0.0004035470992</v>
      </c>
      <c r="AB406" s="14">
        <f t="shared" si="11"/>
        <v>0.3147883101</v>
      </c>
    </row>
    <row r="407">
      <c r="A407" s="7">
        <v>7940.0</v>
      </c>
      <c r="B407" s="7" t="str">
        <f>VLOOKUP($A407,product_category,2, False)</f>
        <v>Household</v>
      </c>
      <c r="C407" s="7">
        <v>3.80379998E8</v>
      </c>
      <c r="D407" s="9">
        <v>42930.0</v>
      </c>
      <c r="E407" s="10">
        <f t="shared" si="1"/>
        <v>7</v>
      </c>
      <c r="F407" s="10" t="str">
        <f t="shared" si="2"/>
        <v>Jul</v>
      </c>
      <c r="G407" s="11">
        <f t="shared" si="3"/>
        <v>14</v>
      </c>
      <c r="H407" s="7">
        <f t="shared" si="4"/>
        <v>2017</v>
      </c>
      <c r="I407" s="9">
        <v>42932.0</v>
      </c>
      <c r="J407" s="11">
        <f t="shared" si="5"/>
        <v>2</v>
      </c>
      <c r="K407" s="7" t="s">
        <v>198</v>
      </c>
      <c r="L407" s="7" t="s">
        <v>28</v>
      </c>
      <c r="M407" s="7" t="str">
        <f>VLOOKUP(L407,countries, 2,false)</f>
        <v>Albania</v>
      </c>
      <c r="N407" s="7" t="str">
        <f>VLOOKUP(L407,countries, 4,false)</f>
        <v>Europe</v>
      </c>
      <c r="O407" s="7" t="str">
        <f>VLOOKUP(L407,countries, 5,false)</f>
        <v>Southern Europe</v>
      </c>
      <c r="P407" s="7" t="s">
        <v>129</v>
      </c>
      <c r="Q407" s="7">
        <v>1749.0</v>
      </c>
      <c r="R407" s="12">
        <v>668.27</v>
      </c>
      <c r="S407" s="12">
        <v>502.54</v>
      </c>
      <c r="T407" s="13">
        <f t="shared" si="6"/>
        <v>1168804.23</v>
      </c>
      <c r="U407" s="13">
        <f t="shared" si="7"/>
        <v>248263.68</v>
      </c>
      <c r="V407" s="13">
        <f t="shared" si="8"/>
        <v>920540.55</v>
      </c>
      <c r="W407" s="14">
        <f>Q407/totals!B$2</f>
        <v>0.0002659459617</v>
      </c>
      <c r="X407" s="14">
        <f t="shared" si="9"/>
        <v>0.2993623987</v>
      </c>
      <c r="Y407" s="14">
        <f>T407/totals!B$5</f>
        <v>0.0006866717797</v>
      </c>
      <c r="Z407" s="14">
        <f t="shared" si="10"/>
        <v>0.304632021</v>
      </c>
      <c r="AA407" s="14">
        <f>V407/totals!B$4</f>
        <v>0.001835535651</v>
      </c>
      <c r="AB407" s="14">
        <f t="shared" si="11"/>
        <v>0.3166238458</v>
      </c>
    </row>
    <row r="408">
      <c r="A408" s="7">
        <v>2455.0</v>
      </c>
      <c r="B408" s="7" t="str">
        <f>VLOOKUP($A408,product_category,2, False)</f>
        <v>Clothes</v>
      </c>
      <c r="C408" s="7">
        <v>3.80498874E8</v>
      </c>
      <c r="D408" s="9">
        <v>41753.0</v>
      </c>
      <c r="E408" s="10">
        <f t="shared" si="1"/>
        <v>4</v>
      </c>
      <c r="F408" s="10" t="str">
        <f t="shared" si="2"/>
        <v>Apr</v>
      </c>
      <c r="G408" s="11">
        <f t="shared" si="3"/>
        <v>24</v>
      </c>
      <c r="H408" s="7">
        <f t="shared" si="4"/>
        <v>2014</v>
      </c>
      <c r="I408" s="9">
        <v>41772.0</v>
      </c>
      <c r="J408" s="11">
        <f t="shared" si="5"/>
        <v>19</v>
      </c>
      <c r="K408" s="7" t="s">
        <v>382</v>
      </c>
      <c r="L408" s="7" t="s">
        <v>155</v>
      </c>
      <c r="M408" s="7" t="str">
        <f>VLOOKUP(L408,countries, 2,false)</f>
        <v>Bulgaria</v>
      </c>
      <c r="N408" s="7" t="str">
        <f>VLOOKUP(L408,countries, 4,false)</f>
        <v>Europe</v>
      </c>
      <c r="O408" s="7" t="str">
        <f>VLOOKUP(L408,countries, 5,false)</f>
        <v>Eastern Europe</v>
      </c>
      <c r="P408" s="7" t="s">
        <v>129</v>
      </c>
      <c r="Q408" s="7">
        <v>6927.0</v>
      </c>
      <c r="R408" s="12">
        <v>109.28</v>
      </c>
      <c r="S408" s="12">
        <v>35.84</v>
      </c>
      <c r="T408" s="13">
        <f t="shared" si="6"/>
        <v>756982.56</v>
      </c>
      <c r="U408" s="13">
        <f t="shared" si="7"/>
        <v>3627206.74</v>
      </c>
      <c r="V408" s="13">
        <f t="shared" si="8"/>
        <v>-2870224.18</v>
      </c>
      <c r="W408" s="14">
        <f>Q408/totals!B$2</f>
        <v>0.001053291982</v>
      </c>
      <c r="X408" s="14">
        <f t="shared" si="9"/>
        <v>0.3004156907</v>
      </c>
      <c r="Y408" s="14">
        <f>T408/totals!B$5</f>
        <v>0.0004447267971</v>
      </c>
      <c r="Z408" s="14">
        <f t="shared" si="10"/>
        <v>0.3050767478</v>
      </c>
      <c r="AA408" s="14">
        <f>V408/totals!B$4</f>
        <v>-0.005723157779</v>
      </c>
      <c r="AB408" s="14">
        <f t="shared" si="11"/>
        <v>0.310900688</v>
      </c>
    </row>
    <row r="409">
      <c r="A409" s="7">
        <v>8875.0</v>
      </c>
      <c r="B409" s="7" t="str">
        <f>VLOOKUP($A409,product_category,2, False)</f>
        <v>Meat</v>
      </c>
      <c r="C409" s="7">
        <v>3.80610454E8</v>
      </c>
      <c r="D409" s="9">
        <v>40898.0</v>
      </c>
      <c r="E409" s="10">
        <f t="shared" si="1"/>
        <v>12</v>
      </c>
      <c r="F409" s="10" t="str">
        <f t="shared" si="2"/>
        <v>Dec</v>
      </c>
      <c r="G409" s="11">
        <f t="shared" si="3"/>
        <v>21</v>
      </c>
      <c r="H409" s="7">
        <f t="shared" si="4"/>
        <v>2011</v>
      </c>
      <c r="I409" s="9">
        <v>40906.0</v>
      </c>
      <c r="J409" s="11">
        <f t="shared" si="5"/>
        <v>8</v>
      </c>
      <c r="K409" s="7" t="s">
        <v>198</v>
      </c>
      <c r="L409" s="7" t="s">
        <v>200</v>
      </c>
      <c r="M409" s="7" t="str">
        <f>VLOOKUP(L409,countries, 2,false)</f>
        <v>Serbia</v>
      </c>
      <c r="N409" s="7" t="str">
        <f>VLOOKUP(L409,countries, 4,false)</f>
        <v>Europe</v>
      </c>
      <c r="O409" s="7" t="str">
        <f>VLOOKUP(L409,countries, 5,false)</f>
        <v>Southern Europe</v>
      </c>
      <c r="P409" s="7" t="s">
        <v>212</v>
      </c>
      <c r="Q409" s="7">
        <v>9946.0</v>
      </c>
      <c r="R409" s="12">
        <v>421.89</v>
      </c>
      <c r="S409" s="12">
        <v>364.69</v>
      </c>
      <c r="T409" s="13">
        <f t="shared" si="6"/>
        <v>4196117.94</v>
      </c>
      <c r="U409" s="13">
        <f t="shared" si="7"/>
        <v>471097.37</v>
      </c>
      <c r="V409" s="13">
        <f t="shared" si="8"/>
        <v>3725020.57</v>
      </c>
      <c r="W409" s="14">
        <f>Q409/totals!B$2</f>
        <v>0.001512349077</v>
      </c>
      <c r="X409" s="14">
        <f t="shared" si="9"/>
        <v>0.3019280398</v>
      </c>
      <c r="Y409" s="14">
        <f>T409/totals!B$5</f>
        <v>0.002465216757</v>
      </c>
      <c r="Z409" s="14">
        <f t="shared" si="10"/>
        <v>0.3075419646</v>
      </c>
      <c r="AA409" s="14">
        <f>V409/totals!B$4</f>
        <v>0.007427601161</v>
      </c>
      <c r="AB409" s="14">
        <f t="shared" si="11"/>
        <v>0.3183282892</v>
      </c>
    </row>
    <row r="410">
      <c r="A410" s="7">
        <v>8293.0</v>
      </c>
      <c r="B410" s="7" t="str">
        <f>VLOOKUP($A410,product_category,2, False)</f>
        <v>Cosmetics</v>
      </c>
      <c r="C410" s="7">
        <v>3.80684268E8</v>
      </c>
      <c r="D410" s="9">
        <v>42034.0</v>
      </c>
      <c r="E410" s="10">
        <f t="shared" si="1"/>
        <v>1</v>
      </c>
      <c r="F410" s="10" t="str">
        <f t="shared" si="2"/>
        <v>Jan</v>
      </c>
      <c r="G410" s="11">
        <f t="shared" si="3"/>
        <v>30</v>
      </c>
      <c r="H410" s="7">
        <f t="shared" si="4"/>
        <v>2015</v>
      </c>
      <c r="I410" s="9">
        <v>42058.0</v>
      </c>
      <c r="J410" s="11">
        <f t="shared" si="5"/>
        <v>24</v>
      </c>
      <c r="K410" s="7" t="s">
        <v>110</v>
      </c>
      <c r="L410" s="7" t="s">
        <v>454</v>
      </c>
      <c r="M410" s="7" t="str">
        <f>VLOOKUP(L410,countries, 2,false)</f>
        <v>Luxembourg</v>
      </c>
      <c r="N410" s="7" t="str">
        <f>VLOOKUP(L410,countries, 4,false)</f>
        <v>Europe</v>
      </c>
      <c r="O410" s="7" t="str">
        <f>VLOOKUP(L410,countries, 5,false)</f>
        <v>Western Europe</v>
      </c>
      <c r="P410" s="7" t="s">
        <v>212</v>
      </c>
      <c r="Q410" s="7">
        <v>1789.0</v>
      </c>
      <c r="R410" s="12">
        <v>437.2</v>
      </c>
      <c r="S410" s="12">
        <v>263.33</v>
      </c>
      <c r="T410" s="13">
        <f t="shared" si="6"/>
        <v>782150.8</v>
      </c>
      <c r="U410" s="13">
        <f t="shared" si="7"/>
        <v>999085.14</v>
      </c>
      <c r="V410" s="13">
        <f t="shared" si="8"/>
        <v>-216934.34</v>
      </c>
      <c r="W410" s="14">
        <f>Q410/totals!B$2</f>
        <v>0.0002720282021</v>
      </c>
      <c r="X410" s="14">
        <f t="shared" si="9"/>
        <v>0.302200068</v>
      </c>
      <c r="Y410" s="14">
        <f>T410/totals!B$5</f>
        <v>0.0004595131229</v>
      </c>
      <c r="Z410" s="14">
        <f t="shared" si="10"/>
        <v>0.3080014777</v>
      </c>
      <c r="AA410" s="14">
        <f>V410/totals!B$4</f>
        <v>-0.000432561841</v>
      </c>
      <c r="AB410" s="14">
        <f t="shared" si="11"/>
        <v>0.3178957273</v>
      </c>
    </row>
    <row r="411">
      <c r="A411" s="7">
        <v>7331.0</v>
      </c>
      <c r="B411" s="7" t="str">
        <f>VLOOKUP($A411,product_category,2, False)</f>
        <v>Baby Food</v>
      </c>
      <c r="C411" s="7">
        <v>3.80733191E8</v>
      </c>
      <c r="D411" s="9">
        <v>41340.0</v>
      </c>
      <c r="E411" s="10">
        <f t="shared" si="1"/>
        <v>3</v>
      </c>
      <c r="F411" s="10" t="str">
        <f t="shared" si="2"/>
        <v>Mar</v>
      </c>
      <c r="G411" s="11">
        <f t="shared" si="3"/>
        <v>7</v>
      </c>
      <c r="H411" s="7">
        <f t="shared" si="4"/>
        <v>2013</v>
      </c>
      <c r="I411" s="9">
        <v>41377.0</v>
      </c>
      <c r="J411" s="11">
        <f t="shared" si="5"/>
        <v>37</v>
      </c>
      <c r="K411" s="7" t="s">
        <v>198</v>
      </c>
      <c r="L411" s="7" t="s">
        <v>56</v>
      </c>
      <c r="M411" s="7" t="str">
        <f>VLOOKUP(L411,countries, 2,false)</f>
        <v>Andorra</v>
      </c>
      <c r="N411" s="7" t="str">
        <f>VLOOKUP(L411,countries, 4,false)</f>
        <v>Europe</v>
      </c>
      <c r="O411" s="7" t="str">
        <f>VLOOKUP(L411,countries, 5,false)</f>
        <v>Southern Europe</v>
      </c>
      <c r="P411" s="7" t="s">
        <v>212</v>
      </c>
      <c r="Q411" s="7">
        <v>6267.0</v>
      </c>
      <c r="R411" s="12">
        <v>255.28</v>
      </c>
      <c r="S411" s="12">
        <v>159.42</v>
      </c>
      <c r="T411" s="13">
        <f t="shared" si="6"/>
        <v>1599839.76</v>
      </c>
      <c r="U411" s="13">
        <f t="shared" si="7"/>
        <v>355317.76</v>
      </c>
      <c r="V411" s="13">
        <f t="shared" si="8"/>
        <v>1244522</v>
      </c>
      <c r="W411" s="14">
        <f>Q411/totals!B$2</f>
        <v>0.0009529350155</v>
      </c>
      <c r="X411" s="14">
        <f t="shared" si="9"/>
        <v>0.303153003</v>
      </c>
      <c r="Y411" s="14">
        <f>T411/totals!B$5</f>
        <v>0.0009399048934</v>
      </c>
      <c r="Z411" s="14">
        <f t="shared" si="10"/>
        <v>0.3089413826</v>
      </c>
      <c r="AA411" s="14">
        <f>V411/totals!B$4</f>
        <v>0.002481546847</v>
      </c>
      <c r="AB411" s="14">
        <f t="shared" si="11"/>
        <v>0.3203772742</v>
      </c>
    </row>
    <row r="412">
      <c r="A412" s="7">
        <v>2455.0</v>
      </c>
      <c r="B412" s="7" t="str">
        <f>VLOOKUP($A412,product_category,2, False)</f>
        <v>Clothes</v>
      </c>
      <c r="C412" s="7">
        <v>3.81759297E8</v>
      </c>
      <c r="D412" s="9">
        <v>40972.0</v>
      </c>
      <c r="E412" s="10">
        <f t="shared" si="1"/>
        <v>3</v>
      </c>
      <c r="F412" s="10" t="str">
        <f t="shared" si="2"/>
        <v>Mar</v>
      </c>
      <c r="G412" s="11">
        <f t="shared" si="3"/>
        <v>4</v>
      </c>
      <c r="H412" s="7">
        <f t="shared" si="4"/>
        <v>2012</v>
      </c>
      <c r="I412" s="9">
        <v>40993.0</v>
      </c>
      <c r="J412" s="11">
        <f t="shared" si="5"/>
        <v>21</v>
      </c>
      <c r="K412" s="7" t="s">
        <v>198</v>
      </c>
      <c r="L412" s="7" t="s">
        <v>323</v>
      </c>
      <c r="M412" s="7" t="str">
        <f>VLOOKUP(L412,countries, 2,false)</f>
        <v>Montenegro</v>
      </c>
      <c r="N412" s="7" t="str">
        <f>VLOOKUP(L412,countries, 4,false)</f>
        <v>Europe</v>
      </c>
      <c r="O412" s="7" t="str">
        <f>VLOOKUP(L412,countries, 5,false)</f>
        <v>Southern Europe</v>
      </c>
      <c r="P412" s="7" t="s">
        <v>129</v>
      </c>
      <c r="Q412" s="7">
        <v>9914.0</v>
      </c>
      <c r="R412" s="12">
        <v>109.28</v>
      </c>
      <c r="S412" s="12">
        <v>35.84</v>
      </c>
      <c r="T412" s="13">
        <f t="shared" si="6"/>
        <v>1083401.92</v>
      </c>
      <c r="U412" s="13">
        <f t="shared" si="7"/>
        <v>31043.12</v>
      </c>
      <c r="V412" s="13">
        <f t="shared" si="8"/>
        <v>1052358.8</v>
      </c>
      <c r="W412" s="14">
        <f>Q412/totals!B$2</f>
        <v>0.001507483284</v>
      </c>
      <c r="X412" s="14">
        <f t="shared" si="9"/>
        <v>0.3046604863</v>
      </c>
      <c r="Y412" s="14">
        <f>T412/totals!B$5</f>
        <v>0.0006364979741</v>
      </c>
      <c r="Z412" s="14">
        <f t="shared" si="10"/>
        <v>0.3095778806</v>
      </c>
      <c r="AA412" s="14">
        <f>V412/totals!B$4</f>
        <v>0.002098378062</v>
      </c>
      <c r="AB412" s="14">
        <f t="shared" si="11"/>
        <v>0.3224756522</v>
      </c>
    </row>
    <row r="413">
      <c r="A413" s="7">
        <v>4594.0</v>
      </c>
      <c r="B413" s="7" t="str">
        <f>VLOOKUP($A413,product_category,2, False)</f>
        <v>Fruits</v>
      </c>
      <c r="C413" s="7">
        <v>3.81774747E8</v>
      </c>
      <c r="D413" s="9">
        <v>41918.0</v>
      </c>
      <c r="E413" s="10">
        <f t="shared" si="1"/>
        <v>10</v>
      </c>
      <c r="F413" s="10" t="str">
        <f t="shared" si="2"/>
        <v>Oct</v>
      </c>
      <c r="G413" s="11">
        <f t="shared" si="3"/>
        <v>6</v>
      </c>
      <c r="H413" s="7">
        <f t="shared" si="4"/>
        <v>2014</v>
      </c>
      <c r="I413" s="9">
        <v>41935.0</v>
      </c>
      <c r="J413" s="11">
        <f t="shared" si="5"/>
        <v>17</v>
      </c>
      <c r="K413" s="7" t="s">
        <v>198</v>
      </c>
      <c r="L413" s="7" t="s">
        <v>111</v>
      </c>
      <c r="M413" s="7" t="str">
        <f>VLOOKUP(L413,countries, 2,false)</f>
        <v>Norway</v>
      </c>
      <c r="N413" s="7" t="str">
        <f>VLOOKUP(L413,countries, 4,false)</f>
        <v>Europe</v>
      </c>
      <c r="O413" s="7" t="str">
        <f>VLOOKUP(L413,countries, 5,false)</f>
        <v>Northern Europe</v>
      </c>
      <c r="P413" s="7" t="s">
        <v>212</v>
      </c>
      <c r="Q413" s="7">
        <v>4486.0</v>
      </c>
      <c r="R413" s="12">
        <v>9.33</v>
      </c>
      <c r="S413" s="12">
        <v>6.92</v>
      </c>
      <c r="T413" s="13">
        <f t="shared" si="6"/>
        <v>41854.38</v>
      </c>
      <c r="U413" s="13">
        <f t="shared" si="7"/>
        <v>176357.04</v>
      </c>
      <c r="V413" s="13">
        <f t="shared" si="8"/>
        <v>-134502.66</v>
      </c>
      <c r="W413" s="14">
        <f>Q413/totals!B$2</f>
        <v>0.0006821232615</v>
      </c>
      <c r="X413" s="14">
        <f t="shared" si="9"/>
        <v>0.3053426096</v>
      </c>
      <c r="Y413" s="14">
        <f>T413/totals!B$5</f>
        <v>0.00002458942299</v>
      </c>
      <c r="Z413" s="14">
        <f t="shared" si="10"/>
        <v>0.30960247</v>
      </c>
      <c r="AA413" s="14">
        <f>V413/totals!B$4</f>
        <v>-0.0002681950595</v>
      </c>
      <c r="AB413" s="14">
        <f t="shared" si="11"/>
        <v>0.3222074572</v>
      </c>
    </row>
    <row r="414">
      <c r="A414" s="7">
        <v>3127.0</v>
      </c>
      <c r="B414" s="7" t="str">
        <f>VLOOKUP($A414,product_category,2, False)</f>
        <v>Personal Care</v>
      </c>
      <c r="C414" s="7">
        <v>3.82581126E8</v>
      </c>
      <c r="D414" s="9">
        <v>41321.0</v>
      </c>
      <c r="E414" s="10">
        <f t="shared" si="1"/>
        <v>2</v>
      </c>
      <c r="F414" s="10" t="str">
        <f t="shared" si="2"/>
        <v>Feb</v>
      </c>
      <c r="G414" s="11">
        <f t="shared" si="3"/>
        <v>16</v>
      </c>
      <c r="H414" s="7">
        <f t="shared" si="4"/>
        <v>2013</v>
      </c>
      <c r="I414" s="9">
        <v>41360.0</v>
      </c>
      <c r="J414" s="11">
        <f t="shared" si="5"/>
        <v>39</v>
      </c>
      <c r="K414" s="7" t="s">
        <v>110</v>
      </c>
      <c r="L414" s="7" t="s">
        <v>383</v>
      </c>
      <c r="M414" s="7" t="str">
        <f>VLOOKUP(L414,countries, 2,false)</f>
        <v>Ireland</v>
      </c>
      <c r="N414" s="7" t="str">
        <f>VLOOKUP(L414,countries, 4,false)</f>
        <v>Europe</v>
      </c>
      <c r="O414" s="7" t="str">
        <f>VLOOKUP(L414,countries, 5,false)</f>
        <v>Northern Europe</v>
      </c>
      <c r="P414" s="7" t="s">
        <v>212</v>
      </c>
      <c r="Q414" s="7">
        <v>3112.0</v>
      </c>
      <c r="R414" s="12">
        <v>81.73</v>
      </c>
      <c r="S414" s="12">
        <v>56.67</v>
      </c>
      <c r="T414" s="13">
        <f t="shared" si="6"/>
        <v>254343.76</v>
      </c>
      <c r="U414" s="13">
        <f t="shared" si="7"/>
        <v>283207.68</v>
      </c>
      <c r="V414" s="13">
        <f t="shared" si="8"/>
        <v>-28863.92</v>
      </c>
      <c r="W414" s="14">
        <f>Q414/totals!B$2</f>
        <v>0.0004731983035</v>
      </c>
      <c r="X414" s="14">
        <f t="shared" si="9"/>
        <v>0.3058158079</v>
      </c>
      <c r="Y414" s="14">
        <f>T414/totals!B$5</f>
        <v>0.0001494268055</v>
      </c>
      <c r="Z414" s="14">
        <f t="shared" si="10"/>
        <v>0.3097518968</v>
      </c>
      <c r="AA414" s="14">
        <f>V414/totals!B$4</f>
        <v>-0.00005755396022</v>
      </c>
      <c r="AB414" s="14">
        <f t="shared" si="11"/>
        <v>0.3221499032</v>
      </c>
    </row>
    <row r="415">
      <c r="A415" s="7">
        <v>2455.0</v>
      </c>
      <c r="B415" s="7" t="str">
        <f>VLOOKUP($A415,product_category,2, False)</f>
        <v>Clothes</v>
      </c>
      <c r="C415" s="7">
        <v>3.83611094E8</v>
      </c>
      <c r="D415" s="9">
        <v>42573.0</v>
      </c>
      <c r="E415" s="10">
        <f t="shared" si="1"/>
        <v>7</v>
      </c>
      <c r="F415" s="10" t="str">
        <f t="shared" si="2"/>
        <v>Jul</v>
      </c>
      <c r="G415" s="11">
        <f t="shared" si="3"/>
        <v>22</v>
      </c>
      <c r="H415" s="7">
        <f t="shared" si="4"/>
        <v>2016</v>
      </c>
      <c r="I415" s="9">
        <v>42608.0</v>
      </c>
      <c r="J415" s="11">
        <f t="shared" si="5"/>
        <v>35</v>
      </c>
      <c r="K415" s="7" t="s">
        <v>382</v>
      </c>
      <c r="L415" s="7" t="s">
        <v>107</v>
      </c>
      <c r="M415" s="7" t="str">
        <f>VLOOKUP(L415,countries, 2,false)</f>
        <v>Belarus</v>
      </c>
      <c r="N415" s="7" t="str">
        <f>VLOOKUP(L415,countries, 4,false)</f>
        <v>Europe</v>
      </c>
      <c r="O415" s="7" t="str">
        <f>VLOOKUP(L415,countries, 5,false)</f>
        <v>Eastern Europe</v>
      </c>
      <c r="P415" s="7" t="s">
        <v>129</v>
      </c>
      <c r="Q415" s="7">
        <v>7902.0</v>
      </c>
      <c r="R415" s="12">
        <v>109.28</v>
      </c>
      <c r="S415" s="12">
        <v>35.84</v>
      </c>
      <c r="T415" s="13">
        <f t="shared" si="6"/>
        <v>863530.56</v>
      </c>
      <c r="U415" s="13">
        <f t="shared" si="7"/>
        <v>468869.82</v>
      </c>
      <c r="V415" s="13">
        <f t="shared" si="8"/>
        <v>394660.74</v>
      </c>
      <c r="W415" s="14">
        <f>Q415/totals!B$2</f>
        <v>0.001201546592</v>
      </c>
      <c r="X415" s="14">
        <f t="shared" si="9"/>
        <v>0.3070173545</v>
      </c>
      <c r="Y415" s="14">
        <f>T415/totals!B$5</f>
        <v>0.0005073236828</v>
      </c>
      <c r="Z415" s="14">
        <f t="shared" si="10"/>
        <v>0.3102592205</v>
      </c>
      <c r="AA415" s="14">
        <f>V415/totals!B$4</f>
        <v>0.0007869439955</v>
      </c>
      <c r="AB415" s="14">
        <f t="shared" si="11"/>
        <v>0.3229368472</v>
      </c>
    </row>
    <row r="416">
      <c r="A416" s="7">
        <v>7940.0</v>
      </c>
      <c r="B416" s="7" t="str">
        <f>VLOOKUP($A416,product_category,2, False)</f>
        <v>Household</v>
      </c>
      <c r="C416" s="7">
        <v>3.84128224E8</v>
      </c>
      <c r="D416" s="9">
        <v>40257.0</v>
      </c>
      <c r="E416" s="10">
        <f t="shared" si="1"/>
        <v>3</v>
      </c>
      <c r="F416" s="10" t="str">
        <f t="shared" si="2"/>
        <v>Mar</v>
      </c>
      <c r="G416" s="11">
        <f t="shared" si="3"/>
        <v>20</v>
      </c>
      <c r="H416" s="7">
        <f t="shared" si="4"/>
        <v>2010</v>
      </c>
      <c r="I416" s="9">
        <v>40294.0</v>
      </c>
      <c r="J416" s="11">
        <f t="shared" si="5"/>
        <v>37</v>
      </c>
      <c r="K416" s="7" t="s">
        <v>110</v>
      </c>
      <c r="L416" s="7" t="s">
        <v>111</v>
      </c>
      <c r="M416" s="7" t="str">
        <f>VLOOKUP(L416,countries, 2,false)</f>
        <v>Norway</v>
      </c>
      <c r="N416" s="7" t="str">
        <f>VLOOKUP(L416,countries, 4,false)</f>
        <v>Europe</v>
      </c>
      <c r="O416" s="7" t="str">
        <f>VLOOKUP(L416,countries, 5,false)</f>
        <v>Northern Europe</v>
      </c>
      <c r="P416" s="7" t="s">
        <v>212</v>
      </c>
      <c r="Q416" s="7">
        <v>933.0</v>
      </c>
      <c r="R416" s="12">
        <v>668.27</v>
      </c>
      <c r="S416" s="12">
        <v>502.54</v>
      </c>
      <c r="T416" s="13">
        <f t="shared" si="6"/>
        <v>623495.91</v>
      </c>
      <c r="U416" s="13">
        <f t="shared" si="7"/>
        <v>564857.16</v>
      </c>
      <c r="V416" s="13">
        <f t="shared" si="8"/>
        <v>58638.75</v>
      </c>
      <c r="W416" s="14">
        <f>Q416/totals!B$2</f>
        <v>0.0001418682575</v>
      </c>
      <c r="X416" s="14">
        <f t="shared" si="9"/>
        <v>0.3071592227</v>
      </c>
      <c r="Y416" s="14">
        <f>T416/totals!B$5</f>
        <v>0.0003663034708</v>
      </c>
      <c r="Z416" s="14">
        <f t="shared" si="10"/>
        <v>0.3106255239</v>
      </c>
      <c r="AA416" s="14">
        <f>V416/totals!B$4</f>
        <v>0.000116924253</v>
      </c>
      <c r="AB416" s="14">
        <f t="shared" si="11"/>
        <v>0.3230537715</v>
      </c>
    </row>
    <row r="417">
      <c r="A417" s="7">
        <v>5988.0</v>
      </c>
      <c r="B417" s="7" t="str">
        <f>VLOOKUP($A417,product_category,2, False)</f>
        <v>Vegetables</v>
      </c>
      <c r="C417" s="7">
        <v>3.84483993E8</v>
      </c>
      <c r="D417" s="9">
        <v>40668.0</v>
      </c>
      <c r="E417" s="10">
        <f t="shared" si="1"/>
        <v>5</v>
      </c>
      <c r="F417" s="10" t="str">
        <f t="shared" si="2"/>
        <v>May</v>
      </c>
      <c r="G417" s="11">
        <f t="shared" si="3"/>
        <v>5</v>
      </c>
      <c r="H417" s="7">
        <f t="shared" si="4"/>
        <v>2011</v>
      </c>
      <c r="I417" s="9">
        <v>40713.0</v>
      </c>
      <c r="J417" s="11">
        <f t="shared" si="5"/>
        <v>45</v>
      </c>
      <c r="K417" s="7" t="s">
        <v>322</v>
      </c>
      <c r="L417" s="7" t="s">
        <v>88</v>
      </c>
      <c r="M417" s="7" t="str">
        <f>VLOOKUP(L417,countries, 2,false)</f>
        <v>Austria</v>
      </c>
      <c r="N417" s="7" t="str">
        <f>VLOOKUP(L417,countries, 4,false)</f>
        <v>Europe</v>
      </c>
      <c r="O417" s="7" t="str">
        <f>VLOOKUP(L417,countries, 5,false)</f>
        <v>Western Europe</v>
      </c>
      <c r="P417" s="7" t="s">
        <v>212</v>
      </c>
      <c r="Q417" s="7">
        <v>6212.0</v>
      </c>
      <c r="R417" s="12">
        <v>154.06</v>
      </c>
      <c r="S417" s="12">
        <v>90.93</v>
      </c>
      <c r="T417" s="13">
        <f t="shared" si="6"/>
        <v>957020.72</v>
      </c>
      <c r="U417" s="13">
        <f t="shared" si="7"/>
        <v>6982.28</v>
      </c>
      <c r="V417" s="13">
        <f t="shared" si="8"/>
        <v>950038.44</v>
      </c>
      <c r="W417" s="14">
        <f>Q417/totals!B$2</f>
        <v>0.000944571935</v>
      </c>
      <c r="X417" s="14">
        <f t="shared" si="9"/>
        <v>0.3081037946</v>
      </c>
      <c r="Y417" s="14">
        <f>T417/totals!B$5</f>
        <v>0.0005622490954</v>
      </c>
      <c r="Z417" s="14">
        <f t="shared" si="10"/>
        <v>0.311187773</v>
      </c>
      <c r="AA417" s="14">
        <f>V417/totals!B$4</f>
        <v>0.001894353732</v>
      </c>
      <c r="AB417" s="14">
        <f t="shared" si="11"/>
        <v>0.3249481252</v>
      </c>
    </row>
    <row r="418">
      <c r="A418" s="7">
        <v>4594.0</v>
      </c>
      <c r="B418" s="7" t="str">
        <f>VLOOKUP($A418,product_category,2, False)</f>
        <v>Fruits</v>
      </c>
      <c r="C418" s="7">
        <v>3.84601581E8</v>
      </c>
      <c r="D418" s="9">
        <v>42638.0</v>
      </c>
      <c r="E418" s="10">
        <f t="shared" si="1"/>
        <v>9</v>
      </c>
      <c r="F418" s="10" t="str">
        <f t="shared" si="2"/>
        <v>Sep</v>
      </c>
      <c r="G418" s="11">
        <f t="shared" si="3"/>
        <v>25</v>
      </c>
      <c r="H418" s="7">
        <f t="shared" si="4"/>
        <v>2016</v>
      </c>
      <c r="I418" s="9">
        <v>42662.0</v>
      </c>
      <c r="J418" s="11">
        <f t="shared" si="5"/>
        <v>24</v>
      </c>
      <c r="K418" s="7" t="s">
        <v>110</v>
      </c>
      <c r="L418" s="7" t="s">
        <v>454</v>
      </c>
      <c r="M418" s="7" t="str">
        <f>VLOOKUP(L418,countries, 2,false)</f>
        <v>Luxembourg</v>
      </c>
      <c r="N418" s="7" t="str">
        <f>VLOOKUP(L418,countries, 4,false)</f>
        <v>Europe</v>
      </c>
      <c r="O418" s="7" t="str">
        <f>VLOOKUP(L418,countries, 5,false)</f>
        <v>Western Europe</v>
      </c>
      <c r="P418" s="7" t="s">
        <v>129</v>
      </c>
      <c r="Q418" s="7">
        <v>1009.0</v>
      </c>
      <c r="R418" s="12">
        <v>9.33</v>
      </c>
      <c r="S418" s="12">
        <v>6.92</v>
      </c>
      <c r="T418" s="13">
        <f t="shared" si="6"/>
        <v>9413.97</v>
      </c>
      <c r="U418" s="13">
        <f t="shared" si="7"/>
        <v>985349.92</v>
      </c>
      <c r="V418" s="13">
        <f t="shared" si="8"/>
        <v>-975935.95</v>
      </c>
      <c r="W418" s="14">
        <f>Q418/totals!B$2</f>
        <v>0.0001534245142</v>
      </c>
      <c r="X418" s="14">
        <f t="shared" si="9"/>
        <v>0.3082572192</v>
      </c>
      <c r="Y418" s="14">
        <f>T418/totals!B$5</f>
        <v>0.000005530701693</v>
      </c>
      <c r="Z418" s="14">
        <f t="shared" si="10"/>
        <v>0.3111933037</v>
      </c>
      <c r="AA418" s="14">
        <f>V418/totals!B$4</f>
        <v>-0.001945992743</v>
      </c>
      <c r="AB418" s="14">
        <f t="shared" si="11"/>
        <v>0.3230021325</v>
      </c>
    </row>
    <row r="419">
      <c r="A419" s="7">
        <v>8681.0</v>
      </c>
      <c r="B419" s="7" t="str">
        <f>VLOOKUP($A419,product_category,2, False)</f>
        <v>Office Supplies</v>
      </c>
      <c r="C419" s="7">
        <v>3.84976232E8</v>
      </c>
      <c r="D419" s="9">
        <v>42053.0</v>
      </c>
      <c r="E419" s="10">
        <f t="shared" si="1"/>
        <v>2</v>
      </c>
      <c r="F419" s="10" t="str">
        <f t="shared" si="2"/>
        <v>Feb</v>
      </c>
      <c r="G419" s="11">
        <f t="shared" si="3"/>
        <v>18</v>
      </c>
      <c r="H419" s="7">
        <f t="shared" si="4"/>
        <v>2015</v>
      </c>
      <c r="I419" s="9">
        <v>42097.0</v>
      </c>
      <c r="J419" s="11">
        <f t="shared" si="5"/>
        <v>44</v>
      </c>
      <c r="K419" s="7" t="s">
        <v>322</v>
      </c>
      <c r="L419" s="7" t="s">
        <v>367</v>
      </c>
      <c r="M419" s="7" t="str">
        <f>VLOOKUP(L419,countries, 2,false)</f>
        <v>Iceland</v>
      </c>
      <c r="N419" s="7" t="str">
        <f>VLOOKUP(L419,countries, 4,false)</f>
        <v>Europe</v>
      </c>
      <c r="O419" s="7" t="str">
        <f>VLOOKUP(L419,countries, 5,false)</f>
        <v>Northern Europe</v>
      </c>
      <c r="P419" s="7" t="s">
        <v>129</v>
      </c>
      <c r="Q419" s="7">
        <v>1877.0</v>
      </c>
      <c r="R419" s="12">
        <v>651.21</v>
      </c>
      <c r="S419" s="12">
        <v>524.96</v>
      </c>
      <c r="T419" s="13">
        <f t="shared" si="6"/>
        <v>1222321.17</v>
      </c>
      <c r="U419" s="13">
        <f t="shared" si="7"/>
        <v>754177.12</v>
      </c>
      <c r="V419" s="13">
        <f t="shared" si="8"/>
        <v>468144.05</v>
      </c>
      <c r="W419" s="14">
        <f>Q419/totals!B$2</f>
        <v>0.000285409131</v>
      </c>
      <c r="X419" s="14">
        <f t="shared" si="9"/>
        <v>0.3085426283</v>
      </c>
      <c r="Y419" s="14">
        <f>T419/totals!B$5</f>
        <v>0.0007181129496</v>
      </c>
      <c r="Z419" s="14">
        <f t="shared" si="10"/>
        <v>0.3119114167</v>
      </c>
      <c r="AA419" s="14">
        <f>V419/totals!B$4</f>
        <v>0.0009334679431</v>
      </c>
      <c r="AB419" s="14">
        <f t="shared" si="11"/>
        <v>0.3239356004</v>
      </c>
    </row>
    <row r="420">
      <c r="A420" s="7">
        <v>8293.0</v>
      </c>
      <c r="B420" s="7" t="str">
        <f>VLOOKUP($A420,product_category,2, False)</f>
        <v>Cosmetics</v>
      </c>
      <c r="C420" s="7">
        <v>3.85080945E8</v>
      </c>
      <c r="D420" s="9">
        <v>42314.0</v>
      </c>
      <c r="E420" s="10">
        <f t="shared" si="1"/>
        <v>11</v>
      </c>
      <c r="F420" s="10" t="str">
        <f t="shared" si="2"/>
        <v>Nov</v>
      </c>
      <c r="G420" s="11">
        <f t="shared" si="3"/>
        <v>6</v>
      </c>
      <c r="H420" s="7">
        <f t="shared" si="4"/>
        <v>2015</v>
      </c>
      <c r="I420" s="9">
        <v>42315.0</v>
      </c>
      <c r="J420" s="11">
        <f t="shared" si="5"/>
        <v>1</v>
      </c>
      <c r="K420" s="7" t="s">
        <v>110</v>
      </c>
      <c r="L420" s="7" t="s">
        <v>231</v>
      </c>
      <c r="M420" s="7" t="str">
        <f>VLOOKUP(L420,countries, 2,false)</f>
        <v>Cyprus</v>
      </c>
      <c r="N420" s="7" t="str">
        <f>VLOOKUP(L420,countries, 4,false)</f>
        <v>Asia</v>
      </c>
      <c r="O420" s="7" t="str">
        <f>VLOOKUP(L420,countries, 5,false)</f>
        <v>Western Asia</v>
      </c>
      <c r="P420" s="7" t="s">
        <v>212</v>
      </c>
      <c r="Q420" s="7">
        <v>2864.0</v>
      </c>
      <c r="R420" s="12">
        <v>437.2</v>
      </c>
      <c r="S420" s="12">
        <v>263.33</v>
      </c>
      <c r="T420" s="13">
        <f t="shared" si="6"/>
        <v>1252140.8</v>
      </c>
      <c r="U420" s="13">
        <f t="shared" si="7"/>
        <v>2519804.77</v>
      </c>
      <c r="V420" s="13">
        <f t="shared" si="8"/>
        <v>-1267663.97</v>
      </c>
      <c r="W420" s="14">
        <f>Q420/totals!B$2</f>
        <v>0.000435488413</v>
      </c>
      <c r="X420" s="14">
        <f t="shared" si="9"/>
        <v>0.3089781167</v>
      </c>
      <c r="Y420" s="14">
        <f>T420/totals!B$5</f>
        <v>0.0007356319643</v>
      </c>
      <c r="Z420" s="14">
        <f t="shared" si="10"/>
        <v>0.3126470487</v>
      </c>
      <c r="AA420" s="14">
        <f>V420/totals!B$4</f>
        <v>-0.002527691377</v>
      </c>
      <c r="AB420" s="14">
        <f t="shared" si="11"/>
        <v>0.321407909</v>
      </c>
    </row>
    <row r="421">
      <c r="A421" s="7">
        <v>8293.0</v>
      </c>
      <c r="B421" s="7" t="str">
        <f>VLOOKUP($A421,product_category,2, False)</f>
        <v>Cosmetics</v>
      </c>
      <c r="C421" s="7">
        <v>3.85340154E8</v>
      </c>
      <c r="D421" s="9">
        <v>40965.0</v>
      </c>
      <c r="E421" s="10">
        <f t="shared" si="1"/>
        <v>2</v>
      </c>
      <c r="F421" s="10" t="str">
        <f t="shared" si="2"/>
        <v>Feb</v>
      </c>
      <c r="G421" s="11">
        <f t="shared" si="3"/>
        <v>26</v>
      </c>
      <c r="H421" s="7">
        <f t="shared" si="4"/>
        <v>2012</v>
      </c>
      <c r="I421" s="9">
        <v>40986.0</v>
      </c>
      <c r="J421" s="11">
        <f t="shared" si="5"/>
        <v>21</v>
      </c>
      <c r="K421" s="7" t="s">
        <v>110</v>
      </c>
      <c r="L421" s="7" t="s">
        <v>307</v>
      </c>
      <c r="M421" s="7" t="str">
        <f>VLOOKUP(L421,countries, 2,false)</f>
        <v>Germany</v>
      </c>
      <c r="N421" s="7" t="str">
        <f>VLOOKUP(L421,countries, 4,false)</f>
        <v>Europe</v>
      </c>
      <c r="O421" s="7" t="str">
        <f>VLOOKUP(L421,countries, 5,false)</f>
        <v>Western Europe</v>
      </c>
      <c r="P421" s="7" t="s">
        <v>212</v>
      </c>
      <c r="Q421" s="7">
        <v>9569.0</v>
      </c>
      <c r="R421" s="12">
        <v>437.2</v>
      </c>
      <c r="S421" s="12">
        <v>263.33</v>
      </c>
      <c r="T421" s="13">
        <f t="shared" si="6"/>
        <v>4183566.8</v>
      </c>
      <c r="U421" s="13">
        <f t="shared" si="7"/>
        <v>435395.61</v>
      </c>
      <c r="V421" s="13">
        <f t="shared" si="8"/>
        <v>3748171.19</v>
      </c>
      <c r="W421" s="14">
        <f>Q421/totals!B$2</f>
        <v>0.001455023961</v>
      </c>
      <c r="X421" s="14">
        <f t="shared" si="9"/>
        <v>0.3104331407</v>
      </c>
      <c r="Y421" s="14">
        <f>T421/totals!B$5</f>
        <v>0.00245784297</v>
      </c>
      <c r="Z421" s="14">
        <f t="shared" si="10"/>
        <v>0.3151048916</v>
      </c>
      <c r="AA421" s="14">
        <f>V421/totals!B$4</f>
        <v>0.007473762939</v>
      </c>
      <c r="AB421" s="14">
        <f t="shared" si="11"/>
        <v>0.328881672</v>
      </c>
    </row>
    <row r="422">
      <c r="A422" s="7">
        <v>3127.0</v>
      </c>
      <c r="B422" s="7" t="str">
        <f>VLOOKUP($A422,product_category,2, False)</f>
        <v>Personal Care</v>
      </c>
      <c r="C422" s="7">
        <v>3.86009633E8</v>
      </c>
      <c r="D422" s="9">
        <v>41364.0</v>
      </c>
      <c r="E422" s="10">
        <f t="shared" si="1"/>
        <v>3</v>
      </c>
      <c r="F422" s="10" t="str">
        <f t="shared" si="2"/>
        <v>Mar</v>
      </c>
      <c r="G422" s="11">
        <f t="shared" si="3"/>
        <v>31</v>
      </c>
      <c r="H422" s="7">
        <f t="shared" si="4"/>
        <v>2013</v>
      </c>
      <c r="I422" s="9">
        <v>41369.0</v>
      </c>
      <c r="J422" s="11">
        <f t="shared" si="5"/>
        <v>5</v>
      </c>
      <c r="K422" s="7" t="s">
        <v>110</v>
      </c>
      <c r="L422" s="7" t="s">
        <v>451</v>
      </c>
      <c r="M422" s="7" t="str">
        <f>VLOOKUP(L422,countries, 2,false)</f>
        <v>Lithuania</v>
      </c>
      <c r="N422" s="7" t="str">
        <f>VLOOKUP(L422,countries, 4,false)</f>
        <v>Europe</v>
      </c>
      <c r="O422" s="7" t="str">
        <f>VLOOKUP(L422,countries, 5,false)</f>
        <v>Northern Europe</v>
      </c>
      <c r="P422" s="7" t="s">
        <v>212</v>
      </c>
      <c r="Q422" s="7">
        <v>7683.0</v>
      </c>
      <c r="R422" s="12">
        <v>81.73</v>
      </c>
      <c r="S422" s="12">
        <v>56.67</v>
      </c>
      <c r="T422" s="13">
        <f t="shared" si="6"/>
        <v>627931.59</v>
      </c>
      <c r="U422" s="13">
        <f t="shared" si="7"/>
        <v>863925.93</v>
      </c>
      <c r="V422" s="13">
        <f t="shared" si="8"/>
        <v>-235994.34</v>
      </c>
      <c r="W422" s="14">
        <f>Q422/totals!B$2</f>
        <v>0.001168246326</v>
      </c>
      <c r="X422" s="14">
        <f t="shared" si="9"/>
        <v>0.311601387</v>
      </c>
      <c r="Y422" s="14">
        <f>T422/totals!B$5</f>
        <v>0.0003689094301</v>
      </c>
      <c r="Z422" s="14">
        <f t="shared" si="10"/>
        <v>0.3154738011</v>
      </c>
      <c r="AA422" s="14">
        <f>V422/totals!B$4</f>
        <v>-0.0004705670213</v>
      </c>
      <c r="AB422" s="14">
        <f t="shared" si="11"/>
        <v>0.3284111049</v>
      </c>
    </row>
    <row r="423">
      <c r="A423" s="7">
        <v>5988.0</v>
      </c>
      <c r="B423" s="7" t="str">
        <f>VLOOKUP($A423,product_category,2, False)</f>
        <v>Vegetables</v>
      </c>
      <c r="C423" s="7">
        <v>3.86319911E8</v>
      </c>
      <c r="D423" s="9">
        <v>40528.0</v>
      </c>
      <c r="E423" s="10">
        <f t="shared" si="1"/>
        <v>12</v>
      </c>
      <c r="F423" s="10" t="str">
        <f t="shared" si="2"/>
        <v>Dec</v>
      </c>
      <c r="G423" s="11">
        <f t="shared" si="3"/>
        <v>16</v>
      </c>
      <c r="H423" s="7">
        <f t="shared" si="4"/>
        <v>2010</v>
      </c>
      <c r="I423" s="9">
        <v>40545.0</v>
      </c>
      <c r="J423" s="11">
        <f t="shared" si="5"/>
        <v>17</v>
      </c>
      <c r="K423" s="7" t="s">
        <v>198</v>
      </c>
      <c r="L423" s="7" t="s">
        <v>540</v>
      </c>
      <c r="M423" s="7" t="str">
        <f>VLOOKUP(L423,countries, 2,false)</f>
        <v>Spain</v>
      </c>
      <c r="N423" s="7" t="str">
        <f>VLOOKUP(L423,countries, 4,false)</f>
        <v>Europe</v>
      </c>
      <c r="O423" s="7" t="str">
        <f>VLOOKUP(L423,countries, 5,false)</f>
        <v>Southern Europe</v>
      </c>
      <c r="P423" s="7" t="s">
        <v>129</v>
      </c>
      <c r="Q423" s="7">
        <v>9501.0</v>
      </c>
      <c r="R423" s="12">
        <v>154.06</v>
      </c>
      <c r="S423" s="12">
        <v>90.93</v>
      </c>
      <c r="T423" s="13">
        <f t="shared" si="6"/>
        <v>1463724.06</v>
      </c>
      <c r="U423" s="13">
        <f t="shared" si="7"/>
        <v>286750.2</v>
      </c>
      <c r="V423" s="13">
        <f t="shared" si="8"/>
        <v>1176973.86</v>
      </c>
      <c r="W423" s="14">
        <f>Q423/totals!B$2</f>
        <v>0.001444684152</v>
      </c>
      <c r="X423" s="14">
        <f t="shared" si="9"/>
        <v>0.3130460711</v>
      </c>
      <c r="Y423" s="14">
        <f>T423/totals!B$5</f>
        <v>0.0008599370018</v>
      </c>
      <c r="Z423" s="14">
        <f t="shared" si="10"/>
        <v>0.3163337381</v>
      </c>
      <c r="AA423" s="14">
        <f>V423/totals!B$4</f>
        <v>0.002346857486</v>
      </c>
      <c r="AB423" s="14">
        <f t="shared" si="11"/>
        <v>0.3307579624</v>
      </c>
    </row>
    <row r="424">
      <c r="A424" s="7">
        <v>3127.0</v>
      </c>
      <c r="B424" s="7" t="str">
        <f>VLOOKUP($A424,product_category,2, False)</f>
        <v>Personal Care</v>
      </c>
      <c r="C424" s="7">
        <v>3.86440074E8</v>
      </c>
      <c r="D424" s="9">
        <v>41734.0</v>
      </c>
      <c r="E424" s="10">
        <f t="shared" si="1"/>
        <v>4</v>
      </c>
      <c r="F424" s="10" t="str">
        <f t="shared" si="2"/>
        <v>Apr</v>
      </c>
      <c r="G424" s="11">
        <f t="shared" si="3"/>
        <v>5</v>
      </c>
      <c r="H424" s="7">
        <f t="shared" si="4"/>
        <v>2014</v>
      </c>
      <c r="I424" s="9">
        <v>41754.0</v>
      </c>
      <c r="J424" s="11">
        <f t="shared" si="5"/>
        <v>20</v>
      </c>
      <c r="K424" s="7" t="s">
        <v>198</v>
      </c>
      <c r="L424" s="7" t="s">
        <v>594</v>
      </c>
      <c r="M424" s="7" t="str">
        <f>VLOOKUP(L424,countries, 2,false)</f>
        <v>Poland</v>
      </c>
      <c r="N424" s="7" t="str">
        <f>VLOOKUP(L424,countries, 4,false)</f>
        <v>Europe</v>
      </c>
      <c r="O424" s="7" t="str">
        <f>VLOOKUP(L424,countries, 5,false)</f>
        <v>Eastern Europe</v>
      </c>
      <c r="P424" s="7" t="s">
        <v>212</v>
      </c>
      <c r="Q424" s="7">
        <v>5060.0</v>
      </c>
      <c r="R424" s="12">
        <v>81.73</v>
      </c>
      <c r="S424" s="12">
        <v>56.67</v>
      </c>
      <c r="T424" s="13">
        <f t="shared" si="6"/>
        <v>413553.8</v>
      </c>
      <c r="U424" s="13">
        <f t="shared" si="7"/>
        <v>267152.34</v>
      </c>
      <c r="V424" s="13">
        <f t="shared" si="8"/>
        <v>146401.46</v>
      </c>
      <c r="W424" s="14">
        <f>Q424/totals!B$2</f>
        <v>0.0007694034113</v>
      </c>
      <c r="X424" s="14">
        <f t="shared" si="9"/>
        <v>0.3138154746</v>
      </c>
      <c r="Y424" s="14">
        <f>T424/totals!B$5</f>
        <v>0.0002429626079</v>
      </c>
      <c r="Z424" s="14">
        <f t="shared" si="10"/>
        <v>0.3165767007</v>
      </c>
      <c r="AA424" s="14">
        <f>V424/totals!B$4</f>
        <v>0.0002919209797</v>
      </c>
      <c r="AB424" s="14">
        <f t="shared" si="11"/>
        <v>0.3310498834</v>
      </c>
    </row>
    <row r="425">
      <c r="A425" s="7">
        <v>5988.0</v>
      </c>
      <c r="B425" s="7" t="str">
        <f>VLOOKUP($A425,product_category,2, False)</f>
        <v>Vegetables</v>
      </c>
      <c r="C425" s="7">
        <v>3.86601865E8</v>
      </c>
      <c r="D425" s="9">
        <v>42568.0</v>
      </c>
      <c r="E425" s="10">
        <f t="shared" si="1"/>
        <v>7</v>
      </c>
      <c r="F425" s="10" t="str">
        <f t="shared" si="2"/>
        <v>Jul</v>
      </c>
      <c r="G425" s="11">
        <f t="shared" si="3"/>
        <v>17</v>
      </c>
      <c r="H425" s="7">
        <f t="shared" si="4"/>
        <v>2016</v>
      </c>
      <c r="I425" s="9">
        <v>42577.0</v>
      </c>
      <c r="J425" s="11">
        <f t="shared" si="5"/>
        <v>9</v>
      </c>
      <c r="K425" s="7" t="s">
        <v>322</v>
      </c>
      <c r="L425" s="7" t="s">
        <v>451</v>
      </c>
      <c r="M425" s="7" t="str">
        <f>VLOOKUP(L425,countries, 2,false)</f>
        <v>Lithuania</v>
      </c>
      <c r="N425" s="7" t="str">
        <f>VLOOKUP(L425,countries, 4,false)</f>
        <v>Europe</v>
      </c>
      <c r="O425" s="7" t="str">
        <f>VLOOKUP(L425,countries, 5,false)</f>
        <v>Northern Europe</v>
      </c>
      <c r="P425" s="7" t="s">
        <v>129</v>
      </c>
      <c r="Q425" s="7">
        <v>2938.0</v>
      </c>
      <c r="R425" s="12">
        <v>154.06</v>
      </c>
      <c r="S425" s="12">
        <v>90.93</v>
      </c>
      <c r="T425" s="13">
        <f t="shared" si="6"/>
        <v>452628.28</v>
      </c>
      <c r="U425" s="13">
        <f t="shared" si="7"/>
        <v>566643.33</v>
      </c>
      <c r="V425" s="13">
        <f t="shared" si="8"/>
        <v>-114015.05</v>
      </c>
      <c r="W425" s="14">
        <f>Q425/totals!B$2</f>
        <v>0.0004467405578</v>
      </c>
      <c r="X425" s="14">
        <f t="shared" si="9"/>
        <v>0.3142622151</v>
      </c>
      <c r="Y425" s="14">
        <f>T425/totals!B$5</f>
        <v>0.0002659188413</v>
      </c>
      <c r="Z425" s="14">
        <f t="shared" si="10"/>
        <v>0.3168426195</v>
      </c>
      <c r="AA425" s="14">
        <f>V425/totals!B$4</f>
        <v>-0.0002273432594</v>
      </c>
      <c r="AB425" s="14">
        <f t="shared" si="11"/>
        <v>0.3308225401</v>
      </c>
    </row>
    <row r="426">
      <c r="A426" s="7">
        <v>3127.0</v>
      </c>
      <c r="B426" s="7" t="str">
        <f>VLOOKUP($A426,product_category,2, False)</f>
        <v>Personal Care</v>
      </c>
      <c r="C426" s="7">
        <v>3.87098824E8</v>
      </c>
      <c r="D426" s="9">
        <v>41631.0</v>
      </c>
      <c r="E426" s="10">
        <f t="shared" si="1"/>
        <v>12</v>
      </c>
      <c r="F426" s="10" t="str">
        <f t="shared" si="2"/>
        <v>Dec</v>
      </c>
      <c r="G426" s="11">
        <f t="shared" si="3"/>
        <v>23</v>
      </c>
      <c r="H426" s="7">
        <f t="shared" si="4"/>
        <v>2013</v>
      </c>
      <c r="I426" s="9">
        <v>41643.0</v>
      </c>
      <c r="J426" s="11">
        <f t="shared" si="5"/>
        <v>12</v>
      </c>
      <c r="K426" s="7" t="s">
        <v>382</v>
      </c>
      <c r="L426" s="7" t="s">
        <v>762</v>
      </c>
      <c r="M426" s="7" t="str">
        <f>VLOOKUP(L426,countries, 2,false)</f>
        <v>United Kingdom</v>
      </c>
      <c r="N426" s="7" t="str">
        <f>VLOOKUP(L426,countries, 4,false)</f>
        <v>Europe</v>
      </c>
      <c r="O426" s="7" t="str">
        <f>VLOOKUP(L426,countries, 5,false)</f>
        <v>Northern Europe</v>
      </c>
      <c r="P426" s="7" t="s">
        <v>212</v>
      </c>
      <c r="Q426" s="7">
        <v>9999.0</v>
      </c>
      <c r="R426" s="12">
        <v>81.73</v>
      </c>
      <c r="S426" s="12">
        <v>56.67</v>
      </c>
      <c r="T426" s="13">
        <f t="shared" si="6"/>
        <v>817218.27</v>
      </c>
      <c r="U426" s="13">
        <f t="shared" si="7"/>
        <v>214660.32</v>
      </c>
      <c r="V426" s="13">
        <f t="shared" si="8"/>
        <v>602557.95</v>
      </c>
      <c r="W426" s="14">
        <f>Q426/totals!B$2</f>
        <v>0.001520408045</v>
      </c>
      <c r="X426" s="14">
        <f t="shared" si="9"/>
        <v>0.3157826232</v>
      </c>
      <c r="Y426" s="14">
        <f>T426/totals!B$5</f>
        <v>0.0004801152404</v>
      </c>
      <c r="Z426" s="14">
        <f t="shared" si="10"/>
        <v>0.3173227347</v>
      </c>
      <c r="AA426" s="14">
        <f>V426/totals!B$4</f>
        <v>0.001201486017</v>
      </c>
      <c r="AB426" s="14">
        <f t="shared" si="11"/>
        <v>0.3320240262</v>
      </c>
    </row>
    <row r="427">
      <c r="A427" s="7">
        <v>8969.0</v>
      </c>
      <c r="B427" s="7" t="str">
        <f>VLOOKUP($A427,product_category,2, False)</f>
        <v>Snacks</v>
      </c>
      <c r="C427" s="7">
        <v>3.8872832E8</v>
      </c>
      <c r="D427" s="9">
        <v>40999.0</v>
      </c>
      <c r="E427" s="10">
        <f t="shared" si="1"/>
        <v>3</v>
      </c>
      <c r="F427" s="10" t="str">
        <f t="shared" si="2"/>
        <v>Mar</v>
      </c>
      <c r="G427" s="11">
        <f t="shared" si="3"/>
        <v>31</v>
      </c>
      <c r="H427" s="7">
        <f t="shared" si="4"/>
        <v>2012</v>
      </c>
      <c r="I427" s="9">
        <v>41039.0</v>
      </c>
      <c r="J427" s="11">
        <f t="shared" si="5"/>
        <v>40</v>
      </c>
      <c r="K427" s="7" t="s">
        <v>198</v>
      </c>
      <c r="L427" s="7" t="s">
        <v>136</v>
      </c>
      <c r="M427" s="7" t="str">
        <f>VLOOKUP(L427,countries, 2,false)</f>
        <v>Bosnia and Herzegovina</v>
      </c>
      <c r="N427" s="7" t="str">
        <f>VLOOKUP(L427,countries, 4,false)</f>
        <v>Europe</v>
      </c>
      <c r="O427" s="7" t="str">
        <f>VLOOKUP(L427,countries, 5,false)</f>
        <v>Southern Europe</v>
      </c>
      <c r="P427" s="7" t="s">
        <v>212</v>
      </c>
      <c r="Q427" s="7">
        <v>2203.0</v>
      </c>
      <c r="R427" s="12">
        <v>152.58</v>
      </c>
      <c r="S427" s="12">
        <v>97.44</v>
      </c>
      <c r="T427" s="13">
        <f t="shared" si="6"/>
        <v>336133.74</v>
      </c>
      <c r="U427" s="13">
        <f t="shared" si="7"/>
        <v>630412.02</v>
      </c>
      <c r="V427" s="13">
        <f t="shared" si="8"/>
        <v>-294278.28</v>
      </c>
      <c r="W427" s="14">
        <f>Q427/totals!B$2</f>
        <v>0.0003349793903</v>
      </c>
      <c r="X427" s="14">
        <f t="shared" si="9"/>
        <v>0.3161176026</v>
      </c>
      <c r="Y427" s="14">
        <f>T427/totals!B$5</f>
        <v>0.0001974783694</v>
      </c>
      <c r="Z427" s="14">
        <f t="shared" si="10"/>
        <v>0.3175202131</v>
      </c>
      <c r="AA427" s="14">
        <f>V427/totals!B$4</f>
        <v>-0.0005867837917</v>
      </c>
      <c r="AB427" s="14">
        <f t="shared" si="11"/>
        <v>0.3314372424</v>
      </c>
    </row>
    <row r="428">
      <c r="A428" s="7">
        <v>8293.0</v>
      </c>
      <c r="B428" s="7" t="str">
        <f>VLOOKUP($A428,product_category,2, False)</f>
        <v>Cosmetics</v>
      </c>
      <c r="C428" s="7">
        <v>3.91026866E8</v>
      </c>
      <c r="D428" s="9">
        <v>42738.0</v>
      </c>
      <c r="E428" s="10">
        <f t="shared" si="1"/>
        <v>1</v>
      </c>
      <c r="F428" s="10" t="str">
        <f t="shared" si="2"/>
        <v>Jan</v>
      </c>
      <c r="G428" s="11">
        <f t="shared" si="3"/>
        <v>3</v>
      </c>
      <c r="H428" s="7">
        <f t="shared" si="4"/>
        <v>2017</v>
      </c>
      <c r="I428" s="9">
        <v>42743.0</v>
      </c>
      <c r="J428" s="11">
        <f t="shared" si="5"/>
        <v>5</v>
      </c>
      <c r="K428" s="7" t="s">
        <v>198</v>
      </c>
      <c r="L428" s="7" t="s">
        <v>540</v>
      </c>
      <c r="M428" s="7" t="str">
        <f>VLOOKUP(L428,countries, 2,false)</f>
        <v>Spain</v>
      </c>
      <c r="N428" s="7" t="str">
        <f>VLOOKUP(L428,countries, 4,false)</f>
        <v>Europe</v>
      </c>
      <c r="O428" s="7" t="str">
        <f>VLOOKUP(L428,countries, 5,false)</f>
        <v>Southern Europe</v>
      </c>
      <c r="P428" s="7" t="s">
        <v>212</v>
      </c>
      <c r="Q428" s="7">
        <v>2394.0</v>
      </c>
      <c r="R428" s="12">
        <v>437.2</v>
      </c>
      <c r="S428" s="12">
        <v>263.33</v>
      </c>
      <c r="T428" s="13">
        <f t="shared" si="6"/>
        <v>1046656.8</v>
      </c>
      <c r="U428" s="13">
        <f t="shared" si="7"/>
        <v>2009021.92</v>
      </c>
      <c r="V428" s="13">
        <f t="shared" si="8"/>
        <v>-962365.12</v>
      </c>
      <c r="W428" s="14">
        <f>Q428/totals!B$2</f>
        <v>0.0003640220883</v>
      </c>
      <c r="X428" s="14">
        <f t="shared" si="9"/>
        <v>0.3164816246</v>
      </c>
      <c r="Y428" s="14">
        <f>T428/totals!B$5</f>
        <v>0.0006149102383</v>
      </c>
      <c r="Z428" s="14">
        <f t="shared" si="10"/>
        <v>0.3181351234</v>
      </c>
      <c r="AA428" s="14">
        <f>V428/totals!B$4</f>
        <v>-0.001918932835</v>
      </c>
      <c r="AB428" s="14">
        <f t="shared" si="11"/>
        <v>0.3295183095</v>
      </c>
    </row>
    <row r="429">
      <c r="A429" s="7">
        <v>8681.0</v>
      </c>
      <c r="B429" s="7" t="str">
        <f>VLOOKUP($A429,product_category,2, False)</f>
        <v>Office Supplies</v>
      </c>
      <c r="C429" s="7">
        <v>3.91200673E8</v>
      </c>
      <c r="D429" s="9">
        <v>40927.0</v>
      </c>
      <c r="E429" s="10">
        <f t="shared" si="1"/>
        <v>1</v>
      </c>
      <c r="F429" s="10" t="str">
        <f t="shared" si="2"/>
        <v>Jan</v>
      </c>
      <c r="G429" s="11">
        <f t="shared" si="3"/>
        <v>19</v>
      </c>
      <c r="H429" s="7">
        <f t="shared" si="4"/>
        <v>2012</v>
      </c>
      <c r="I429" s="9">
        <v>40952.0</v>
      </c>
      <c r="J429" s="11">
        <f t="shared" si="5"/>
        <v>25</v>
      </c>
      <c r="K429" s="7" t="s">
        <v>322</v>
      </c>
      <c r="L429" s="7" t="s">
        <v>286</v>
      </c>
      <c r="M429" s="7" t="str">
        <f>VLOOKUP(L429,countries, 2,false)</f>
        <v>France</v>
      </c>
      <c r="N429" s="7" t="str">
        <f>VLOOKUP(L429,countries, 4,false)</f>
        <v>Europe</v>
      </c>
      <c r="O429" s="7" t="str">
        <f>VLOOKUP(L429,countries, 5,false)</f>
        <v>Western Europe</v>
      </c>
      <c r="P429" s="7" t="s">
        <v>129</v>
      </c>
      <c r="Q429" s="7">
        <v>3827.0</v>
      </c>
      <c r="R429" s="12">
        <v>651.21</v>
      </c>
      <c r="S429" s="12">
        <v>524.96</v>
      </c>
      <c r="T429" s="13">
        <f t="shared" si="6"/>
        <v>2492180.67</v>
      </c>
      <c r="U429" s="13">
        <f t="shared" si="7"/>
        <v>699380.92</v>
      </c>
      <c r="V429" s="13">
        <f t="shared" si="8"/>
        <v>1792799.75</v>
      </c>
      <c r="W429" s="14">
        <f>Q429/totals!B$2</f>
        <v>0.0005819183508</v>
      </c>
      <c r="X429" s="14">
        <f t="shared" si="9"/>
        <v>0.317063543</v>
      </c>
      <c r="Y429" s="14">
        <f>T429/totals!B$5</f>
        <v>0.001464154639</v>
      </c>
      <c r="Z429" s="14">
        <f t="shared" si="10"/>
        <v>0.319599278</v>
      </c>
      <c r="AA429" s="14">
        <f>V429/totals!B$4</f>
        <v>0.003574799455</v>
      </c>
      <c r="AB429" s="14">
        <f t="shared" si="11"/>
        <v>0.333093109</v>
      </c>
    </row>
    <row r="430">
      <c r="A430" s="7">
        <v>2103.0</v>
      </c>
      <c r="B430" s="7" t="str">
        <f>VLOOKUP($A430,product_category,2, False)</f>
        <v>Cereal</v>
      </c>
      <c r="C430" s="7">
        <v>3.91849982E8</v>
      </c>
      <c r="D430" s="9">
        <v>42704.0</v>
      </c>
      <c r="E430" s="10">
        <f t="shared" si="1"/>
        <v>11</v>
      </c>
      <c r="F430" s="10" t="str">
        <f t="shared" si="2"/>
        <v>Nov</v>
      </c>
      <c r="G430" s="11">
        <f t="shared" si="3"/>
        <v>30</v>
      </c>
      <c r="H430" s="7">
        <f t="shared" si="4"/>
        <v>2016</v>
      </c>
      <c r="I430" s="9">
        <v>42715.0</v>
      </c>
      <c r="J430" s="11">
        <f t="shared" si="5"/>
        <v>11</v>
      </c>
      <c r="K430" s="7" t="s">
        <v>382</v>
      </c>
      <c r="L430" s="7" t="s">
        <v>304</v>
      </c>
      <c r="M430" s="7" t="str">
        <f>VLOOKUP(L430,countries, 2,false)</f>
        <v>Georgia</v>
      </c>
      <c r="N430" s="7" t="str">
        <f>VLOOKUP(L430,countries, 4,false)</f>
        <v>Asia</v>
      </c>
      <c r="O430" s="7" t="str">
        <f>VLOOKUP(L430,countries, 5,false)</f>
        <v>Western Asia</v>
      </c>
      <c r="P430" s="7" t="s">
        <v>212</v>
      </c>
      <c r="Q430" s="7">
        <v>5972.0</v>
      </c>
      <c r="R430" s="12">
        <v>205.7</v>
      </c>
      <c r="S430" s="12">
        <v>117.11</v>
      </c>
      <c r="T430" s="13">
        <f t="shared" si="6"/>
        <v>1228440.4</v>
      </c>
      <c r="U430" s="13">
        <f t="shared" si="7"/>
        <v>456116.64</v>
      </c>
      <c r="V430" s="13">
        <f t="shared" si="8"/>
        <v>772323.76</v>
      </c>
      <c r="W430" s="14">
        <f>Q430/totals!B$2</f>
        <v>0.0009080784925</v>
      </c>
      <c r="X430" s="14">
        <f t="shared" si="9"/>
        <v>0.3179716215</v>
      </c>
      <c r="Y430" s="14">
        <f>T430/totals!B$5</f>
        <v>0.0007217079936</v>
      </c>
      <c r="Z430" s="14">
        <f t="shared" si="10"/>
        <v>0.320320986</v>
      </c>
      <c r="AA430" s="14">
        <f>V430/totals!B$4</f>
        <v>0.001539994947</v>
      </c>
      <c r="AB430" s="14">
        <f t="shared" si="11"/>
        <v>0.3346331039</v>
      </c>
    </row>
    <row r="431">
      <c r="A431" s="7">
        <v>8969.0</v>
      </c>
      <c r="B431" s="7" t="str">
        <f>VLOOKUP($A431,product_category,2, False)</f>
        <v>Snacks</v>
      </c>
      <c r="C431" s="7">
        <v>3.92217338E8</v>
      </c>
      <c r="D431" s="9">
        <v>42441.0</v>
      </c>
      <c r="E431" s="10">
        <f t="shared" si="1"/>
        <v>3</v>
      </c>
      <c r="F431" s="10" t="str">
        <f t="shared" si="2"/>
        <v>Mar</v>
      </c>
      <c r="G431" s="11">
        <f t="shared" si="3"/>
        <v>12</v>
      </c>
      <c r="H431" s="7">
        <f t="shared" si="4"/>
        <v>2016</v>
      </c>
      <c r="I431" s="9">
        <v>42444.0</v>
      </c>
      <c r="J431" s="11">
        <f t="shared" si="5"/>
        <v>3</v>
      </c>
      <c r="K431" s="7" t="s">
        <v>322</v>
      </c>
      <c r="L431" s="7" t="s">
        <v>111</v>
      </c>
      <c r="M431" s="7" t="str">
        <f>VLOOKUP(L431,countries, 2,false)</f>
        <v>Norway</v>
      </c>
      <c r="N431" s="7" t="str">
        <f>VLOOKUP(L431,countries, 4,false)</f>
        <v>Europe</v>
      </c>
      <c r="O431" s="7" t="str">
        <f>VLOOKUP(L431,countries, 5,false)</f>
        <v>Northern Europe</v>
      </c>
      <c r="P431" s="7" t="s">
        <v>212</v>
      </c>
      <c r="Q431" s="7">
        <v>4681.0</v>
      </c>
      <c r="R431" s="12">
        <v>152.58</v>
      </c>
      <c r="S431" s="12">
        <v>97.44</v>
      </c>
      <c r="T431" s="13">
        <f t="shared" si="6"/>
        <v>714226.98</v>
      </c>
      <c r="U431" s="13">
        <f t="shared" si="7"/>
        <v>611548.42</v>
      </c>
      <c r="V431" s="13">
        <f t="shared" si="8"/>
        <v>102678.56</v>
      </c>
      <c r="W431" s="14">
        <f>Q431/totals!B$2</f>
        <v>0.0007117741834</v>
      </c>
      <c r="X431" s="14">
        <f t="shared" si="9"/>
        <v>0.3186833957</v>
      </c>
      <c r="Y431" s="14">
        <f>T431/totals!B$5</f>
        <v>0.0004196079197</v>
      </c>
      <c r="Z431" s="14">
        <f t="shared" si="10"/>
        <v>0.3207405939</v>
      </c>
      <c r="AA431" s="14">
        <f>V431/totals!B$4</f>
        <v>0.0002047385718</v>
      </c>
      <c r="AB431" s="14">
        <f t="shared" si="11"/>
        <v>0.3348378425</v>
      </c>
    </row>
    <row r="432">
      <c r="A432" s="7">
        <v>2103.0</v>
      </c>
      <c r="B432" s="7" t="str">
        <f>VLOOKUP($A432,product_category,2, False)</f>
        <v>Cereal</v>
      </c>
      <c r="C432" s="7">
        <v>3.92252957E8</v>
      </c>
      <c r="D432" s="9">
        <v>42008.0</v>
      </c>
      <c r="E432" s="10">
        <f t="shared" si="1"/>
        <v>1</v>
      </c>
      <c r="F432" s="10" t="str">
        <f t="shared" si="2"/>
        <v>Jan</v>
      </c>
      <c r="G432" s="11">
        <f t="shared" si="3"/>
        <v>4</v>
      </c>
      <c r="H432" s="7">
        <f t="shared" si="4"/>
        <v>2015</v>
      </c>
      <c r="I432" s="9">
        <v>42057.0</v>
      </c>
      <c r="J432" s="11">
        <f t="shared" si="5"/>
        <v>49</v>
      </c>
      <c r="K432" s="7" t="s">
        <v>110</v>
      </c>
      <c r="L432" s="7" t="s">
        <v>540</v>
      </c>
      <c r="M432" s="7" t="str">
        <f>VLOOKUP(L432,countries, 2,false)</f>
        <v>Spain</v>
      </c>
      <c r="N432" s="7" t="str">
        <f>VLOOKUP(L432,countries, 4,false)</f>
        <v>Europe</v>
      </c>
      <c r="O432" s="7" t="str">
        <f>VLOOKUP(L432,countries, 5,false)</f>
        <v>Southern Europe</v>
      </c>
      <c r="P432" s="7" t="s">
        <v>212</v>
      </c>
      <c r="Q432" s="7">
        <v>5222.0</v>
      </c>
      <c r="R432" s="12">
        <v>205.7</v>
      </c>
      <c r="S432" s="12">
        <v>117.11</v>
      </c>
      <c r="T432" s="13">
        <f t="shared" si="6"/>
        <v>1074165.4</v>
      </c>
      <c r="U432" s="13">
        <f t="shared" si="7"/>
        <v>336895.65</v>
      </c>
      <c r="V432" s="13">
        <f t="shared" si="8"/>
        <v>737269.75</v>
      </c>
      <c r="W432" s="14">
        <f>Q432/totals!B$2</f>
        <v>0.0007940364849</v>
      </c>
      <c r="X432" s="14">
        <f t="shared" si="9"/>
        <v>0.3194774322</v>
      </c>
      <c r="Y432" s="14">
        <f>T432/totals!B$5</f>
        <v>0.0006310715242</v>
      </c>
      <c r="Z432" s="14">
        <f t="shared" si="10"/>
        <v>0.3213716654</v>
      </c>
      <c r="AA432" s="14">
        <f>V432/totals!B$4</f>
        <v>0.001470098097</v>
      </c>
      <c r="AB432" s="14">
        <f t="shared" si="11"/>
        <v>0.3363079406</v>
      </c>
    </row>
    <row r="433">
      <c r="A433" s="7">
        <v>5988.0</v>
      </c>
      <c r="B433" s="7" t="str">
        <f>VLOOKUP($A433,product_category,2, False)</f>
        <v>Vegetables</v>
      </c>
      <c r="C433" s="7">
        <v>3.92518174E8</v>
      </c>
      <c r="D433" s="9">
        <v>40719.0</v>
      </c>
      <c r="E433" s="10">
        <f t="shared" si="1"/>
        <v>6</v>
      </c>
      <c r="F433" s="10" t="str">
        <f t="shared" si="2"/>
        <v>Jun</v>
      </c>
      <c r="G433" s="11">
        <f t="shared" si="3"/>
        <v>25</v>
      </c>
      <c r="H433" s="7">
        <f t="shared" si="4"/>
        <v>2011</v>
      </c>
      <c r="I433" s="9">
        <v>40727.0</v>
      </c>
      <c r="J433" s="11">
        <f t="shared" si="5"/>
        <v>8</v>
      </c>
      <c r="K433" s="7" t="s">
        <v>110</v>
      </c>
      <c r="L433" s="7" t="s">
        <v>200</v>
      </c>
      <c r="M433" s="7" t="str">
        <f>VLOOKUP(L433,countries, 2,false)</f>
        <v>Serbia</v>
      </c>
      <c r="N433" s="7" t="str">
        <f>VLOOKUP(L433,countries, 4,false)</f>
        <v>Europe</v>
      </c>
      <c r="O433" s="7" t="str">
        <f>VLOOKUP(L433,countries, 5,false)</f>
        <v>Southern Europe</v>
      </c>
      <c r="P433" s="7" t="s">
        <v>212</v>
      </c>
      <c r="Q433" s="7">
        <v>3705.0</v>
      </c>
      <c r="R433" s="12">
        <v>154.06</v>
      </c>
      <c r="S433" s="12">
        <v>90.93</v>
      </c>
      <c r="T433" s="13">
        <f t="shared" si="6"/>
        <v>570792.3</v>
      </c>
      <c r="U433" s="13">
        <f t="shared" si="7"/>
        <v>66401.37</v>
      </c>
      <c r="V433" s="13">
        <f t="shared" si="8"/>
        <v>504390.93</v>
      </c>
      <c r="W433" s="14">
        <f>Q433/totals!B$2</f>
        <v>0.0005633675176</v>
      </c>
      <c r="X433" s="14">
        <f t="shared" si="9"/>
        <v>0.3200407997</v>
      </c>
      <c r="Y433" s="14">
        <f>T433/totals!B$5</f>
        <v>0.0003353401317</v>
      </c>
      <c r="Z433" s="14">
        <f t="shared" si="10"/>
        <v>0.3217070056</v>
      </c>
      <c r="AA433" s="14">
        <f>V433/totals!B$4</f>
        <v>0.001005743347</v>
      </c>
      <c r="AB433" s="14">
        <f t="shared" si="11"/>
        <v>0.337313684</v>
      </c>
    </row>
    <row r="434">
      <c r="A434" s="7">
        <v>2103.0</v>
      </c>
      <c r="B434" s="7" t="str">
        <f>VLOOKUP($A434,product_category,2, False)</f>
        <v>Cereal</v>
      </c>
      <c r="C434" s="7">
        <v>3.92676532E8</v>
      </c>
      <c r="D434" s="9">
        <v>40729.0</v>
      </c>
      <c r="E434" s="10">
        <f t="shared" si="1"/>
        <v>7</v>
      </c>
      <c r="F434" s="10" t="str">
        <f t="shared" si="2"/>
        <v>Jul</v>
      </c>
      <c r="G434" s="11">
        <f t="shared" si="3"/>
        <v>5</v>
      </c>
      <c r="H434" s="7">
        <f t="shared" si="4"/>
        <v>2011</v>
      </c>
      <c r="I434" s="9">
        <v>40761.0</v>
      </c>
      <c r="J434" s="11">
        <f t="shared" si="5"/>
        <v>32</v>
      </c>
      <c r="K434" s="7" t="s">
        <v>382</v>
      </c>
      <c r="L434" s="7" t="s">
        <v>231</v>
      </c>
      <c r="M434" s="7" t="str">
        <f>VLOOKUP(L434,countries, 2,false)</f>
        <v>Cyprus</v>
      </c>
      <c r="N434" s="7" t="str">
        <f>VLOOKUP(L434,countries, 4,false)</f>
        <v>Asia</v>
      </c>
      <c r="O434" s="7" t="str">
        <f>VLOOKUP(L434,countries, 5,false)</f>
        <v>Western Asia</v>
      </c>
      <c r="P434" s="7" t="s">
        <v>212</v>
      </c>
      <c r="Q434" s="7">
        <v>567.0</v>
      </c>
      <c r="R434" s="12">
        <v>205.7</v>
      </c>
      <c r="S434" s="12">
        <v>117.11</v>
      </c>
      <c r="T434" s="13">
        <f t="shared" si="6"/>
        <v>116631.9</v>
      </c>
      <c r="U434" s="13">
        <f t="shared" si="7"/>
        <v>172560.15</v>
      </c>
      <c r="V434" s="13">
        <f t="shared" si="8"/>
        <v>-55928.25</v>
      </c>
      <c r="W434" s="14">
        <f>Q434/totals!B$2</f>
        <v>0.00008621575775</v>
      </c>
      <c r="X434" s="14">
        <f t="shared" si="9"/>
        <v>0.3201270154</v>
      </c>
      <c r="Y434" s="14">
        <f>T434/totals!B$5</f>
        <v>0.00006852117086</v>
      </c>
      <c r="Z434" s="14">
        <f t="shared" si="10"/>
        <v>0.3217755267</v>
      </c>
      <c r="AA434" s="14">
        <f>V434/totals!B$4</f>
        <v>-0.0001115195814</v>
      </c>
      <c r="AB434" s="14">
        <f t="shared" si="11"/>
        <v>0.3372021644</v>
      </c>
    </row>
    <row r="435">
      <c r="A435" s="7">
        <v>3127.0</v>
      </c>
      <c r="B435" s="7" t="str">
        <f>VLOOKUP($A435,product_category,2, False)</f>
        <v>Personal Care</v>
      </c>
      <c r="C435" s="7">
        <v>3.92752492E8</v>
      </c>
      <c r="D435" s="9">
        <v>40306.0</v>
      </c>
      <c r="E435" s="10">
        <f t="shared" si="1"/>
        <v>5</v>
      </c>
      <c r="F435" s="10" t="str">
        <f t="shared" si="2"/>
        <v>May</v>
      </c>
      <c r="G435" s="11">
        <f t="shared" si="3"/>
        <v>8</v>
      </c>
      <c r="H435" s="7">
        <f t="shared" si="4"/>
        <v>2010</v>
      </c>
      <c r="I435" s="9">
        <v>40332.0</v>
      </c>
      <c r="J435" s="11">
        <f t="shared" si="5"/>
        <v>26</v>
      </c>
      <c r="K435" s="7" t="s">
        <v>382</v>
      </c>
      <c r="L435" s="7" t="s">
        <v>534</v>
      </c>
      <c r="M435" s="7" t="str">
        <f>VLOOKUP(L435,countries, 2,false)</f>
        <v>Netherlands</v>
      </c>
      <c r="N435" s="7" t="str">
        <f>VLOOKUP(L435,countries, 4,false)</f>
        <v>Europe</v>
      </c>
      <c r="O435" s="7" t="str">
        <f>VLOOKUP(L435,countries, 5,false)</f>
        <v>Western Europe</v>
      </c>
      <c r="P435" s="7" t="s">
        <v>212</v>
      </c>
      <c r="Q435" s="7">
        <v>3045.0</v>
      </c>
      <c r="R435" s="12">
        <v>81.73</v>
      </c>
      <c r="S435" s="12">
        <v>56.67</v>
      </c>
      <c r="T435" s="13">
        <f t="shared" si="6"/>
        <v>248867.85</v>
      </c>
      <c r="U435" s="13">
        <f t="shared" si="7"/>
        <v>44101.16</v>
      </c>
      <c r="V435" s="13">
        <f t="shared" si="8"/>
        <v>204766.69</v>
      </c>
      <c r="W435" s="14">
        <f>Q435/totals!B$2</f>
        <v>0.0004630105509</v>
      </c>
      <c r="X435" s="14">
        <f t="shared" si="9"/>
        <v>0.320590026</v>
      </c>
      <c r="Y435" s="14">
        <f>T435/totals!B$5</f>
        <v>0.0001462097117</v>
      </c>
      <c r="Z435" s="14">
        <f t="shared" si="10"/>
        <v>0.3219217364</v>
      </c>
      <c r="AA435" s="14">
        <f>V435/totals!B$4</f>
        <v>0.0004082998404</v>
      </c>
      <c r="AB435" s="14">
        <f t="shared" si="11"/>
        <v>0.3376104642</v>
      </c>
    </row>
    <row r="436">
      <c r="A436" s="7">
        <v>4594.0</v>
      </c>
      <c r="B436" s="7" t="str">
        <f>VLOOKUP($A436,product_category,2, False)</f>
        <v>Fruits</v>
      </c>
      <c r="C436" s="7">
        <v>3.93709933E8</v>
      </c>
      <c r="D436" s="9">
        <v>42806.0</v>
      </c>
      <c r="E436" s="10">
        <f t="shared" si="1"/>
        <v>3</v>
      </c>
      <c r="F436" s="10" t="str">
        <f t="shared" si="2"/>
        <v>Mar</v>
      </c>
      <c r="G436" s="11">
        <f t="shared" si="3"/>
        <v>12</v>
      </c>
      <c r="H436" s="7">
        <f t="shared" si="4"/>
        <v>2017</v>
      </c>
      <c r="I436" s="9">
        <v>42850.0</v>
      </c>
      <c r="J436" s="11">
        <f t="shared" si="5"/>
        <v>44</v>
      </c>
      <c r="K436" s="7" t="s">
        <v>198</v>
      </c>
      <c r="L436" s="7" t="s">
        <v>286</v>
      </c>
      <c r="M436" s="7" t="str">
        <f>VLOOKUP(L436,countries, 2,false)</f>
        <v>France</v>
      </c>
      <c r="N436" s="7" t="str">
        <f>VLOOKUP(L436,countries, 4,false)</f>
        <v>Europe</v>
      </c>
      <c r="O436" s="7" t="str">
        <f>VLOOKUP(L436,countries, 5,false)</f>
        <v>Western Europe</v>
      </c>
      <c r="P436" s="7" t="s">
        <v>212</v>
      </c>
      <c r="Q436" s="7">
        <v>6373.0</v>
      </c>
      <c r="R436" s="12">
        <v>9.33</v>
      </c>
      <c r="S436" s="12">
        <v>6.92</v>
      </c>
      <c r="T436" s="13">
        <f t="shared" si="6"/>
        <v>59460.09</v>
      </c>
      <c r="U436" s="13">
        <f t="shared" si="7"/>
        <v>205793.28</v>
      </c>
      <c r="V436" s="13">
        <f t="shared" si="8"/>
        <v>-146333.19</v>
      </c>
      <c r="W436" s="14">
        <f>Q436/totals!B$2</f>
        <v>0.0009690529526</v>
      </c>
      <c r="X436" s="14">
        <f t="shared" si="9"/>
        <v>0.3215590789</v>
      </c>
      <c r="Y436" s="14">
        <f>T436/totals!B$5</f>
        <v>0.00003493276699</v>
      </c>
      <c r="Z436" s="14">
        <f t="shared" si="10"/>
        <v>0.3219566692</v>
      </c>
      <c r="AA436" s="14">
        <f>V436/totals!B$4</f>
        <v>-0.000291784851</v>
      </c>
      <c r="AB436" s="14">
        <f t="shared" si="11"/>
        <v>0.3373186794</v>
      </c>
    </row>
    <row r="437">
      <c r="A437" s="7">
        <v>2455.0</v>
      </c>
      <c r="B437" s="7" t="str">
        <f>VLOOKUP($A437,product_category,2, False)</f>
        <v>Clothes</v>
      </c>
      <c r="C437" s="7">
        <v>3.93842971E8</v>
      </c>
      <c r="D437" s="9">
        <v>40190.0</v>
      </c>
      <c r="E437" s="10">
        <f t="shared" si="1"/>
        <v>1</v>
      </c>
      <c r="F437" s="10" t="str">
        <f t="shared" si="2"/>
        <v>Jan</v>
      </c>
      <c r="G437" s="11">
        <f t="shared" si="3"/>
        <v>12</v>
      </c>
      <c r="H437" s="7">
        <f t="shared" si="4"/>
        <v>2010</v>
      </c>
      <c r="I437" s="9">
        <v>40209.0</v>
      </c>
      <c r="J437" s="11">
        <f t="shared" si="5"/>
        <v>19</v>
      </c>
      <c r="K437" s="7" t="s">
        <v>322</v>
      </c>
      <c r="L437" s="7" t="s">
        <v>200</v>
      </c>
      <c r="M437" s="7" t="str">
        <f>VLOOKUP(L437,countries, 2,false)</f>
        <v>Serbia</v>
      </c>
      <c r="N437" s="7" t="str">
        <f>VLOOKUP(L437,countries, 4,false)</f>
        <v>Europe</v>
      </c>
      <c r="O437" s="7" t="str">
        <f>VLOOKUP(L437,countries, 5,false)</f>
        <v>Southern Europe</v>
      </c>
      <c r="P437" s="7" t="s">
        <v>212</v>
      </c>
      <c r="Q437" s="7">
        <v>5742.0</v>
      </c>
      <c r="R437" s="12">
        <v>109.28</v>
      </c>
      <c r="S437" s="12">
        <v>35.84</v>
      </c>
      <c r="T437" s="13">
        <f t="shared" si="6"/>
        <v>627485.76</v>
      </c>
      <c r="U437" s="13">
        <f t="shared" si="7"/>
        <v>2172.88</v>
      </c>
      <c r="V437" s="13">
        <f t="shared" si="8"/>
        <v>625312.88</v>
      </c>
      <c r="W437" s="14">
        <f>Q437/totals!B$2</f>
        <v>0.0008731056102</v>
      </c>
      <c r="X437" s="14">
        <f t="shared" si="9"/>
        <v>0.3224321845</v>
      </c>
      <c r="Y437" s="14">
        <f>T437/totals!B$5</f>
        <v>0.0003686475053</v>
      </c>
      <c r="Z437" s="14">
        <f t="shared" si="10"/>
        <v>0.3223253167</v>
      </c>
      <c r="AA437" s="14">
        <f>V437/totals!B$4</f>
        <v>0.001246858799</v>
      </c>
      <c r="AB437" s="14">
        <f t="shared" si="11"/>
        <v>0.3385655382</v>
      </c>
    </row>
    <row r="438">
      <c r="A438" s="7">
        <v>4594.0</v>
      </c>
      <c r="B438" s="7" t="str">
        <f>VLOOKUP($A438,product_category,2, False)</f>
        <v>Fruits</v>
      </c>
      <c r="C438" s="7">
        <v>3.9385842E8</v>
      </c>
      <c r="D438" s="9">
        <v>41135.0</v>
      </c>
      <c r="E438" s="10">
        <f t="shared" si="1"/>
        <v>8</v>
      </c>
      <c r="F438" s="10" t="str">
        <f t="shared" si="2"/>
        <v>Aug</v>
      </c>
      <c r="G438" s="11">
        <f t="shared" si="3"/>
        <v>14</v>
      </c>
      <c r="H438" s="7">
        <f t="shared" si="4"/>
        <v>2012</v>
      </c>
      <c r="I438" s="9">
        <v>41150.0</v>
      </c>
      <c r="J438" s="11">
        <f t="shared" si="5"/>
        <v>15</v>
      </c>
      <c r="K438" s="7" t="s">
        <v>322</v>
      </c>
      <c r="L438" s="7" t="s">
        <v>439</v>
      </c>
      <c r="M438" s="7" t="str">
        <f>VLOOKUP(L438,countries, 2,false)</f>
        <v>Slovakia</v>
      </c>
      <c r="N438" s="7" t="str">
        <f>VLOOKUP(L438,countries, 4,false)</f>
        <v>Europe</v>
      </c>
      <c r="O438" s="7" t="str">
        <f>VLOOKUP(L438,countries, 5,false)</f>
        <v>Eastern Europe</v>
      </c>
      <c r="P438" s="7" t="s">
        <v>212</v>
      </c>
      <c r="Q438" s="7">
        <v>314.0</v>
      </c>
      <c r="R438" s="12">
        <v>9.33</v>
      </c>
      <c r="S438" s="12">
        <v>6.92</v>
      </c>
      <c r="T438" s="13">
        <f t="shared" si="6"/>
        <v>2929.62</v>
      </c>
      <c r="U438" s="13">
        <f t="shared" si="7"/>
        <v>453558.84</v>
      </c>
      <c r="V438" s="13">
        <f t="shared" si="8"/>
        <v>-450629.22</v>
      </c>
      <c r="W438" s="14">
        <f>Q438/totals!B$2</f>
        <v>0.00004774558718</v>
      </c>
      <c r="X438" s="14">
        <f t="shared" si="9"/>
        <v>0.3224799301</v>
      </c>
      <c r="Y438" s="14">
        <f>T438/totals!B$5</f>
        <v>0.000001721149982</v>
      </c>
      <c r="Z438" s="14">
        <f t="shared" si="10"/>
        <v>0.3223270379</v>
      </c>
      <c r="AA438" s="14">
        <f>V438/totals!B$4</f>
        <v>-0.0008985437945</v>
      </c>
      <c r="AB438" s="14">
        <f t="shared" si="11"/>
        <v>0.3376669944</v>
      </c>
    </row>
    <row r="439">
      <c r="A439" s="7">
        <v>5988.0</v>
      </c>
      <c r="B439" s="7" t="str">
        <f>VLOOKUP($A439,product_category,2, False)</f>
        <v>Vegetables</v>
      </c>
      <c r="C439" s="7">
        <v>3.94110763E8</v>
      </c>
      <c r="D439" s="9">
        <v>40903.0</v>
      </c>
      <c r="E439" s="10">
        <f t="shared" si="1"/>
        <v>12</v>
      </c>
      <c r="F439" s="10" t="str">
        <f t="shared" si="2"/>
        <v>Dec</v>
      </c>
      <c r="G439" s="11">
        <f t="shared" si="3"/>
        <v>26</v>
      </c>
      <c r="H439" s="7">
        <f t="shared" si="4"/>
        <v>2011</v>
      </c>
      <c r="I439" s="9">
        <v>40906.0</v>
      </c>
      <c r="J439" s="11">
        <f t="shared" si="5"/>
        <v>3</v>
      </c>
      <c r="K439" s="7" t="s">
        <v>198</v>
      </c>
      <c r="L439" s="7" t="s">
        <v>113</v>
      </c>
      <c r="M439" s="7" t="str">
        <f>VLOOKUP(L439,countries, 2,false)</f>
        <v>Belgium</v>
      </c>
      <c r="N439" s="7" t="str">
        <f>VLOOKUP(L439,countries, 4,false)</f>
        <v>Europe</v>
      </c>
      <c r="O439" s="7" t="str">
        <f>VLOOKUP(L439,countries, 5,false)</f>
        <v>Western Europe</v>
      </c>
      <c r="P439" s="7" t="s">
        <v>212</v>
      </c>
      <c r="Q439" s="7">
        <v>4988.0</v>
      </c>
      <c r="R439" s="12">
        <v>154.06</v>
      </c>
      <c r="S439" s="12">
        <v>90.93</v>
      </c>
      <c r="T439" s="13">
        <f t="shared" si="6"/>
        <v>768451.28</v>
      </c>
      <c r="U439" s="13">
        <f t="shared" si="7"/>
        <v>3897700.24</v>
      </c>
      <c r="V439" s="13">
        <f t="shared" si="8"/>
        <v>-3129248.96</v>
      </c>
      <c r="W439" s="14">
        <f>Q439/totals!B$2</f>
        <v>0.0007584553786</v>
      </c>
      <c r="X439" s="14">
        <f t="shared" si="9"/>
        <v>0.3232383855</v>
      </c>
      <c r="Y439" s="14">
        <f>T439/totals!B$5</f>
        <v>0.0004514646632</v>
      </c>
      <c r="Z439" s="14">
        <f t="shared" si="10"/>
        <v>0.3227785025</v>
      </c>
      <c r="AA439" s="14">
        <f>V439/totals!B$4</f>
        <v>-0.006239646942</v>
      </c>
      <c r="AB439" s="14">
        <f t="shared" si="11"/>
        <v>0.3314273474</v>
      </c>
    </row>
    <row r="440">
      <c r="A440" s="7">
        <v>7940.0</v>
      </c>
      <c r="B440" s="7" t="str">
        <f>VLOOKUP($A440,product_category,2, False)</f>
        <v>Household</v>
      </c>
      <c r="C440" s="7">
        <v>3.94356667E8</v>
      </c>
      <c r="D440" s="9">
        <v>42581.0</v>
      </c>
      <c r="E440" s="10">
        <f t="shared" si="1"/>
        <v>7</v>
      </c>
      <c r="F440" s="10" t="str">
        <f t="shared" si="2"/>
        <v>Jul</v>
      </c>
      <c r="G440" s="11">
        <f t="shared" si="3"/>
        <v>30</v>
      </c>
      <c r="H440" s="7">
        <f t="shared" si="4"/>
        <v>2016</v>
      </c>
      <c r="I440" s="9">
        <v>42586.0</v>
      </c>
      <c r="J440" s="11">
        <f t="shared" si="5"/>
        <v>5</v>
      </c>
      <c r="K440" s="7" t="s">
        <v>198</v>
      </c>
      <c r="L440" s="7" t="s">
        <v>762</v>
      </c>
      <c r="M440" s="7" t="str">
        <f>VLOOKUP(L440,countries, 2,false)</f>
        <v>United Kingdom</v>
      </c>
      <c r="N440" s="7" t="str">
        <f>VLOOKUP(L440,countries, 4,false)</f>
        <v>Europe</v>
      </c>
      <c r="O440" s="7" t="str">
        <f>VLOOKUP(L440,countries, 5,false)</f>
        <v>Northern Europe</v>
      </c>
      <c r="P440" s="7" t="s">
        <v>129</v>
      </c>
      <c r="Q440" s="7">
        <v>7756.0</v>
      </c>
      <c r="R440" s="12">
        <v>668.27</v>
      </c>
      <c r="S440" s="12">
        <v>502.54</v>
      </c>
      <c r="T440" s="13">
        <f t="shared" si="6"/>
        <v>5183102.12</v>
      </c>
      <c r="U440" s="13">
        <f t="shared" si="7"/>
        <v>50834.32</v>
      </c>
      <c r="V440" s="13">
        <f t="shared" si="8"/>
        <v>5132267.8</v>
      </c>
      <c r="W440" s="14">
        <f>Q440/totals!B$2</f>
        <v>0.001179346415</v>
      </c>
      <c r="X440" s="14">
        <f t="shared" si="9"/>
        <v>0.3244177319</v>
      </c>
      <c r="Y440" s="14">
        <f>T440/totals!B$5</f>
        <v>0.003045069367</v>
      </c>
      <c r="Z440" s="14">
        <f t="shared" si="10"/>
        <v>0.3258235719</v>
      </c>
      <c r="AA440" s="14">
        <f>V440/totals!B$4</f>
        <v>0.01023361819</v>
      </c>
      <c r="AB440" s="14">
        <f t="shared" si="11"/>
        <v>0.3416609656</v>
      </c>
    </row>
    <row r="441">
      <c r="A441" s="7">
        <v>4594.0</v>
      </c>
      <c r="B441" s="7" t="str">
        <f>VLOOKUP($A441,product_category,2, False)</f>
        <v>Fruits</v>
      </c>
      <c r="C441" s="7">
        <v>3.9445666E8</v>
      </c>
      <c r="D441" s="9">
        <v>42400.0</v>
      </c>
      <c r="E441" s="10">
        <f t="shared" si="1"/>
        <v>1</v>
      </c>
      <c r="F441" s="10" t="str">
        <f t="shared" si="2"/>
        <v>Jan</v>
      </c>
      <c r="G441" s="11">
        <f t="shared" si="3"/>
        <v>31</v>
      </c>
      <c r="H441" s="7">
        <f t="shared" si="4"/>
        <v>2016</v>
      </c>
      <c r="I441" s="9">
        <v>42409.0</v>
      </c>
      <c r="J441" s="11">
        <f t="shared" si="5"/>
        <v>9</v>
      </c>
      <c r="K441" s="7" t="s">
        <v>382</v>
      </c>
      <c r="L441" s="7" t="s">
        <v>323</v>
      </c>
      <c r="M441" s="7" t="str">
        <f>VLOOKUP(L441,countries, 2,false)</f>
        <v>Montenegro</v>
      </c>
      <c r="N441" s="7" t="str">
        <f>VLOOKUP(L441,countries, 4,false)</f>
        <v>Europe</v>
      </c>
      <c r="O441" s="7" t="str">
        <f>VLOOKUP(L441,countries, 5,false)</f>
        <v>Southern Europe</v>
      </c>
      <c r="P441" s="7" t="s">
        <v>129</v>
      </c>
      <c r="Q441" s="7">
        <v>7346.0</v>
      </c>
      <c r="R441" s="12">
        <v>9.33</v>
      </c>
      <c r="S441" s="12">
        <v>6.92</v>
      </c>
      <c r="T441" s="13">
        <f t="shared" si="6"/>
        <v>68538.18</v>
      </c>
      <c r="U441" s="13">
        <f t="shared" si="7"/>
        <v>146710.85</v>
      </c>
      <c r="V441" s="13">
        <f t="shared" si="8"/>
        <v>-78172.67</v>
      </c>
      <c r="W441" s="14">
        <f>Q441/totals!B$2</f>
        <v>0.00111700345</v>
      </c>
      <c r="X441" s="14">
        <f t="shared" si="9"/>
        <v>0.3255347354</v>
      </c>
      <c r="Y441" s="14">
        <f>T441/totals!B$5</f>
        <v>0.00004026613938</v>
      </c>
      <c r="Z441" s="14">
        <f t="shared" si="10"/>
        <v>0.325863838</v>
      </c>
      <c r="AA441" s="14">
        <f>V441/totals!B$4</f>
        <v>-0.0001558744183</v>
      </c>
      <c r="AB441" s="14">
        <f t="shared" si="11"/>
        <v>0.3415050912</v>
      </c>
    </row>
    <row r="442">
      <c r="A442" s="7">
        <v>1270.0</v>
      </c>
      <c r="B442" s="7" t="str">
        <f>VLOOKUP($A442,product_category,2, False)</f>
        <v>Beverages</v>
      </c>
      <c r="C442" s="7">
        <v>3.95562589E8</v>
      </c>
      <c r="D442" s="9">
        <v>40463.0</v>
      </c>
      <c r="E442" s="10">
        <f t="shared" si="1"/>
        <v>10</v>
      </c>
      <c r="F442" s="10" t="str">
        <f t="shared" si="2"/>
        <v>Oct</v>
      </c>
      <c r="G442" s="11">
        <f t="shared" si="3"/>
        <v>12</v>
      </c>
      <c r="H442" s="7">
        <f t="shared" si="4"/>
        <v>2010</v>
      </c>
      <c r="I442" s="9">
        <v>40513.0</v>
      </c>
      <c r="J442" s="11">
        <f t="shared" si="5"/>
        <v>50</v>
      </c>
      <c r="K442" s="7" t="s">
        <v>198</v>
      </c>
      <c r="L442" s="7" t="s">
        <v>200</v>
      </c>
      <c r="M442" s="7" t="str">
        <f>VLOOKUP(L442,countries, 2,false)</f>
        <v>Serbia</v>
      </c>
      <c r="N442" s="7" t="str">
        <f>VLOOKUP(L442,countries, 4,false)</f>
        <v>Europe</v>
      </c>
      <c r="O442" s="7" t="str">
        <f>VLOOKUP(L442,countries, 5,false)</f>
        <v>Southern Europe</v>
      </c>
      <c r="P442" s="7" t="s">
        <v>129</v>
      </c>
      <c r="Q442" s="7">
        <v>4615.0</v>
      </c>
      <c r="R442" s="12">
        <v>47.45</v>
      </c>
      <c r="S442" s="12">
        <v>31.79</v>
      </c>
      <c r="T442" s="13">
        <f t="shared" si="6"/>
        <v>218981.75</v>
      </c>
      <c r="U442" s="13">
        <f t="shared" si="7"/>
        <v>59673.51</v>
      </c>
      <c r="V442" s="13">
        <f t="shared" si="8"/>
        <v>159308.24</v>
      </c>
      <c r="W442" s="14">
        <f>Q442/totals!B$2</f>
        <v>0.0007017384868</v>
      </c>
      <c r="X442" s="14">
        <f t="shared" si="9"/>
        <v>0.3262364739</v>
      </c>
      <c r="Y442" s="14">
        <f>T442/totals!B$5</f>
        <v>0.000128651646</v>
      </c>
      <c r="Z442" s="14">
        <f t="shared" si="10"/>
        <v>0.3259924897</v>
      </c>
      <c r="AA442" s="14">
        <f>V442/totals!B$4</f>
        <v>0.0003176567877</v>
      </c>
      <c r="AB442" s="14">
        <f t="shared" si="11"/>
        <v>0.341822748</v>
      </c>
    </row>
    <row r="443">
      <c r="A443" s="7">
        <v>3127.0</v>
      </c>
      <c r="B443" s="7" t="str">
        <f>VLOOKUP($A443,product_category,2, False)</f>
        <v>Personal Care</v>
      </c>
      <c r="C443" s="7">
        <v>3.96462953E8</v>
      </c>
      <c r="D443" s="9">
        <v>42390.0</v>
      </c>
      <c r="E443" s="10">
        <f t="shared" si="1"/>
        <v>1</v>
      </c>
      <c r="F443" s="10" t="str">
        <f t="shared" si="2"/>
        <v>Jan</v>
      </c>
      <c r="G443" s="11">
        <f t="shared" si="3"/>
        <v>21</v>
      </c>
      <c r="H443" s="7">
        <f t="shared" si="4"/>
        <v>2016</v>
      </c>
      <c r="I443" s="9">
        <v>42426.0</v>
      </c>
      <c r="J443" s="11">
        <f t="shared" si="5"/>
        <v>36</v>
      </c>
      <c r="K443" s="7" t="s">
        <v>322</v>
      </c>
      <c r="L443" s="7" t="s">
        <v>383</v>
      </c>
      <c r="M443" s="7" t="str">
        <f>VLOOKUP(L443,countries, 2,false)</f>
        <v>Ireland</v>
      </c>
      <c r="N443" s="7" t="str">
        <f>VLOOKUP(L443,countries, 4,false)</f>
        <v>Europe</v>
      </c>
      <c r="O443" s="7" t="str">
        <f>VLOOKUP(L443,countries, 5,false)</f>
        <v>Northern Europe</v>
      </c>
      <c r="P443" s="7" t="s">
        <v>212</v>
      </c>
      <c r="Q443" s="7">
        <v>1053.0</v>
      </c>
      <c r="R443" s="12">
        <v>81.73</v>
      </c>
      <c r="S443" s="12">
        <v>56.67</v>
      </c>
      <c r="T443" s="13">
        <f t="shared" si="6"/>
        <v>86061.69</v>
      </c>
      <c r="U443" s="13">
        <f t="shared" si="7"/>
        <v>267653.12</v>
      </c>
      <c r="V443" s="13">
        <f t="shared" si="8"/>
        <v>-181591.43</v>
      </c>
      <c r="W443" s="14">
        <f>Q443/totals!B$2</f>
        <v>0.0001601149787</v>
      </c>
      <c r="X443" s="14">
        <f t="shared" si="9"/>
        <v>0.3263965888</v>
      </c>
      <c r="Y443" s="14">
        <f>T443/totals!B$5</f>
        <v>0.00005056119093</v>
      </c>
      <c r="Z443" s="14">
        <f t="shared" si="10"/>
        <v>0.3260430509</v>
      </c>
      <c r="AA443" s="14">
        <f>V443/totals!B$4</f>
        <v>-0.000362088931</v>
      </c>
      <c r="AB443" s="14">
        <f t="shared" si="11"/>
        <v>0.3414606591</v>
      </c>
    </row>
    <row r="444">
      <c r="A444" s="7">
        <v>2455.0</v>
      </c>
      <c r="B444" s="7" t="str">
        <f>VLOOKUP($A444,product_category,2, False)</f>
        <v>Clothes</v>
      </c>
      <c r="C444" s="7">
        <v>3.96552217E8</v>
      </c>
      <c r="D444" s="9">
        <v>41706.0</v>
      </c>
      <c r="E444" s="10">
        <f t="shared" si="1"/>
        <v>3</v>
      </c>
      <c r="F444" s="10" t="str">
        <f t="shared" si="2"/>
        <v>Mar</v>
      </c>
      <c r="G444" s="11">
        <f t="shared" si="3"/>
        <v>8</v>
      </c>
      <c r="H444" s="7">
        <f t="shared" si="4"/>
        <v>2014</v>
      </c>
      <c r="I444" s="9">
        <v>41753.0</v>
      </c>
      <c r="J444" s="11">
        <f t="shared" si="5"/>
        <v>47</v>
      </c>
      <c r="K444" s="7" t="s">
        <v>110</v>
      </c>
      <c r="L444" s="7" t="s">
        <v>231</v>
      </c>
      <c r="M444" s="7" t="str">
        <f>VLOOKUP(L444,countries, 2,false)</f>
        <v>Cyprus</v>
      </c>
      <c r="N444" s="7" t="str">
        <f>VLOOKUP(L444,countries, 4,false)</f>
        <v>Asia</v>
      </c>
      <c r="O444" s="7" t="str">
        <f>VLOOKUP(L444,countries, 5,false)</f>
        <v>Western Asia</v>
      </c>
      <c r="P444" s="7" t="s">
        <v>212</v>
      </c>
      <c r="Q444" s="7">
        <v>7468.0</v>
      </c>
      <c r="R444" s="12">
        <v>109.28</v>
      </c>
      <c r="S444" s="12">
        <v>35.84</v>
      </c>
      <c r="T444" s="13">
        <f t="shared" si="6"/>
        <v>816103.04</v>
      </c>
      <c r="U444" s="13">
        <f t="shared" si="7"/>
        <v>382069.14</v>
      </c>
      <c r="V444" s="13">
        <f t="shared" si="8"/>
        <v>434033.9</v>
      </c>
      <c r="W444" s="14">
        <f>Q444/totals!B$2</f>
        <v>0.001135554284</v>
      </c>
      <c r="X444" s="14">
        <f t="shared" si="9"/>
        <v>0.3275321431</v>
      </c>
      <c r="Y444" s="14">
        <f>T444/totals!B$5</f>
        <v>0.0004794600434</v>
      </c>
      <c r="Z444" s="14">
        <f t="shared" si="10"/>
        <v>0.3265225109</v>
      </c>
      <c r="AA444" s="14">
        <f>V444/totals!B$4</f>
        <v>0.0008654531268</v>
      </c>
      <c r="AB444" s="14">
        <f t="shared" si="11"/>
        <v>0.3423261122</v>
      </c>
    </row>
    <row r="445">
      <c r="A445" s="7">
        <v>3127.0</v>
      </c>
      <c r="B445" s="7" t="str">
        <f>VLOOKUP($A445,product_category,2, False)</f>
        <v>Personal Care</v>
      </c>
      <c r="C445" s="7">
        <v>3.96718728E8</v>
      </c>
      <c r="D445" s="9">
        <v>40216.0</v>
      </c>
      <c r="E445" s="10">
        <f t="shared" si="1"/>
        <v>2</v>
      </c>
      <c r="F445" s="10" t="str">
        <f t="shared" si="2"/>
        <v>Feb</v>
      </c>
      <c r="G445" s="11">
        <f t="shared" si="3"/>
        <v>7</v>
      </c>
      <c r="H445" s="7">
        <f t="shared" si="4"/>
        <v>2010</v>
      </c>
      <c r="I445" s="9">
        <v>40255.0</v>
      </c>
      <c r="J445" s="11">
        <f t="shared" si="5"/>
        <v>39</v>
      </c>
      <c r="K445" s="7" t="s">
        <v>322</v>
      </c>
      <c r="L445" s="7" t="s">
        <v>136</v>
      </c>
      <c r="M445" s="7" t="str">
        <f>VLOOKUP(L445,countries, 2,false)</f>
        <v>Bosnia and Herzegovina</v>
      </c>
      <c r="N445" s="7" t="str">
        <f>VLOOKUP(L445,countries, 4,false)</f>
        <v>Europe</v>
      </c>
      <c r="O445" s="7" t="str">
        <f>VLOOKUP(L445,countries, 5,false)</f>
        <v>Southern Europe</v>
      </c>
      <c r="P445" s="7" t="s">
        <v>212</v>
      </c>
      <c r="Q445" s="7">
        <v>6742.0</v>
      </c>
      <c r="R445" s="12">
        <v>81.73</v>
      </c>
      <c r="S445" s="12">
        <v>56.67</v>
      </c>
      <c r="T445" s="13">
        <f t="shared" si="6"/>
        <v>551023.66</v>
      </c>
      <c r="U445" s="13">
        <f t="shared" si="7"/>
        <v>29638.41</v>
      </c>
      <c r="V445" s="13">
        <f t="shared" si="8"/>
        <v>521385.25</v>
      </c>
      <c r="W445" s="14">
        <f>Q445/totals!B$2</f>
        <v>0.00102516162</v>
      </c>
      <c r="X445" s="14">
        <f t="shared" si="9"/>
        <v>0.3285573047</v>
      </c>
      <c r="Y445" s="14">
        <f>T445/totals!B$5</f>
        <v>0.0003237260677</v>
      </c>
      <c r="Z445" s="14">
        <f t="shared" si="10"/>
        <v>0.326846237</v>
      </c>
      <c r="AA445" s="14">
        <f>V445/totals!B$4</f>
        <v>0.001039629612</v>
      </c>
      <c r="AB445" s="14">
        <f t="shared" si="11"/>
        <v>0.3433657418</v>
      </c>
    </row>
    <row r="446">
      <c r="A446" s="7">
        <v>3127.0</v>
      </c>
      <c r="B446" s="7" t="str">
        <f>VLOOKUP($A446,product_category,2, False)</f>
        <v>Personal Care</v>
      </c>
      <c r="C446" s="7">
        <v>3.96832883E8</v>
      </c>
      <c r="D446" s="9">
        <v>41362.0</v>
      </c>
      <c r="E446" s="10">
        <f t="shared" si="1"/>
        <v>3</v>
      </c>
      <c r="F446" s="10" t="str">
        <f t="shared" si="2"/>
        <v>Mar</v>
      </c>
      <c r="G446" s="11">
        <f t="shared" si="3"/>
        <v>29</v>
      </c>
      <c r="H446" s="7">
        <f t="shared" si="4"/>
        <v>2013</v>
      </c>
      <c r="I446" s="9">
        <v>41364.0</v>
      </c>
      <c r="J446" s="11">
        <f t="shared" si="5"/>
        <v>2</v>
      </c>
      <c r="K446" s="7" t="s">
        <v>110</v>
      </c>
      <c r="L446" s="7" t="s">
        <v>222</v>
      </c>
      <c r="M446" s="7" t="str">
        <f>VLOOKUP(L446,countries, 2,false)</f>
        <v>Croatia</v>
      </c>
      <c r="N446" s="7" t="str">
        <f>VLOOKUP(L446,countries, 4,false)</f>
        <v>Europe</v>
      </c>
      <c r="O446" s="7" t="str">
        <f>VLOOKUP(L446,countries, 5,false)</f>
        <v>Southern Europe</v>
      </c>
      <c r="P446" s="7" t="s">
        <v>212</v>
      </c>
      <c r="Q446" s="7">
        <v>523.0</v>
      </c>
      <c r="R446" s="12">
        <v>81.73</v>
      </c>
      <c r="S446" s="12">
        <v>56.67</v>
      </c>
      <c r="T446" s="13">
        <f t="shared" si="6"/>
        <v>42744.79</v>
      </c>
      <c r="U446" s="13">
        <f t="shared" si="7"/>
        <v>277939.97</v>
      </c>
      <c r="V446" s="13">
        <f t="shared" si="8"/>
        <v>-235195.18</v>
      </c>
      <c r="W446" s="14">
        <f>Q446/totals!B$2</f>
        <v>0.0000795252933</v>
      </c>
      <c r="X446" s="14">
        <f t="shared" si="9"/>
        <v>0.32863683</v>
      </c>
      <c r="Y446" s="14">
        <f>T446/totals!B$5</f>
        <v>0.00002511253833</v>
      </c>
      <c r="Z446" s="14">
        <f t="shared" si="10"/>
        <v>0.3268713495</v>
      </c>
      <c r="AA446" s="14">
        <f>V446/totals!B$4</f>
        <v>-0.0004689735155</v>
      </c>
      <c r="AB446" s="14">
        <f t="shared" si="11"/>
        <v>0.3428967683</v>
      </c>
    </row>
    <row r="447">
      <c r="A447" s="7">
        <v>1270.0</v>
      </c>
      <c r="B447" s="7" t="str">
        <f>VLOOKUP($A447,product_category,2, False)</f>
        <v>Beverages</v>
      </c>
      <c r="C447" s="7">
        <v>3.97874438E8</v>
      </c>
      <c r="D447" s="9">
        <v>41941.0</v>
      </c>
      <c r="E447" s="10">
        <f t="shared" si="1"/>
        <v>10</v>
      </c>
      <c r="F447" s="10" t="str">
        <f t="shared" si="2"/>
        <v>Oct</v>
      </c>
      <c r="G447" s="11">
        <f t="shared" si="3"/>
        <v>29</v>
      </c>
      <c r="H447" s="7">
        <f t="shared" si="4"/>
        <v>2014</v>
      </c>
      <c r="I447" s="9">
        <v>41974.0</v>
      </c>
      <c r="J447" s="11">
        <f t="shared" si="5"/>
        <v>33</v>
      </c>
      <c r="K447" s="7" t="s">
        <v>110</v>
      </c>
      <c r="L447" s="7" t="s">
        <v>439</v>
      </c>
      <c r="M447" s="7" t="str">
        <f>VLOOKUP(L447,countries, 2,false)</f>
        <v>Slovakia</v>
      </c>
      <c r="N447" s="7" t="str">
        <f>VLOOKUP(L447,countries, 4,false)</f>
        <v>Europe</v>
      </c>
      <c r="O447" s="7" t="str">
        <f>VLOOKUP(L447,countries, 5,false)</f>
        <v>Eastern Europe</v>
      </c>
      <c r="P447" s="7" t="s">
        <v>129</v>
      </c>
      <c r="Q447" s="7">
        <v>8743.0</v>
      </c>
      <c r="R447" s="12">
        <v>47.45</v>
      </c>
      <c r="S447" s="12">
        <v>31.79</v>
      </c>
      <c r="T447" s="13">
        <f t="shared" si="6"/>
        <v>414855.35</v>
      </c>
      <c r="U447" s="13">
        <f t="shared" si="7"/>
        <v>1065882.12</v>
      </c>
      <c r="V447" s="13">
        <f t="shared" si="8"/>
        <v>-651026.77</v>
      </c>
      <c r="W447" s="14">
        <f>Q447/totals!B$2</f>
        <v>0.001329425697</v>
      </c>
      <c r="X447" s="14">
        <f t="shared" si="9"/>
        <v>0.3299662557</v>
      </c>
      <c r="Y447" s="14">
        <f>T447/totals!B$5</f>
        <v>0.0002437272677</v>
      </c>
      <c r="Z447" s="14">
        <f t="shared" si="10"/>
        <v>0.3271150768</v>
      </c>
      <c r="AA447" s="14">
        <f>V447/totals!B$4</f>
        <v>-0.001298131675</v>
      </c>
      <c r="AB447" s="14">
        <f t="shared" si="11"/>
        <v>0.3415986366</v>
      </c>
    </row>
    <row r="448">
      <c r="A448" s="7">
        <v>7331.0</v>
      </c>
      <c r="B448" s="7" t="str">
        <f>VLOOKUP($A448,product_category,2, False)</f>
        <v>Baby Food</v>
      </c>
      <c r="C448" s="7">
        <v>3.98104035E8</v>
      </c>
      <c r="D448" s="9">
        <v>41085.0</v>
      </c>
      <c r="E448" s="10">
        <f t="shared" si="1"/>
        <v>6</v>
      </c>
      <c r="F448" s="10" t="str">
        <f t="shared" si="2"/>
        <v>Jun</v>
      </c>
      <c r="G448" s="11">
        <f t="shared" si="3"/>
        <v>25</v>
      </c>
      <c r="H448" s="7">
        <f t="shared" si="4"/>
        <v>2012</v>
      </c>
      <c r="I448" s="9">
        <v>41133.0</v>
      </c>
      <c r="J448" s="11">
        <f t="shared" si="5"/>
        <v>48</v>
      </c>
      <c r="K448" s="7" t="s">
        <v>322</v>
      </c>
      <c r="L448" s="7" t="s">
        <v>478</v>
      </c>
      <c r="M448" s="7" t="str">
        <f>VLOOKUP(L448,countries, 2,false)</f>
        <v>Malta</v>
      </c>
      <c r="N448" s="7" t="str">
        <f>VLOOKUP(L448,countries, 4,false)</f>
        <v>Europe</v>
      </c>
      <c r="O448" s="7" t="str">
        <f>VLOOKUP(L448,countries, 5,false)</f>
        <v>Southern Europe</v>
      </c>
      <c r="P448" s="7" t="s">
        <v>212</v>
      </c>
      <c r="Q448" s="7">
        <v>6686.0</v>
      </c>
      <c r="R448" s="12">
        <v>255.28</v>
      </c>
      <c r="S448" s="12">
        <v>159.42</v>
      </c>
      <c r="T448" s="13">
        <f t="shared" si="6"/>
        <v>1706802.08</v>
      </c>
      <c r="U448" s="13">
        <f t="shared" si="7"/>
        <v>542102.19</v>
      </c>
      <c r="V448" s="13">
        <f t="shared" si="8"/>
        <v>1164699.89</v>
      </c>
      <c r="W448" s="14">
        <f>Q448/totals!B$2</f>
        <v>0.001016646484</v>
      </c>
      <c r="X448" s="14">
        <f t="shared" si="9"/>
        <v>0.3309829022</v>
      </c>
      <c r="Y448" s="14">
        <f>T448/totals!B$5</f>
        <v>0.001002745192</v>
      </c>
      <c r="Z448" s="14">
        <f t="shared" si="10"/>
        <v>0.328117822</v>
      </c>
      <c r="AA448" s="14">
        <f>V448/totals!B$4</f>
        <v>0.002322383486</v>
      </c>
      <c r="AB448" s="14">
        <f t="shared" si="11"/>
        <v>0.3439210201</v>
      </c>
    </row>
    <row r="449">
      <c r="A449" s="7">
        <v>2103.0</v>
      </c>
      <c r="B449" s="7" t="str">
        <f>VLOOKUP($A449,product_category,2, False)</f>
        <v>Cereal</v>
      </c>
      <c r="C449" s="7">
        <v>3.98333632E8</v>
      </c>
      <c r="D449" s="9">
        <v>40228.0</v>
      </c>
      <c r="E449" s="10">
        <f t="shared" si="1"/>
        <v>2</v>
      </c>
      <c r="F449" s="10" t="str">
        <f t="shared" si="2"/>
        <v>Feb</v>
      </c>
      <c r="G449" s="11">
        <f t="shared" si="3"/>
        <v>19</v>
      </c>
      <c r="H449" s="7">
        <f t="shared" si="4"/>
        <v>2010</v>
      </c>
      <c r="I449" s="9">
        <v>40239.0</v>
      </c>
      <c r="J449" s="11">
        <f t="shared" si="5"/>
        <v>11</v>
      </c>
      <c r="K449" s="7" t="s">
        <v>198</v>
      </c>
      <c r="L449" s="7" t="s">
        <v>307</v>
      </c>
      <c r="M449" s="7" t="str">
        <f>VLOOKUP(L449,countries, 2,false)</f>
        <v>Germany</v>
      </c>
      <c r="N449" s="7" t="str">
        <f>VLOOKUP(L449,countries, 4,false)</f>
        <v>Europe</v>
      </c>
      <c r="O449" s="7" t="str">
        <f>VLOOKUP(L449,countries, 5,false)</f>
        <v>Western Europe</v>
      </c>
      <c r="P449" s="7" t="s">
        <v>212</v>
      </c>
      <c r="Q449" s="7">
        <v>4629.0</v>
      </c>
      <c r="R449" s="12">
        <v>205.7</v>
      </c>
      <c r="S449" s="12">
        <v>117.11</v>
      </c>
      <c r="T449" s="13">
        <f t="shared" si="6"/>
        <v>952185.3</v>
      </c>
      <c r="U449" s="13">
        <f t="shared" si="7"/>
        <v>1088519.76</v>
      </c>
      <c r="V449" s="13">
        <f t="shared" si="8"/>
        <v>-136334.46</v>
      </c>
      <c r="W449" s="14">
        <f>Q449/totals!B$2</f>
        <v>0.0007038672709</v>
      </c>
      <c r="X449" s="14">
        <f t="shared" si="9"/>
        <v>0.3316867695</v>
      </c>
      <c r="Y449" s="14">
        <f>T449/totals!B$5</f>
        <v>0.0005594082891</v>
      </c>
      <c r="Z449" s="14">
        <f t="shared" si="10"/>
        <v>0.3286772303</v>
      </c>
      <c r="AA449" s="14">
        <f>V449/totals!B$4</f>
        <v>-0.0002718476246</v>
      </c>
      <c r="AB449" s="14">
        <f t="shared" si="11"/>
        <v>0.3436491725</v>
      </c>
    </row>
    <row r="450">
      <c r="A450" s="7">
        <v>7331.0</v>
      </c>
      <c r="B450" s="7" t="str">
        <f>VLOOKUP($A450,product_category,2, False)</f>
        <v>Baby Food</v>
      </c>
      <c r="C450" s="7">
        <v>3.98645198E8</v>
      </c>
      <c r="D450" s="9">
        <v>41776.0</v>
      </c>
      <c r="E450" s="10">
        <f t="shared" si="1"/>
        <v>5</v>
      </c>
      <c r="F450" s="10" t="str">
        <f t="shared" si="2"/>
        <v>May</v>
      </c>
      <c r="G450" s="11">
        <f t="shared" si="3"/>
        <v>17</v>
      </c>
      <c r="H450" s="7">
        <f t="shared" si="4"/>
        <v>2014</v>
      </c>
      <c r="I450" s="9">
        <v>41785.0</v>
      </c>
      <c r="J450" s="11">
        <f t="shared" si="5"/>
        <v>9</v>
      </c>
      <c r="K450" s="7" t="s">
        <v>382</v>
      </c>
      <c r="L450" s="7" t="s">
        <v>364</v>
      </c>
      <c r="M450" s="7" t="str">
        <f>VLOOKUP(L450,countries, 2,false)</f>
        <v>Hungary</v>
      </c>
      <c r="N450" s="7" t="str">
        <f>VLOOKUP(L450,countries, 4,false)</f>
        <v>Europe</v>
      </c>
      <c r="O450" s="7" t="str">
        <f>VLOOKUP(L450,countries, 5,false)</f>
        <v>Eastern Europe</v>
      </c>
      <c r="P450" s="7" t="s">
        <v>212</v>
      </c>
      <c r="Q450" s="7">
        <v>6828.0</v>
      </c>
      <c r="R450" s="12">
        <v>255.28</v>
      </c>
      <c r="S450" s="12">
        <v>159.42</v>
      </c>
      <c r="T450" s="13">
        <f t="shared" si="6"/>
        <v>1743051.84</v>
      </c>
      <c r="U450" s="13">
        <f t="shared" si="7"/>
        <v>558492.06</v>
      </c>
      <c r="V450" s="13">
        <f t="shared" si="8"/>
        <v>1184559.78</v>
      </c>
      <c r="W450" s="14">
        <f>Q450/totals!B$2</f>
        <v>0.001038238437</v>
      </c>
      <c r="X450" s="14">
        <f t="shared" si="9"/>
        <v>0.3327250079</v>
      </c>
      <c r="Y450" s="14">
        <f>T450/totals!B$5</f>
        <v>0.001024041904</v>
      </c>
      <c r="Z450" s="14">
        <f t="shared" si="10"/>
        <v>0.3297012722</v>
      </c>
      <c r="AA450" s="14">
        <f>V450/totals!B$4</f>
        <v>0.002361983627</v>
      </c>
      <c r="AB450" s="14">
        <f t="shared" si="11"/>
        <v>0.3460111561</v>
      </c>
    </row>
    <row r="451">
      <c r="A451" s="7">
        <v>5988.0</v>
      </c>
      <c r="B451" s="7" t="str">
        <f>VLOOKUP($A451,product_category,2, False)</f>
        <v>Vegetables</v>
      </c>
      <c r="C451" s="7">
        <v>3.99115979E8</v>
      </c>
      <c r="D451" s="9">
        <v>42156.0</v>
      </c>
      <c r="E451" s="10">
        <f t="shared" si="1"/>
        <v>6</v>
      </c>
      <c r="F451" s="10" t="str">
        <f t="shared" si="2"/>
        <v>Jun</v>
      </c>
      <c r="G451" s="11">
        <f t="shared" si="3"/>
        <v>1</v>
      </c>
      <c r="H451" s="7">
        <f t="shared" si="4"/>
        <v>2015</v>
      </c>
      <c r="I451" s="9">
        <v>42179.0</v>
      </c>
      <c r="J451" s="11">
        <f t="shared" si="5"/>
        <v>23</v>
      </c>
      <c r="K451" s="7" t="s">
        <v>382</v>
      </c>
      <c r="L451" s="7" t="s">
        <v>540</v>
      </c>
      <c r="M451" s="7" t="str">
        <f>VLOOKUP(L451,countries, 2,false)</f>
        <v>Spain</v>
      </c>
      <c r="N451" s="7" t="str">
        <f>VLOOKUP(L451,countries, 4,false)</f>
        <v>Europe</v>
      </c>
      <c r="O451" s="7" t="str">
        <f>VLOOKUP(L451,countries, 5,false)</f>
        <v>Southern Europe</v>
      </c>
      <c r="P451" s="7" t="s">
        <v>129</v>
      </c>
      <c r="Q451" s="7">
        <v>6142.0</v>
      </c>
      <c r="R451" s="12">
        <v>154.06</v>
      </c>
      <c r="S451" s="12">
        <v>90.93</v>
      </c>
      <c r="T451" s="13">
        <f t="shared" si="6"/>
        <v>946236.52</v>
      </c>
      <c r="U451" s="13">
        <f t="shared" si="7"/>
        <v>53076.4</v>
      </c>
      <c r="V451" s="13">
        <f t="shared" si="8"/>
        <v>893160.12</v>
      </c>
      <c r="W451" s="14">
        <f>Q451/totals!B$2</f>
        <v>0.0009339280143</v>
      </c>
      <c r="X451" s="14">
        <f t="shared" si="9"/>
        <v>0.3336589359</v>
      </c>
      <c r="Y451" s="14">
        <f>T451/totals!B$5</f>
        <v>0.0005559133844</v>
      </c>
      <c r="Z451" s="14">
        <f t="shared" si="10"/>
        <v>0.3302571856</v>
      </c>
      <c r="AA451" s="14">
        <f>V451/totals!B$4</f>
        <v>0.001780939734</v>
      </c>
      <c r="AB451" s="14">
        <f t="shared" si="11"/>
        <v>0.3477920958</v>
      </c>
    </row>
    <row r="452">
      <c r="A452" s="7">
        <v>4594.0</v>
      </c>
      <c r="B452" s="7" t="str">
        <f>VLOOKUP($A452,product_category,2, False)</f>
        <v>Fruits</v>
      </c>
      <c r="C452" s="7">
        <v>3.99256312E8</v>
      </c>
      <c r="D452" s="9">
        <v>41984.0</v>
      </c>
      <c r="E452" s="10">
        <f t="shared" si="1"/>
        <v>12</v>
      </c>
      <c r="F452" s="10" t="str">
        <f t="shared" si="2"/>
        <v>Dec</v>
      </c>
      <c r="G452" s="11">
        <f t="shared" si="3"/>
        <v>11</v>
      </c>
      <c r="H452" s="7">
        <f t="shared" si="4"/>
        <v>2014</v>
      </c>
      <c r="I452" s="9">
        <v>42009.0</v>
      </c>
      <c r="J452" s="11">
        <f t="shared" si="5"/>
        <v>25</v>
      </c>
      <c r="K452" s="7" t="s">
        <v>322</v>
      </c>
      <c r="L452" s="7" t="s">
        <v>670</v>
      </c>
      <c r="M452" s="7" t="str">
        <f>VLOOKUP(L452,countries, 2,false)</f>
        <v>Slovenia</v>
      </c>
      <c r="N452" s="7" t="str">
        <f>VLOOKUP(L452,countries, 4,false)</f>
        <v>Europe</v>
      </c>
      <c r="O452" s="7" t="str">
        <f>VLOOKUP(L452,countries, 5,false)</f>
        <v>Southern Europe</v>
      </c>
      <c r="P452" s="7" t="s">
        <v>129</v>
      </c>
      <c r="Q452" s="7">
        <v>7670.0</v>
      </c>
      <c r="R452" s="12">
        <v>9.33</v>
      </c>
      <c r="S452" s="12">
        <v>6.92</v>
      </c>
      <c r="T452" s="13">
        <f t="shared" si="6"/>
        <v>71561.1</v>
      </c>
      <c r="U452" s="13">
        <f t="shared" si="7"/>
        <v>669705.12</v>
      </c>
      <c r="V452" s="13">
        <f t="shared" si="8"/>
        <v>-598144.02</v>
      </c>
      <c r="W452" s="14">
        <f>Q452/totals!B$2</f>
        <v>0.001166269598</v>
      </c>
      <c r="X452" s="14">
        <f t="shared" si="9"/>
        <v>0.3348252055</v>
      </c>
      <c r="Y452" s="14">
        <f>T452/totals!B$5</f>
        <v>0.00004204210306</v>
      </c>
      <c r="Z452" s="14">
        <f t="shared" si="10"/>
        <v>0.3302992277</v>
      </c>
      <c r="AA452" s="14">
        <f>V452/totals!B$4</f>
        <v>-0.001192684747</v>
      </c>
      <c r="AB452" s="14">
        <f t="shared" si="11"/>
        <v>0.3465994111</v>
      </c>
    </row>
    <row r="453">
      <c r="A453" s="7">
        <v>8969.0</v>
      </c>
      <c r="B453" s="7" t="str">
        <f>VLOOKUP($A453,product_category,2, False)</f>
        <v>Snacks</v>
      </c>
      <c r="C453" s="7">
        <v>4.00267398E8</v>
      </c>
      <c r="D453" s="9">
        <v>41466.0</v>
      </c>
      <c r="E453" s="10">
        <f t="shared" si="1"/>
        <v>7</v>
      </c>
      <c r="F453" s="10" t="str">
        <f t="shared" si="2"/>
        <v>Jul</v>
      </c>
      <c r="G453" s="11">
        <f t="shared" si="3"/>
        <v>11</v>
      </c>
      <c r="H453" s="7">
        <f t="shared" si="4"/>
        <v>2013</v>
      </c>
      <c r="I453" s="9">
        <v>41475.0</v>
      </c>
      <c r="J453" s="11">
        <f t="shared" si="5"/>
        <v>9</v>
      </c>
      <c r="K453" s="7" t="s">
        <v>110</v>
      </c>
      <c r="L453" s="7" t="s">
        <v>88</v>
      </c>
      <c r="M453" s="7" t="str">
        <f>VLOOKUP(L453,countries, 2,false)</f>
        <v>Austria</v>
      </c>
      <c r="N453" s="7" t="str">
        <f>VLOOKUP(L453,countries, 4,false)</f>
        <v>Europe</v>
      </c>
      <c r="O453" s="7" t="str">
        <f>VLOOKUP(L453,countries, 5,false)</f>
        <v>Western Europe</v>
      </c>
      <c r="P453" s="7" t="s">
        <v>212</v>
      </c>
      <c r="Q453" s="7">
        <v>6873.0</v>
      </c>
      <c r="R453" s="12">
        <v>152.58</v>
      </c>
      <c r="S453" s="12">
        <v>97.44</v>
      </c>
      <c r="T453" s="13">
        <f t="shared" si="6"/>
        <v>1048682.34</v>
      </c>
      <c r="U453" s="13">
        <f t="shared" si="7"/>
        <v>639654.82</v>
      </c>
      <c r="V453" s="13">
        <f t="shared" si="8"/>
        <v>409027.52</v>
      </c>
      <c r="W453" s="14">
        <f>Q453/totals!B$2</f>
        <v>0.001045080958</v>
      </c>
      <c r="X453" s="14">
        <f t="shared" si="9"/>
        <v>0.3358702865</v>
      </c>
      <c r="Y453" s="14">
        <f>T453/totals!B$5</f>
        <v>0.0006161002418</v>
      </c>
      <c r="Z453" s="14">
        <f t="shared" si="10"/>
        <v>0.3309153279</v>
      </c>
      <c r="AA453" s="14">
        <f>V453/totals!B$4</f>
        <v>0.0008155910083</v>
      </c>
      <c r="AB453" s="14">
        <f t="shared" si="11"/>
        <v>0.3474150021</v>
      </c>
    </row>
    <row r="454">
      <c r="A454" s="7">
        <v>2103.0</v>
      </c>
      <c r="B454" s="7" t="str">
        <f>VLOOKUP($A454,product_category,2, False)</f>
        <v>Cereal</v>
      </c>
      <c r="C454" s="7">
        <v>4.00904691E8</v>
      </c>
      <c r="D454" s="9">
        <v>40357.0</v>
      </c>
      <c r="E454" s="10">
        <f t="shared" si="1"/>
        <v>6</v>
      </c>
      <c r="F454" s="10" t="str">
        <f t="shared" si="2"/>
        <v>Jun</v>
      </c>
      <c r="G454" s="11">
        <f t="shared" si="3"/>
        <v>28</v>
      </c>
      <c r="H454" s="7">
        <f t="shared" si="4"/>
        <v>2010</v>
      </c>
      <c r="I454" s="9">
        <v>40371.0</v>
      </c>
      <c r="J454" s="11">
        <f t="shared" si="5"/>
        <v>14</v>
      </c>
      <c r="K454" s="7" t="s">
        <v>110</v>
      </c>
      <c r="L454" s="7" t="s">
        <v>432</v>
      </c>
      <c r="M454" s="7" t="str">
        <f>VLOOKUP(L454,countries, 2,false)</f>
        <v>Latvia</v>
      </c>
      <c r="N454" s="7" t="str">
        <f>VLOOKUP(L454,countries, 4,false)</f>
        <v>Europe</v>
      </c>
      <c r="O454" s="7" t="str">
        <f>VLOOKUP(L454,countries, 5,false)</f>
        <v>Northern Europe</v>
      </c>
      <c r="P454" s="7" t="s">
        <v>212</v>
      </c>
      <c r="Q454" s="7">
        <v>5462.0</v>
      </c>
      <c r="R454" s="12">
        <v>205.7</v>
      </c>
      <c r="S454" s="12">
        <v>117.11</v>
      </c>
      <c r="T454" s="13">
        <f t="shared" si="6"/>
        <v>1123533.4</v>
      </c>
      <c r="U454" s="13">
        <f t="shared" si="7"/>
        <v>910881.58</v>
      </c>
      <c r="V454" s="13">
        <f t="shared" si="8"/>
        <v>212651.82</v>
      </c>
      <c r="W454" s="14">
        <f>Q454/totals!B$2</f>
        <v>0.0008305299274</v>
      </c>
      <c r="X454" s="14">
        <f t="shared" si="9"/>
        <v>0.3367008164</v>
      </c>
      <c r="Y454" s="14">
        <f>T454/totals!B$5</f>
        <v>0.0006600751944</v>
      </c>
      <c r="Z454" s="14">
        <f t="shared" si="10"/>
        <v>0.3315754031</v>
      </c>
      <c r="AA454" s="14">
        <f>V454/totals!B$4</f>
        <v>0.0004240225995</v>
      </c>
      <c r="AB454" s="14">
        <f t="shared" si="11"/>
        <v>0.3478390247</v>
      </c>
    </row>
    <row r="455">
      <c r="A455" s="7">
        <v>2103.0</v>
      </c>
      <c r="B455" s="7" t="str">
        <f>VLOOKUP($A455,product_category,2, False)</f>
        <v>Cereal</v>
      </c>
      <c r="C455" s="7">
        <v>4.01993882E8</v>
      </c>
      <c r="D455" s="9">
        <v>40623.0</v>
      </c>
      <c r="E455" s="10">
        <f t="shared" si="1"/>
        <v>3</v>
      </c>
      <c r="F455" s="10" t="str">
        <f t="shared" si="2"/>
        <v>Mar</v>
      </c>
      <c r="G455" s="11">
        <f t="shared" si="3"/>
        <v>21</v>
      </c>
      <c r="H455" s="7">
        <f t="shared" si="4"/>
        <v>2011</v>
      </c>
      <c r="I455" s="9">
        <v>40644.0</v>
      </c>
      <c r="J455" s="11">
        <f t="shared" si="5"/>
        <v>21</v>
      </c>
      <c r="K455" s="7" t="s">
        <v>110</v>
      </c>
      <c r="L455" s="7" t="s">
        <v>756</v>
      </c>
      <c r="M455" s="7" t="str">
        <f>VLOOKUP(L455,countries, 2,false)</f>
        <v>Ukraine</v>
      </c>
      <c r="N455" s="7" t="str">
        <f>VLOOKUP(L455,countries, 4,false)</f>
        <v>Europe</v>
      </c>
      <c r="O455" s="7" t="str">
        <f>VLOOKUP(L455,countries, 5,false)</f>
        <v>Eastern Europe</v>
      </c>
      <c r="P455" s="7" t="s">
        <v>212</v>
      </c>
      <c r="Q455" s="7">
        <v>7778.0</v>
      </c>
      <c r="R455" s="12">
        <v>205.7</v>
      </c>
      <c r="S455" s="12">
        <v>117.11</v>
      </c>
      <c r="T455" s="13">
        <f t="shared" si="6"/>
        <v>1599934.6</v>
      </c>
      <c r="U455" s="13">
        <f t="shared" si="7"/>
        <v>502751.97</v>
      </c>
      <c r="V455" s="13">
        <f t="shared" si="8"/>
        <v>1097182.63</v>
      </c>
      <c r="W455" s="14">
        <f>Q455/totals!B$2</f>
        <v>0.001182691647</v>
      </c>
      <c r="X455" s="14">
        <f t="shared" si="9"/>
        <v>0.3378835081</v>
      </c>
      <c r="Y455" s="14">
        <f>T455/totals!B$5</f>
        <v>0.0009399606119</v>
      </c>
      <c r="Z455" s="14">
        <f t="shared" si="10"/>
        <v>0.3325153637</v>
      </c>
      <c r="AA455" s="14">
        <f>V455/totals!B$4</f>
        <v>0.002187755698</v>
      </c>
      <c r="AB455" s="14">
        <f t="shared" si="11"/>
        <v>0.3500267804</v>
      </c>
    </row>
    <row r="456">
      <c r="A456" s="7">
        <v>5988.0</v>
      </c>
      <c r="B456" s="7" t="str">
        <f>VLOOKUP($A456,product_category,2, False)</f>
        <v>Vegetables</v>
      </c>
      <c r="C456" s="7">
        <v>4.03337991E8</v>
      </c>
      <c r="D456" s="9">
        <v>42658.0</v>
      </c>
      <c r="E456" s="10">
        <f t="shared" si="1"/>
        <v>10</v>
      </c>
      <c r="F456" s="10" t="str">
        <f t="shared" si="2"/>
        <v>Oct</v>
      </c>
      <c r="G456" s="11">
        <f t="shared" si="3"/>
        <v>15</v>
      </c>
      <c r="H456" s="7">
        <f t="shared" si="4"/>
        <v>2016</v>
      </c>
      <c r="I456" s="9">
        <v>42698.0</v>
      </c>
      <c r="J456" s="11">
        <f t="shared" si="5"/>
        <v>40</v>
      </c>
      <c r="K456" s="7" t="s">
        <v>322</v>
      </c>
      <c r="L456" s="7" t="s">
        <v>56</v>
      </c>
      <c r="M456" s="7" t="str">
        <f>VLOOKUP(L456,countries, 2,false)</f>
        <v>Andorra</v>
      </c>
      <c r="N456" s="7" t="str">
        <f>VLOOKUP(L456,countries, 4,false)</f>
        <v>Europe</v>
      </c>
      <c r="O456" s="7" t="str">
        <f>VLOOKUP(L456,countries, 5,false)</f>
        <v>Southern Europe</v>
      </c>
      <c r="P456" s="7" t="s">
        <v>212</v>
      </c>
      <c r="Q456" s="7">
        <v>5529.0</v>
      </c>
      <c r="R456" s="12">
        <v>154.06</v>
      </c>
      <c r="S456" s="12">
        <v>90.93</v>
      </c>
      <c r="T456" s="13">
        <f t="shared" si="6"/>
        <v>851797.74</v>
      </c>
      <c r="U456" s="13">
        <f t="shared" si="7"/>
        <v>224112</v>
      </c>
      <c r="V456" s="13">
        <f t="shared" si="8"/>
        <v>627685.74</v>
      </c>
      <c r="W456" s="14">
        <f>Q456/totals!B$2</f>
        <v>0.00084071768</v>
      </c>
      <c r="X456" s="14">
        <f t="shared" si="9"/>
        <v>0.3387242257</v>
      </c>
      <c r="Y456" s="14">
        <f>T456/totals!B$5</f>
        <v>0.0005004306581</v>
      </c>
      <c r="Z456" s="14">
        <f t="shared" si="10"/>
        <v>0.3330157944</v>
      </c>
      <c r="AA456" s="14">
        <f>V456/totals!B$4</f>
        <v>0.001251590224</v>
      </c>
      <c r="AB456" s="14">
        <f t="shared" si="11"/>
        <v>0.3512783706</v>
      </c>
    </row>
    <row r="457">
      <c r="A457" s="7">
        <v>8969.0</v>
      </c>
      <c r="B457" s="7" t="str">
        <f>VLOOKUP($A457,product_category,2, False)</f>
        <v>Snacks</v>
      </c>
      <c r="C457" s="7">
        <v>4.03665006E8</v>
      </c>
      <c r="D457" s="9">
        <v>42385.0</v>
      </c>
      <c r="E457" s="10">
        <f t="shared" si="1"/>
        <v>1</v>
      </c>
      <c r="F457" s="10" t="str">
        <f t="shared" si="2"/>
        <v>Jan</v>
      </c>
      <c r="G457" s="11">
        <f t="shared" si="3"/>
        <v>16</v>
      </c>
      <c r="H457" s="7">
        <f t="shared" si="4"/>
        <v>2016</v>
      </c>
      <c r="I457" s="9">
        <v>42419.0</v>
      </c>
      <c r="J457" s="11">
        <f t="shared" si="5"/>
        <v>34</v>
      </c>
      <c r="K457" s="7" t="s">
        <v>198</v>
      </c>
      <c r="L457" s="7" t="s">
        <v>107</v>
      </c>
      <c r="M457" s="7" t="str">
        <f>VLOOKUP(L457,countries, 2,false)</f>
        <v>Belarus</v>
      </c>
      <c r="N457" s="7" t="str">
        <f>VLOOKUP(L457,countries, 4,false)</f>
        <v>Europe</v>
      </c>
      <c r="O457" s="7" t="str">
        <f>VLOOKUP(L457,countries, 5,false)</f>
        <v>Eastern Europe</v>
      </c>
      <c r="P457" s="7" t="s">
        <v>212</v>
      </c>
      <c r="Q457" s="7">
        <v>2300.0</v>
      </c>
      <c r="R457" s="12">
        <v>152.58</v>
      </c>
      <c r="S457" s="12">
        <v>97.44</v>
      </c>
      <c r="T457" s="13">
        <f t="shared" si="6"/>
        <v>350934</v>
      </c>
      <c r="U457" s="13">
        <f t="shared" si="7"/>
        <v>822128.94</v>
      </c>
      <c r="V457" s="13">
        <f t="shared" si="8"/>
        <v>-471194.94</v>
      </c>
      <c r="W457" s="14">
        <f>Q457/totals!B$2</f>
        <v>0.0003497288233</v>
      </c>
      <c r="X457" s="14">
        <f t="shared" si="9"/>
        <v>0.3390739546</v>
      </c>
      <c r="Y457" s="14">
        <f>T457/totals!B$5</f>
        <v>0.0002061735132</v>
      </c>
      <c r="Z457" s="14">
        <f t="shared" si="10"/>
        <v>0.3332219679</v>
      </c>
      <c r="AA457" s="14">
        <f>V457/totals!B$4</f>
        <v>-0.0009395513441</v>
      </c>
      <c r="AB457" s="14">
        <f t="shared" si="11"/>
        <v>0.3503388193</v>
      </c>
    </row>
    <row r="458">
      <c r="A458" s="7">
        <v>7331.0</v>
      </c>
      <c r="B458" s="7" t="str">
        <f>VLOOKUP($A458,product_category,2, False)</f>
        <v>Baby Food</v>
      </c>
      <c r="C458" s="7">
        <v>4.04789817E8</v>
      </c>
      <c r="D458" s="9">
        <v>42219.0</v>
      </c>
      <c r="E458" s="10">
        <f t="shared" si="1"/>
        <v>8</v>
      </c>
      <c r="F458" s="10" t="str">
        <f t="shared" si="2"/>
        <v>Aug</v>
      </c>
      <c r="G458" s="11">
        <f t="shared" si="3"/>
        <v>3</v>
      </c>
      <c r="H458" s="7">
        <f t="shared" si="4"/>
        <v>2015</v>
      </c>
      <c r="I458" s="9">
        <v>42255.0</v>
      </c>
      <c r="J458" s="11">
        <f t="shared" si="5"/>
        <v>36</v>
      </c>
      <c r="K458" s="7" t="s">
        <v>322</v>
      </c>
      <c r="L458" s="7" t="s">
        <v>597</v>
      </c>
      <c r="M458" s="7" t="str">
        <f>VLOOKUP(L458,countries, 2,false)</f>
        <v>Portugal</v>
      </c>
      <c r="N458" s="7" t="str">
        <f>VLOOKUP(L458,countries, 4,false)</f>
        <v>Europe</v>
      </c>
      <c r="O458" s="7" t="str">
        <f>VLOOKUP(L458,countries, 5,false)</f>
        <v>Southern Europe</v>
      </c>
      <c r="P458" s="7" t="s">
        <v>129</v>
      </c>
      <c r="Q458" s="7">
        <v>5157.0</v>
      </c>
      <c r="R458" s="12">
        <v>255.28</v>
      </c>
      <c r="S458" s="12">
        <v>159.42</v>
      </c>
      <c r="T458" s="13">
        <f t="shared" si="6"/>
        <v>1316478.96</v>
      </c>
      <c r="U458" s="13">
        <f t="shared" si="7"/>
        <v>1470171.24</v>
      </c>
      <c r="V458" s="13">
        <f t="shared" si="8"/>
        <v>-153692.28</v>
      </c>
      <c r="W458" s="14">
        <f>Q458/totals!B$2</f>
        <v>0.0007841528443</v>
      </c>
      <c r="X458" s="14">
        <f t="shared" si="9"/>
        <v>0.3398581074</v>
      </c>
      <c r="Y458" s="14">
        <f>T458/totals!B$5</f>
        <v>0.0007734305944</v>
      </c>
      <c r="Z458" s="14">
        <f t="shared" si="10"/>
        <v>0.3339953985</v>
      </c>
      <c r="AA458" s="14">
        <f>V458/totals!B$4</f>
        <v>-0.0003064586989</v>
      </c>
      <c r="AB458" s="14">
        <f t="shared" si="11"/>
        <v>0.3500323606</v>
      </c>
    </row>
    <row r="459">
      <c r="A459" s="7">
        <v>7331.0</v>
      </c>
      <c r="B459" s="7" t="str">
        <f>VLOOKUP($A459,product_category,2, False)</f>
        <v>Baby Food</v>
      </c>
      <c r="C459" s="7">
        <v>4.05986297E8</v>
      </c>
      <c r="D459" s="9">
        <v>41982.0</v>
      </c>
      <c r="E459" s="10">
        <f t="shared" si="1"/>
        <v>12</v>
      </c>
      <c r="F459" s="10" t="str">
        <f t="shared" si="2"/>
        <v>Dec</v>
      </c>
      <c r="G459" s="11">
        <f t="shared" si="3"/>
        <v>9</v>
      </c>
      <c r="H459" s="7">
        <f t="shared" si="4"/>
        <v>2014</v>
      </c>
      <c r="I459" s="9">
        <v>42006.0</v>
      </c>
      <c r="J459" s="11">
        <f t="shared" si="5"/>
        <v>24</v>
      </c>
      <c r="K459" s="7" t="s">
        <v>322</v>
      </c>
      <c r="L459" s="7" t="s">
        <v>307</v>
      </c>
      <c r="M459" s="7" t="str">
        <f>VLOOKUP(L459,countries, 2,false)</f>
        <v>Germany</v>
      </c>
      <c r="N459" s="7" t="str">
        <f>VLOOKUP(L459,countries, 4,false)</f>
        <v>Europe</v>
      </c>
      <c r="O459" s="7" t="str">
        <f>VLOOKUP(L459,countries, 5,false)</f>
        <v>Western Europe</v>
      </c>
      <c r="P459" s="7" t="s">
        <v>129</v>
      </c>
      <c r="Q459" s="7">
        <v>9222.0</v>
      </c>
      <c r="R459" s="12">
        <v>255.28</v>
      </c>
      <c r="S459" s="12">
        <v>159.42</v>
      </c>
      <c r="T459" s="13">
        <f t="shared" si="6"/>
        <v>2354192.16</v>
      </c>
      <c r="U459" s="13">
        <f t="shared" si="7"/>
        <v>320869.92</v>
      </c>
      <c r="V459" s="13">
        <f t="shared" si="8"/>
        <v>2033322.24</v>
      </c>
      <c r="W459" s="14">
        <f>Q459/totals!B$2</f>
        <v>0.001402260525</v>
      </c>
      <c r="X459" s="14">
        <f t="shared" si="9"/>
        <v>0.3412603679</v>
      </c>
      <c r="Y459" s="14">
        <f>T459/totals!B$5</f>
        <v>0.001383086473</v>
      </c>
      <c r="Z459" s="14">
        <f t="shared" si="10"/>
        <v>0.335378485</v>
      </c>
      <c r="AA459" s="14">
        <f>V459/totals!B$4</f>
        <v>0.004054395498</v>
      </c>
      <c r="AB459" s="14">
        <f t="shared" si="11"/>
        <v>0.3540867561</v>
      </c>
    </row>
    <row r="460">
      <c r="A460" s="7">
        <v>8969.0</v>
      </c>
      <c r="B460" s="7" t="str">
        <f>VLOOKUP($A460,product_category,2, False)</f>
        <v>Snacks</v>
      </c>
      <c r="C460" s="7">
        <v>4.06270396E8</v>
      </c>
      <c r="D460" s="9">
        <v>42463.0</v>
      </c>
      <c r="E460" s="10">
        <f t="shared" si="1"/>
        <v>4</v>
      </c>
      <c r="F460" s="10" t="str">
        <f t="shared" si="2"/>
        <v>Apr</v>
      </c>
      <c r="G460" s="11">
        <f t="shared" si="3"/>
        <v>3</v>
      </c>
      <c r="H460" s="7">
        <f t="shared" si="4"/>
        <v>2016</v>
      </c>
      <c r="I460" s="9">
        <v>42509.0</v>
      </c>
      <c r="J460" s="11">
        <f t="shared" si="5"/>
        <v>46</v>
      </c>
      <c r="K460" s="7" t="s">
        <v>322</v>
      </c>
      <c r="L460" s="7" t="s">
        <v>609</v>
      </c>
      <c r="M460" s="7" t="str">
        <f>VLOOKUP(L460,countries, 2,false)</f>
        <v>Romania</v>
      </c>
      <c r="N460" s="7" t="str">
        <f>VLOOKUP(L460,countries, 4,false)</f>
        <v>Europe</v>
      </c>
      <c r="O460" s="7" t="str">
        <f>VLOOKUP(L460,countries, 5,false)</f>
        <v>Eastern Europe</v>
      </c>
      <c r="P460" s="7" t="s">
        <v>129</v>
      </c>
      <c r="Q460" s="7">
        <v>3293.0</v>
      </c>
      <c r="R460" s="12">
        <v>152.58</v>
      </c>
      <c r="S460" s="12">
        <v>97.44</v>
      </c>
      <c r="T460" s="13">
        <f t="shared" si="6"/>
        <v>502445.94</v>
      </c>
      <c r="U460" s="13">
        <f t="shared" si="7"/>
        <v>26005.98</v>
      </c>
      <c r="V460" s="13">
        <f t="shared" si="8"/>
        <v>476439.96</v>
      </c>
      <c r="W460" s="14">
        <f>Q460/totals!B$2</f>
        <v>0.0005007204414</v>
      </c>
      <c r="X460" s="14">
        <f t="shared" si="9"/>
        <v>0.3417610884</v>
      </c>
      <c r="Y460" s="14">
        <f>T460/totals!B$5</f>
        <v>0.0002951866865</v>
      </c>
      <c r="Z460" s="14">
        <f t="shared" si="10"/>
        <v>0.3356736716</v>
      </c>
      <c r="AA460" s="14">
        <f>V460/totals!B$4</f>
        <v>0.0009500097875</v>
      </c>
      <c r="AB460" s="14">
        <f t="shared" si="11"/>
        <v>0.3550367658</v>
      </c>
    </row>
    <row r="461">
      <c r="A461" s="7">
        <v>5988.0</v>
      </c>
      <c r="B461" s="7" t="str">
        <f>VLOOKUP($A461,product_category,2, False)</f>
        <v>Vegetables</v>
      </c>
      <c r="C461" s="7">
        <v>4.06564366E8</v>
      </c>
      <c r="D461" s="9">
        <v>41858.0</v>
      </c>
      <c r="E461" s="10">
        <f t="shared" si="1"/>
        <v>8</v>
      </c>
      <c r="F461" s="10" t="str">
        <f t="shared" si="2"/>
        <v>Aug</v>
      </c>
      <c r="G461" s="11">
        <f t="shared" si="3"/>
        <v>7</v>
      </c>
      <c r="H461" s="7">
        <f t="shared" si="4"/>
        <v>2014</v>
      </c>
      <c r="I461" s="9">
        <v>41876.0</v>
      </c>
      <c r="J461" s="11">
        <f t="shared" si="5"/>
        <v>18</v>
      </c>
      <c r="K461" s="7" t="s">
        <v>110</v>
      </c>
      <c r="L461" s="7" t="s">
        <v>28</v>
      </c>
      <c r="M461" s="7" t="str">
        <f>VLOOKUP(L461,countries, 2,false)</f>
        <v>Albania</v>
      </c>
      <c r="N461" s="7" t="str">
        <f>VLOOKUP(L461,countries, 4,false)</f>
        <v>Europe</v>
      </c>
      <c r="O461" s="7" t="str">
        <f>VLOOKUP(L461,countries, 5,false)</f>
        <v>Southern Europe</v>
      </c>
      <c r="P461" s="7" t="s">
        <v>129</v>
      </c>
      <c r="Q461" s="7">
        <v>286.0</v>
      </c>
      <c r="R461" s="12">
        <v>154.06</v>
      </c>
      <c r="S461" s="12">
        <v>90.93</v>
      </c>
      <c r="T461" s="13">
        <f t="shared" si="6"/>
        <v>44061.16</v>
      </c>
      <c r="U461" s="13">
        <f t="shared" si="7"/>
        <v>522661.93</v>
      </c>
      <c r="V461" s="13">
        <f t="shared" si="8"/>
        <v>-478600.77</v>
      </c>
      <c r="W461" s="14">
        <f>Q461/totals!B$2</f>
        <v>0.0000434880189</v>
      </c>
      <c r="X461" s="14">
        <f t="shared" si="9"/>
        <v>0.3418045764</v>
      </c>
      <c r="Y461" s="14">
        <f>T461/totals!B$5</f>
        <v>0.00002588590491</v>
      </c>
      <c r="Z461" s="14">
        <f t="shared" si="10"/>
        <v>0.3356995575</v>
      </c>
      <c r="AA461" s="14">
        <f>V461/totals!B$4</f>
        <v>-0.0009543183905</v>
      </c>
      <c r="AB461" s="14">
        <f t="shared" si="11"/>
        <v>0.3540824475</v>
      </c>
    </row>
    <row r="462">
      <c r="A462" s="7">
        <v>2103.0</v>
      </c>
      <c r="B462" s="7" t="str">
        <f>VLOOKUP($A462,product_category,2, False)</f>
        <v>Cereal</v>
      </c>
      <c r="C462" s="7">
        <v>4.07220542E8</v>
      </c>
      <c r="D462" s="9">
        <v>42519.0</v>
      </c>
      <c r="E462" s="10">
        <f t="shared" si="1"/>
        <v>5</v>
      </c>
      <c r="F462" s="10" t="str">
        <f t="shared" si="2"/>
        <v>May</v>
      </c>
      <c r="G462" s="11">
        <f t="shared" si="3"/>
        <v>29</v>
      </c>
      <c r="H462" s="7">
        <f t="shared" si="4"/>
        <v>2016</v>
      </c>
      <c r="I462" s="9">
        <v>42555.0</v>
      </c>
      <c r="J462" s="11">
        <f t="shared" si="5"/>
        <v>36</v>
      </c>
      <c r="K462" s="7" t="s">
        <v>322</v>
      </c>
      <c r="L462" s="7" t="s">
        <v>702</v>
      </c>
      <c r="M462" s="7" t="str">
        <f>VLOOKUP(L462,countries, 2,false)</f>
        <v>Sweden</v>
      </c>
      <c r="N462" s="7" t="str">
        <f>VLOOKUP(L462,countries, 4,false)</f>
        <v>Europe</v>
      </c>
      <c r="O462" s="7" t="str">
        <f>VLOOKUP(L462,countries, 5,false)</f>
        <v>Northern Europe</v>
      </c>
      <c r="P462" s="7" t="s">
        <v>129</v>
      </c>
      <c r="Q462" s="7">
        <v>4463.0</v>
      </c>
      <c r="R462" s="12">
        <v>205.7</v>
      </c>
      <c r="S462" s="12">
        <v>117.11</v>
      </c>
      <c r="T462" s="13">
        <f t="shared" si="6"/>
        <v>918039.1</v>
      </c>
      <c r="U462" s="13">
        <f t="shared" si="7"/>
        <v>463924.86</v>
      </c>
      <c r="V462" s="13">
        <f t="shared" si="8"/>
        <v>454114.24</v>
      </c>
      <c r="W462" s="14">
        <f>Q462/totals!B$2</f>
        <v>0.0006786259732</v>
      </c>
      <c r="X462" s="14">
        <f t="shared" si="9"/>
        <v>0.3424832024</v>
      </c>
      <c r="Y462" s="14">
        <f>T462/totals!B$5</f>
        <v>0.0005393474172</v>
      </c>
      <c r="Z462" s="14">
        <f t="shared" si="10"/>
        <v>0.336238905</v>
      </c>
      <c r="AA462" s="14">
        <f>V462/totals!B$4</f>
        <v>0.0009054928403</v>
      </c>
      <c r="AB462" s="14">
        <f t="shared" si="11"/>
        <v>0.3549879403</v>
      </c>
    </row>
    <row r="463">
      <c r="A463" s="7">
        <v>5988.0</v>
      </c>
      <c r="B463" s="7" t="str">
        <f>VLOOKUP($A463,product_category,2, False)</f>
        <v>Vegetables</v>
      </c>
      <c r="C463" s="7">
        <v>4.08540618E8</v>
      </c>
      <c r="D463" s="9">
        <v>41547.0</v>
      </c>
      <c r="E463" s="10">
        <f t="shared" si="1"/>
        <v>9</v>
      </c>
      <c r="F463" s="10" t="str">
        <f t="shared" si="2"/>
        <v>Sep</v>
      </c>
      <c r="G463" s="11">
        <f t="shared" si="3"/>
        <v>30</v>
      </c>
      <c r="H463" s="7">
        <f t="shared" si="4"/>
        <v>2013</v>
      </c>
      <c r="I463" s="9">
        <v>41591.0</v>
      </c>
      <c r="J463" s="11">
        <f t="shared" si="5"/>
        <v>44</v>
      </c>
      <c r="K463" s="7" t="s">
        <v>110</v>
      </c>
      <c r="L463" s="7" t="s">
        <v>642</v>
      </c>
      <c r="M463" s="7" t="str">
        <f>VLOOKUP(L463,countries, 2,false)</f>
        <v>San Marino</v>
      </c>
      <c r="N463" s="7" t="str">
        <f>VLOOKUP(L463,countries, 4,false)</f>
        <v>Europe</v>
      </c>
      <c r="O463" s="7" t="str">
        <f>VLOOKUP(L463,countries, 5,false)</f>
        <v>Southern Europe</v>
      </c>
      <c r="P463" s="7" t="s">
        <v>212</v>
      </c>
      <c r="Q463" s="7">
        <v>5102.0</v>
      </c>
      <c r="R463" s="12">
        <v>154.06</v>
      </c>
      <c r="S463" s="12">
        <v>90.93</v>
      </c>
      <c r="T463" s="13">
        <f t="shared" si="6"/>
        <v>786014.12</v>
      </c>
      <c r="U463" s="13">
        <f t="shared" si="7"/>
        <v>399000.84</v>
      </c>
      <c r="V463" s="13">
        <f t="shared" si="8"/>
        <v>387013.28</v>
      </c>
      <c r="W463" s="14">
        <f>Q463/totals!B$2</f>
        <v>0.0007757897637</v>
      </c>
      <c r="X463" s="14">
        <f t="shared" si="9"/>
        <v>0.3432589921</v>
      </c>
      <c r="Y463" s="14">
        <f>T463/totals!B$5</f>
        <v>0.0004617828211</v>
      </c>
      <c r="Z463" s="14">
        <f t="shared" si="10"/>
        <v>0.3367006878</v>
      </c>
      <c r="AA463" s="14">
        <f>V463/totals!B$4</f>
        <v>0.0007716951447</v>
      </c>
      <c r="AB463" s="14">
        <f t="shared" si="11"/>
        <v>0.3557596354</v>
      </c>
    </row>
    <row r="464">
      <c r="A464" s="7">
        <v>5988.0</v>
      </c>
      <c r="B464" s="7" t="str">
        <f>VLOOKUP($A464,product_category,2, False)</f>
        <v>Vegetables</v>
      </c>
      <c r="C464" s="7">
        <v>4.09112679E8</v>
      </c>
      <c r="D464" s="9">
        <v>41363.0</v>
      </c>
      <c r="E464" s="10">
        <f t="shared" si="1"/>
        <v>3</v>
      </c>
      <c r="F464" s="10" t="str">
        <f t="shared" si="2"/>
        <v>Mar</v>
      </c>
      <c r="G464" s="11">
        <f t="shared" si="3"/>
        <v>30</v>
      </c>
      <c r="H464" s="7">
        <f t="shared" si="4"/>
        <v>2013</v>
      </c>
      <c r="I464" s="9">
        <v>41412.0</v>
      </c>
      <c r="J464" s="11">
        <f t="shared" si="5"/>
        <v>49</v>
      </c>
      <c r="K464" s="7" t="s">
        <v>382</v>
      </c>
      <c r="L464" s="7" t="s">
        <v>323</v>
      </c>
      <c r="M464" s="7" t="str">
        <f>VLOOKUP(L464,countries, 2,false)</f>
        <v>Montenegro</v>
      </c>
      <c r="N464" s="7" t="str">
        <f>VLOOKUP(L464,countries, 4,false)</f>
        <v>Europe</v>
      </c>
      <c r="O464" s="7" t="str">
        <f>VLOOKUP(L464,countries, 5,false)</f>
        <v>Southern Europe</v>
      </c>
      <c r="P464" s="7" t="s">
        <v>129</v>
      </c>
      <c r="Q464" s="7">
        <v>4388.0</v>
      </c>
      <c r="R464" s="12">
        <v>154.06</v>
      </c>
      <c r="S464" s="12">
        <v>90.93</v>
      </c>
      <c r="T464" s="13">
        <f t="shared" si="6"/>
        <v>676015.28</v>
      </c>
      <c r="U464" s="13">
        <f t="shared" si="7"/>
        <v>191714.61</v>
      </c>
      <c r="V464" s="13">
        <f t="shared" si="8"/>
        <v>484300.67</v>
      </c>
      <c r="W464" s="14">
        <f>Q464/totals!B$2</f>
        <v>0.0006672217725</v>
      </c>
      <c r="X464" s="14">
        <f t="shared" si="9"/>
        <v>0.3439262139</v>
      </c>
      <c r="Y464" s="14">
        <f>T464/totals!B$5</f>
        <v>0.000397158569</v>
      </c>
      <c r="Z464" s="14">
        <f t="shared" si="10"/>
        <v>0.3370978464</v>
      </c>
      <c r="AA464" s="14">
        <f>V464/totals!B$4</f>
        <v>0.0009656838536</v>
      </c>
      <c r="AB464" s="14">
        <f t="shared" si="11"/>
        <v>0.3567253193</v>
      </c>
    </row>
    <row r="465">
      <c r="A465" s="7">
        <v>3127.0</v>
      </c>
      <c r="B465" s="7" t="str">
        <f>VLOOKUP($A465,product_category,2, False)</f>
        <v>Personal Care</v>
      </c>
      <c r="C465" s="7">
        <v>4.09514796E8</v>
      </c>
      <c r="D465" s="9">
        <v>41844.0</v>
      </c>
      <c r="E465" s="10">
        <f t="shared" si="1"/>
        <v>7</v>
      </c>
      <c r="F465" s="10" t="str">
        <f t="shared" si="2"/>
        <v>Jul</v>
      </c>
      <c r="G465" s="11">
        <f t="shared" si="3"/>
        <v>24</v>
      </c>
      <c r="H465" s="7">
        <f t="shared" si="4"/>
        <v>2014</v>
      </c>
      <c r="I465" s="9">
        <v>41889.0</v>
      </c>
      <c r="J465" s="11">
        <f t="shared" si="5"/>
        <v>45</v>
      </c>
      <c r="K465" s="7" t="s">
        <v>322</v>
      </c>
      <c r="L465" s="7" t="s">
        <v>136</v>
      </c>
      <c r="M465" s="7" t="str">
        <f>VLOOKUP(L465,countries, 2,false)</f>
        <v>Bosnia and Herzegovina</v>
      </c>
      <c r="N465" s="7" t="str">
        <f>VLOOKUP(L465,countries, 4,false)</f>
        <v>Europe</v>
      </c>
      <c r="O465" s="7" t="str">
        <f>VLOOKUP(L465,countries, 5,false)</f>
        <v>Southern Europe</v>
      </c>
      <c r="P465" s="7" t="s">
        <v>129</v>
      </c>
      <c r="Q465" s="7">
        <v>3383.0</v>
      </c>
      <c r="R465" s="12">
        <v>81.73</v>
      </c>
      <c r="S465" s="12">
        <v>56.67</v>
      </c>
      <c r="T465" s="13">
        <f t="shared" si="6"/>
        <v>276492.59</v>
      </c>
      <c r="U465" s="13">
        <f t="shared" si="7"/>
        <v>2536606.72</v>
      </c>
      <c r="V465" s="13">
        <f t="shared" si="8"/>
        <v>-2260114.13</v>
      </c>
      <c r="W465" s="14">
        <f>Q465/totals!B$2</f>
        <v>0.0005144054823</v>
      </c>
      <c r="X465" s="14">
        <f t="shared" si="9"/>
        <v>0.3444406194</v>
      </c>
      <c r="Y465" s="14">
        <f>T465/totals!B$5</f>
        <v>0.0001624392297</v>
      </c>
      <c r="Z465" s="14">
        <f t="shared" si="10"/>
        <v>0.3372602856</v>
      </c>
      <c r="AA465" s="14">
        <f>V465/totals!B$4</f>
        <v>-0.004506613056</v>
      </c>
      <c r="AB465" s="14">
        <f t="shared" si="11"/>
        <v>0.3522187062</v>
      </c>
    </row>
    <row r="466">
      <c r="A466" s="7">
        <v>8681.0</v>
      </c>
      <c r="B466" s="7" t="str">
        <f>VLOOKUP($A466,product_category,2, False)</f>
        <v>Office Supplies</v>
      </c>
      <c r="C466" s="7">
        <v>4.10229337E8</v>
      </c>
      <c r="D466" s="9">
        <v>42695.0</v>
      </c>
      <c r="E466" s="10">
        <f t="shared" si="1"/>
        <v>11</v>
      </c>
      <c r="F466" s="10" t="str">
        <f t="shared" si="2"/>
        <v>Nov</v>
      </c>
      <c r="G466" s="11">
        <f t="shared" si="3"/>
        <v>21</v>
      </c>
      <c r="H466" s="7">
        <f t="shared" si="4"/>
        <v>2016</v>
      </c>
      <c r="I466" s="9">
        <v>42726.0</v>
      </c>
      <c r="J466" s="11">
        <f t="shared" si="5"/>
        <v>31</v>
      </c>
      <c r="K466" s="7" t="s">
        <v>110</v>
      </c>
      <c r="L466" s="7" t="s">
        <v>597</v>
      </c>
      <c r="M466" s="7" t="str">
        <f>VLOOKUP(L466,countries, 2,false)</f>
        <v>Portugal</v>
      </c>
      <c r="N466" s="7" t="str">
        <f>VLOOKUP(L466,countries, 4,false)</f>
        <v>Europe</v>
      </c>
      <c r="O466" s="7" t="str">
        <f>VLOOKUP(L466,countries, 5,false)</f>
        <v>Southern Europe</v>
      </c>
      <c r="P466" s="7" t="s">
        <v>129</v>
      </c>
      <c r="Q466" s="7">
        <v>4832.0</v>
      </c>
      <c r="R466" s="12">
        <v>651.21</v>
      </c>
      <c r="S466" s="12">
        <v>524.96</v>
      </c>
      <c r="T466" s="13">
        <f t="shared" si="6"/>
        <v>3146646.72</v>
      </c>
      <c r="U466" s="13">
        <f t="shared" si="7"/>
        <v>176753.73</v>
      </c>
      <c r="V466" s="13">
        <f t="shared" si="8"/>
        <v>2969892.99</v>
      </c>
      <c r="W466" s="14">
        <f>Q466/totals!B$2</f>
        <v>0.000734734641</v>
      </c>
      <c r="X466" s="14">
        <f t="shared" si="9"/>
        <v>0.345175354</v>
      </c>
      <c r="Y466" s="14">
        <f>T466/totals!B$5</f>
        <v>0.001848653049</v>
      </c>
      <c r="Z466" s="14">
        <f t="shared" si="10"/>
        <v>0.3391089386</v>
      </c>
      <c r="AA466" s="14">
        <f>V466/totals!B$4</f>
        <v>0.005921894982</v>
      </c>
      <c r="AB466" s="14">
        <f t="shared" si="11"/>
        <v>0.3581406012</v>
      </c>
    </row>
    <row r="467">
      <c r="A467" s="7">
        <v>3127.0</v>
      </c>
      <c r="B467" s="7" t="str">
        <f>VLOOKUP($A467,product_category,2, False)</f>
        <v>Personal Care</v>
      </c>
      <c r="C467" s="7">
        <v>4.10291135E8</v>
      </c>
      <c r="D467" s="9">
        <v>40945.0</v>
      </c>
      <c r="E467" s="10">
        <f t="shared" si="1"/>
        <v>2</v>
      </c>
      <c r="F467" s="10" t="str">
        <f t="shared" si="2"/>
        <v>Feb</v>
      </c>
      <c r="G467" s="11">
        <f t="shared" si="3"/>
        <v>6</v>
      </c>
      <c r="H467" s="7">
        <f t="shared" si="4"/>
        <v>2012</v>
      </c>
      <c r="I467" s="9">
        <v>40961.0</v>
      </c>
      <c r="J467" s="11">
        <f t="shared" si="5"/>
        <v>16</v>
      </c>
      <c r="K467" s="7" t="s">
        <v>322</v>
      </c>
      <c r="L467" s="7" t="s">
        <v>670</v>
      </c>
      <c r="M467" s="7" t="str">
        <f>VLOOKUP(L467,countries, 2,false)</f>
        <v>Slovenia</v>
      </c>
      <c r="N467" s="7" t="str">
        <f>VLOOKUP(L467,countries, 4,false)</f>
        <v>Europe</v>
      </c>
      <c r="O467" s="7" t="str">
        <f>VLOOKUP(L467,countries, 5,false)</f>
        <v>Southern Europe</v>
      </c>
      <c r="P467" s="7" t="s">
        <v>212</v>
      </c>
      <c r="Q467" s="7">
        <v>3119.0</v>
      </c>
      <c r="R467" s="12">
        <v>81.73</v>
      </c>
      <c r="S467" s="12">
        <v>56.67</v>
      </c>
      <c r="T467" s="13">
        <f t="shared" si="6"/>
        <v>254915.87</v>
      </c>
      <c r="U467" s="13">
        <f t="shared" si="7"/>
        <v>4873728.64</v>
      </c>
      <c r="V467" s="13">
        <f t="shared" si="8"/>
        <v>-4618812.77</v>
      </c>
      <c r="W467" s="14">
        <f>Q467/totals!B$2</f>
        <v>0.0004742626956</v>
      </c>
      <c r="X467" s="14">
        <f t="shared" si="9"/>
        <v>0.3456496167</v>
      </c>
      <c r="Y467" s="14">
        <f>T467/totals!B$5</f>
        <v>0.0001497629198</v>
      </c>
      <c r="Z467" s="14">
        <f t="shared" si="10"/>
        <v>0.3392587016</v>
      </c>
      <c r="AA467" s="14">
        <f>V467/totals!B$4</f>
        <v>-0.009209801248</v>
      </c>
      <c r="AB467" s="14">
        <f t="shared" si="11"/>
        <v>0.3489308</v>
      </c>
    </row>
    <row r="468">
      <c r="A468" s="7">
        <v>8681.0</v>
      </c>
      <c r="B468" s="7" t="str">
        <f>VLOOKUP($A468,product_category,2, False)</f>
        <v>Office Supplies</v>
      </c>
      <c r="C468" s="7">
        <v>4.10514724E8</v>
      </c>
      <c r="D468" s="9">
        <v>42795.0</v>
      </c>
      <c r="E468" s="10">
        <f t="shared" si="1"/>
        <v>3</v>
      </c>
      <c r="F468" s="10" t="str">
        <f t="shared" si="2"/>
        <v>Mar</v>
      </c>
      <c r="G468" s="11">
        <f t="shared" si="3"/>
        <v>1</v>
      </c>
      <c r="H468" s="7">
        <f t="shared" si="4"/>
        <v>2017</v>
      </c>
      <c r="I468" s="9">
        <v>42835.0</v>
      </c>
      <c r="J468" s="11">
        <f t="shared" si="5"/>
        <v>40</v>
      </c>
      <c r="K468" s="7" t="s">
        <v>198</v>
      </c>
      <c r="L468" s="7" t="s">
        <v>200</v>
      </c>
      <c r="M468" s="7" t="str">
        <f>VLOOKUP(L468,countries, 2,false)</f>
        <v>Serbia</v>
      </c>
      <c r="N468" s="7" t="str">
        <f>VLOOKUP(L468,countries, 4,false)</f>
        <v>Europe</v>
      </c>
      <c r="O468" s="7" t="str">
        <f>VLOOKUP(L468,countries, 5,false)</f>
        <v>Southern Europe</v>
      </c>
      <c r="P468" s="7" t="s">
        <v>212</v>
      </c>
      <c r="Q468" s="7">
        <v>9284.0</v>
      </c>
      <c r="R468" s="12">
        <v>651.21</v>
      </c>
      <c r="S468" s="12">
        <v>524.96</v>
      </c>
      <c r="T468" s="13">
        <f t="shared" si="6"/>
        <v>6045833.64</v>
      </c>
      <c r="U468" s="13">
        <f t="shared" si="7"/>
        <v>2265089.59</v>
      </c>
      <c r="V468" s="13">
        <f t="shared" si="8"/>
        <v>3780744.05</v>
      </c>
      <c r="W468" s="14">
        <f>Q468/totals!B$2</f>
        <v>0.001411687998</v>
      </c>
      <c r="X468" s="14">
        <f t="shared" si="9"/>
        <v>0.3470613047</v>
      </c>
      <c r="Y468" s="14">
        <f>T468/totals!B$5</f>
        <v>0.003551923615</v>
      </c>
      <c r="Z468" s="14">
        <f t="shared" si="10"/>
        <v>0.3428106252</v>
      </c>
      <c r="AA468" s="14">
        <f>V468/totals!B$4</f>
        <v>0.007538712436</v>
      </c>
      <c r="AB468" s="14">
        <f t="shared" si="11"/>
        <v>0.3564695124</v>
      </c>
    </row>
    <row r="469">
      <c r="A469" s="7">
        <v>8875.0</v>
      </c>
      <c r="B469" s="7" t="str">
        <f>VLOOKUP($A469,product_category,2, False)</f>
        <v>Meat</v>
      </c>
      <c r="C469" s="7">
        <v>4.10740888E8</v>
      </c>
      <c r="D469" s="9">
        <v>41114.0</v>
      </c>
      <c r="E469" s="10">
        <f t="shared" si="1"/>
        <v>7</v>
      </c>
      <c r="F469" s="10" t="str">
        <f t="shared" si="2"/>
        <v>Jul</v>
      </c>
      <c r="G469" s="11">
        <f t="shared" si="3"/>
        <v>24</v>
      </c>
      <c r="H469" s="7">
        <f t="shared" si="4"/>
        <v>2012</v>
      </c>
      <c r="I469" s="9">
        <v>41153.0</v>
      </c>
      <c r="J469" s="11">
        <f t="shared" si="5"/>
        <v>39</v>
      </c>
      <c r="K469" s="7" t="s">
        <v>382</v>
      </c>
      <c r="L469" s="7" t="s">
        <v>136</v>
      </c>
      <c r="M469" s="7" t="str">
        <f>VLOOKUP(L469,countries, 2,false)</f>
        <v>Bosnia and Herzegovina</v>
      </c>
      <c r="N469" s="7" t="str">
        <f>VLOOKUP(L469,countries, 4,false)</f>
        <v>Europe</v>
      </c>
      <c r="O469" s="7" t="str">
        <f>VLOOKUP(L469,countries, 5,false)</f>
        <v>Southern Europe</v>
      </c>
      <c r="P469" s="7" t="s">
        <v>129</v>
      </c>
      <c r="Q469" s="7">
        <v>6211.0</v>
      </c>
      <c r="R469" s="12">
        <v>421.89</v>
      </c>
      <c r="S469" s="12">
        <v>364.69</v>
      </c>
      <c r="T469" s="13">
        <f t="shared" si="6"/>
        <v>2620358.79</v>
      </c>
      <c r="U469" s="13">
        <f t="shared" si="7"/>
        <v>300855.59</v>
      </c>
      <c r="V469" s="13">
        <f t="shared" si="8"/>
        <v>2319503.2</v>
      </c>
      <c r="W469" s="14">
        <f>Q469/totals!B$2</f>
        <v>0.000944419879</v>
      </c>
      <c r="X469" s="14">
        <f t="shared" si="9"/>
        <v>0.3480057246</v>
      </c>
      <c r="Y469" s="14">
        <f>T469/totals!B$5</f>
        <v>0.001539459208</v>
      </c>
      <c r="Z469" s="14">
        <f t="shared" si="10"/>
        <v>0.3443500844</v>
      </c>
      <c r="AA469" s="14">
        <f>V469/totals!B$4</f>
        <v>0.004625033429</v>
      </c>
      <c r="AB469" s="14">
        <f t="shared" si="11"/>
        <v>0.3610945458</v>
      </c>
    </row>
    <row r="470">
      <c r="A470" s="7">
        <v>2103.0</v>
      </c>
      <c r="B470" s="7" t="str">
        <f>VLOOKUP($A470,product_category,2, False)</f>
        <v>Cereal</v>
      </c>
      <c r="C470" s="7">
        <v>4.12215459E8</v>
      </c>
      <c r="D470" s="9">
        <v>41298.0</v>
      </c>
      <c r="E470" s="10">
        <f t="shared" si="1"/>
        <v>1</v>
      </c>
      <c r="F470" s="10" t="str">
        <f t="shared" si="2"/>
        <v>Jan</v>
      </c>
      <c r="G470" s="11">
        <f t="shared" si="3"/>
        <v>24</v>
      </c>
      <c r="H470" s="7">
        <f t="shared" si="4"/>
        <v>2013</v>
      </c>
      <c r="I470" s="9">
        <v>41305.0</v>
      </c>
      <c r="J470" s="11">
        <f t="shared" si="5"/>
        <v>7</v>
      </c>
      <c r="K470" s="7" t="s">
        <v>382</v>
      </c>
      <c r="L470" s="7" t="s">
        <v>316</v>
      </c>
      <c r="M470" s="7" t="str">
        <f>VLOOKUP(L470,countries, 2,false)</f>
        <v>Greece</v>
      </c>
      <c r="N470" s="7" t="str">
        <f>VLOOKUP(L470,countries, 4,false)</f>
        <v>Europe</v>
      </c>
      <c r="O470" s="7" t="str">
        <f>VLOOKUP(L470,countries, 5,false)</f>
        <v>Southern Europe</v>
      </c>
      <c r="P470" s="7" t="s">
        <v>129</v>
      </c>
      <c r="Q470" s="7">
        <v>2569.0</v>
      </c>
      <c r="R470" s="12">
        <v>205.7</v>
      </c>
      <c r="S470" s="12">
        <v>117.11</v>
      </c>
      <c r="T470" s="13">
        <f t="shared" si="6"/>
        <v>528443.3</v>
      </c>
      <c r="U470" s="13">
        <f t="shared" si="7"/>
        <v>319477.68</v>
      </c>
      <c r="V470" s="13">
        <f t="shared" si="8"/>
        <v>208965.62</v>
      </c>
      <c r="W470" s="14">
        <f>Q470/totals!B$2</f>
        <v>0.00039063189</v>
      </c>
      <c r="X470" s="14">
        <f t="shared" si="9"/>
        <v>0.3483963565</v>
      </c>
      <c r="Y470" s="14">
        <f>T470/totals!B$5</f>
        <v>0.0003104601198</v>
      </c>
      <c r="Z470" s="14">
        <f t="shared" si="10"/>
        <v>0.3446605445</v>
      </c>
      <c r="AA470" s="14">
        <f>V470/totals!B$4</f>
        <v>0.0004166724056</v>
      </c>
      <c r="AB470" s="14">
        <f t="shared" si="11"/>
        <v>0.3615112182</v>
      </c>
    </row>
    <row r="471">
      <c r="A471" s="7">
        <v>7331.0</v>
      </c>
      <c r="B471" s="7" t="str">
        <f>VLOOKUP($A471,product_category,2, False)</f>
        <v>Baby Food</v>
      </c>
      <c r="C471" s="7">
        <v>4.12416303E8</v>
      </c>
      <c r="D471" s="9">
        <v>42524.0</v>
      </c>
      <c r="E471" s="10">
        <f t="shared" si="1"/>
        <v>6</v>
      </c>
      <c r="F471" s="10" t="str">
        <f t="shared" si="2"/>
        <v>Jun</v>
      </c>
      <c r="G471" s="11">
        <f t="shared" si="3"/>
        <v>3</v>
      </c>
      <c r="H471" s="7">
        <f t="shared" si="4"/>
        <v>2016</v>
      </c>
      <c r="I471" s="9">
        <v>42532.0</v>
      </c>
      <c r="J471" s="11">
        <f t="shared" si="5"/>
        <v>8</v>
      </c>
      <c r="K471" s="7" t="s">
        <v>110</v>
      </c>
      <c r="L471" s="7" t="s">
        <v>642</v>
      </c>
      <c r="M471" s="7" t="str">
        <f>VLOOKUP(L471,countries, 2,false)</f>
        <v>San Marino</v>
      </c>
      <c r="N471" s="7" t="str">
        <f>VLOOKUP(L471,countries, 4,false)</f>
        <v>Europe</v>
      </c>
      <c r="O471" s="7" t="str">
        <f>VLOOKUP(L471,countries, 5,false)</f>
        <v>Southern Europe</v>
      </c>
      <c r="P471" s="7" t="s">
        <v>212</v>
      </c>
      <c r="Q471" s="7">
        <v>2004.0</v>
      </c>
      <c r="R471" s="12">
        <v>255.28</v>
      </c>
      <c r="S471" s="12">
        <v>159.42</v>
      </c>
      <c r="T471" s="13">
        <f t="shared" si="6"/>
        <v>511581.12</v>
      </c>
      <c r="U471" s="13">
        <f t="shared" si="7"/>
        <v>735259.98</v>
      </c>
      <c r="V471" s="13">
        <f t="shared" si="8"/>
        <v>-223678.86</v>
      </c>
      <c r="W471" s="14">
        <f>Q471/totals!B$2</f>
        <v>0.0003047202443</v>
      </c>
      <c r="X471" s="14">
        <f t="shared" si="9"/>
        <v>0.3487010767</v>
      </c>
      <c r="Y471" s="14">
        <f>T471/totals!B$5</f>
        <v>0.0003005535992</v>
      </c>
      <c r="Z471" s="14">
        <f t="shared" si="10"/>
        <v>0.3449610981</v>
      </c>
      <c r="AA471" s="14">
        <f>V471/totals!B$4</f>
        <v>-0.0004460102512</v>
      </c>
      <c r="AB471" s="14">
        <f t="shared" si="11"/>
        <v>0.361065208</v>
      </c>
    </row>
    <row r="472">
      <c r="A472" s="7">
        <v>5988.0</v>
      </c>
      <c r="B472" s="7" t="str">
        <f>VLOOKUP($A472,product_category,2, False)</f>
        <v>Vegetables</v>
      </c>
      <c r="C472" s="7">
        <v>4.13078916E8</v>
      </c>
      <c r="D472" s="9">
        <v>41274.0</v>
      </c>
      <c r="E472" s="10">
        <f t="shared" si="1"/>
        <v>12</v>
      </c>
      <c r="F472" s="10" t="str">
        <f t="shared" si="2"/>
        <v>Dec</v>
      </c>
      <c r="G472" s="11">
        <f t="shared" si="3"/>
        <v>31</v>
      </c>
      <c r="H472" s="7">
        <f t="shared" si="4"/>
        <v>2012</v>
      </c>
      <c r="I472" s="9">
        <v>41285.0</v>
      </c>
      <c r="J472" s="11">
        <f t="shared" si="5"/>
        <v>11</v>
      </c>
      <c r="K472" s="7" t="s">
        <v>322</v>
      </c>
      <c r="L472" s="7" t="s">
        <v>107</v>
      </c>
      <c r="M472" s="7" t="str">
        <f>VLOOKUP(L472,countries, 2,false)</f>
        <v>Belarus</v>
      </c>
      <c r="N472" s="7" t="str">
        <f>VLOOKUP(L472,countries, 4,false)</f>
        <v>Europe</v>
      </c>
      <c r="O472" s="7" t="str">
        <f>VLOOKUP(L472,countries, 5,false)</f>
        <v>Eastern Europe</v>
      </c>
      <c r="P472" s="7" t="s">
        <v>129</v>
      </c>
      <c r="Q472" s="7">
        <v>8086.0</v>
      </c>
      <c r="R472" s="12">
        <v>154.06</v>
      </c>
      <c r="S472" s="12">
        <v>90.93</v>
      </c>
      <c r="T472" s="13">
        <f t="shared" si="6"/>
        <v>1245729.16</v>
      </c>
      <c r="U472" s="13">
        <f t="shared" si="7"/>
        <v>50931.2</v>
      </c>
      <c r="V472" s="13">
        <f t="shared" si="8"/>
        <v>1194797.96</v>
      </c>
      <c r="W472" s="14">
        <f>Q472/totals!B$2</f>
        <v>0.001229524898</v>
      </c>
      <c r="X472" s="14">
        <f t="shared" si="9"/>
        <v>0.3499306016</v>
      </c>
      <c r="Y472" s="14">
        <f>T472/totals!B$5</f>
        <v>0.0007318651296</v>
      </c>
      <c r="Z472" s="14">
        <f t="shared" si="10"/>
        <v>0.3456929632</v>
      </c>
      <c r="AA472" s="14">
        <f>V472/totals!B$4</f>
        <v>0.002382398311</v>
      </c>
      <c r="AB472" s="14">
        <f t="shared" si="11"/>
        <v>0.3634476063</v>
      </c>
    </row>
    <row r="473">
      <c r="A473" s="7">
        <v>4594.0</v>
      </c>
      <c r="B473" s="7" t="str">
        <f>VLOOKUP($A473,product_category,2, False)</f>
        <v>Fruits</v>
      </c>
      <c r="C473" s="7">
        <v>4.13245427E8</v>
      </c>
      <c r="D473" s="9">
        <v>42550.0</v>
      </c>
      <c r="E473" s="10">
        <f t="shared" si="1"/>
        <v>6</v>
      </c>
      <c r="F473" s="10" t="str">
        <f t="shared" si="2"/>
        <v>Jun</v>
      </c>
      <c r="G473" s="11">
        <f t="shared" si="3"/>
        <v>29</v>
      </c>
      <c r="H473" s="7">
        <f t="shared" si="4"/>
        <v>2016</v>
      </c>
      <c r="I473" s="9">
        <v>42553.0</v>
      </c>
      <c r="J473" s="11">
        <f t="shared" si="5"/>
        <v>3</v>
      </c>
      <c r="K473" s="7" t="s">
        <v>198</v>
      </c>
      <c r="L473" s="7" t="s">
        <v>56</v>
      </c>
      <c r="M473" s="7" t="str">
        <f>VLOOKUP(L473,countries, 2,false)</f>
        <v>Andorra</v>
      </c>
      <c r="N473" s="7" t="str">
        <f>VLOOKUP(L473,countries, 4,false)</f>
        <v>Europe</v>
      </c>
      <c r="O473" s="7" t="str">
        <f>VLOOKUP(L473,countries, 5,false)</f>
        <v>Southern Europe</v>
      </c>
      <c r="P473" s="7" t="s">
        <v>212</v>
      </c>
      <c r="Q473" s="7">
        <v>7360.0</v>
      </c>
      <c r="R473" s="12">
        <v>9.33</v>
      </c>
      <c r="S473" s="12">
        <v>6.92</v>
      </c>
      <c r="T473" s="13">
        <f t="shared" si="6"/>
        <v>68668.8</v>
      </c>
      <c r="U473" s="13">
        <f t="shared" si="7"/>
        <v>203297.05</v>
      </c>
      <c r="V473" s="13">
        <f t="shared" si="8"/>
        <v>-134628.25</v>
      </c>
      <c r="W473" s="14">
        <f>Q473/totals!B$2</f>
        <v>0.001119132235</v>
      </c>
      <c r="X473" s="14">
        <f t="shared" si="9"/>
        <v>0.3510497339</v>
      </c>
      <c r="Y473" s="14">
        <f>T473/totals!B$5</f>
        <v>0.00004034287855</v>
      </c>
      <c r="Z473" s="14">
        <f t="shared" si="10"/>
        <v>0.3457333061</v>
      </c>
      <c r="AA473" s="14">
        <f>V473/totals!B$4</f>
        <v>-0.000268445483</v>
      </c>
      <c r="AB473" s="14">
        <f t="shared" si="11"/>
        <v>0.3631791608</v>
      </c>
    </row>
    <row r="474">
      <c r="A474" s="7">
        <v>1270.0</v>
      </c>
      <c r="B474" s="7" t="str">
        <f>VLOOKUP($A474,product_category,2, False)</f>
        <v>Beverages</v>
      </c>
      <c r="C474" s="7">
        <v>4.13951814E8</v>
      </c>
      <c r="D474" s="9">
        <v>42134.0</v>
      </c>
      <c r="E474" s="10">
        <f t="shared" si="1"/>
        <v>5</v>
      </c>
      <c r="F474" s="10" t="str">
        <f t="shared" si="2"/>
        <v>May</v>
      </c>
      <c r="G474" s="11">
        <f t="shared" si="3"/>
        <v>10</v>
      </c>
      <c r="H474" s="7">
        <f t="shared" si="4"/>
        <v>2015</v>
      </c>
      <c r="I474" s="9">
        <v>42155.0</v>
      </c>
      <c r="J474" s="11">
        <f t="shared" si="5"/>
        <v>21</v>
      </c>
      <c r="K474" s="7" t="s">
        <v>198</v>
      </c>
      <c r="L474" s="7" t="s">
        <v>88</v>
      </c>
      <c r="M474" s="7" t="str">
        <f>VLOOKUP(L474,countries, 2,false)</f>
        <v>Austria</v>
      </c>
      <c r="N474" s="7" t="str">
        <f>VLOOKUP(L474,countries, 4,false)</f>
        <v>Europe</v>
      </c>
      <c r="O474" s="7" t="str">
        <f>VLOOKUP(L474,countries, 5,false)</f>
        <v>Western Europe</v>
      </c>
      <c r="P474" s="7" t="s">
        <v>212</v>
      </c>
      <c r="Q474" s="7">
        <v>6395.0</v>
      </c>
      <c r="R474" s="12">
        <v>47.45</v>
      </c>
      <c r="S474" s="12">
        <v>31.79</v>
      </c>
      <c r="T474" s="13">
        <f t="shared" si="6"/>
        <v>303442.75</v>
      </c>
      <c r="U474" s="13">
        <f t="shared" si="7"/>
        <v>1122635.64</v>
      </c>
      <c r="V474" s="13">
        <f t="shared" si="8"/>
        <v>-819192.89</v>
      </c>
      <c r="W474" s="14">
        <f>Q474/totals!B$2</f>
        <v>0.0009723981848</v>
      </c>
      <c r="X474" s="14">
        <f t="shared" si="9"/>
        <v>0.3520221321</v>
      </c>
      <c r="Y474" s="14">
        <f>T474/totals!B$5</f>
        <v>0.0001782724325</v>
      </c>
      <c r="Z474" s="14">
        <f t="shared" si="10"/>
        <v>0.3459115785</v>
      </c>
      <c r="AA474" s="14">
        <f>V474/totals!B$4</f>
        <v>-0.001633450862</v>
      </c>
      <c r="AB474" s="14">
        <f t="shared" si="11"/>
        <v>0.36154571</v>
      </c>
    </row>
    <row r="475">
      <c r="A475" s="7">
        <v>7331.0</v>
      </c>
      <c r="B475" s="7" t="str">
        <f>VLOOKUP($A475,product_category,2, False)</f>
        <v>Baby Food</v>
      </c>
      <c r="C475" s="7">
        <v>4.14359509E8</v>
      </c>
      <c r="D475" s="9">
        <v>41881.0</v>
      </c>
      <c r="E475" s="10">
        <f t="shared" si="1"/>
        <v>8</v>
      </c>
      <c r="F475" s="10" t="str">
        <f t="shared" si="2"/>
        <v>Aug</v>
      </c>
      <c r="G475" s="11">
        <f t="shared" si="3"/>
        <v>30</v>
      </c>
      <c r="H475" s="7">
        <f t="shared" si="4"/>
        <v>2014</v>
      </c>
      <c r="I475" s="9">
        <v>41893.0</v>
      </c>
      <c r="J475" s="11">
        <f t="shared" si="5"/>
        <v>12</v>
      </c>
      <c r="K475" s="7" t="s">
        <v>198</v>
      </c>
      <c r="L475" s="7" t="s">
        <v>609</v>
      </c>
      <c r="M475" s="7" t="str">
        <f>VLOOKUP(L475,countries, 2,false)</f>
        <v>Romania</v>
      </c>
      <c r="N475" s="7" t="str">
        <f>VLOOKUP(L475,countries, 4,false)</f>
        <v>Europe</v>
      </c>
      <c r="O475" s="7" t="str">
        <f>VLOOKUP(L475,countries, 5,false)</f>
        <v>Eastern Europe</v>
      </c>
      <c r="P475" s="7" t="s">
        <v>212</v>
      </c>
      <c r="Q475" s="7">
        <v>7042.0</v>
      </c>
      <c r="R475" s="12">
        <v>255.28</v>
      </c>
      <c r="S475" s="12">
        <v>159.42</v>
      </c>
      <c r="T475" s="13">
        <f t="shared" si="6"/>
        <v>1797681.76</v>
      </c>
      <c r="U475" s="13">
        <f t="shared" si="7"/>
        <v>213491.04</v>
      </c>
      <c r="V475" s="13">
        <f t="shared" si="8"/>
        <v>1584190.72</v>
      </c>
      <c r="W475" s="14">
        <f>Q475/totals!B$2</f>
        <v>0.001070778423</v>
      </c>
      <c r="X475" s="14">
        <f t="shared" si="9"/>
        <v>0.3530929105</v>
      </c>
      <c r="Y475" s="14">
        <f>T475/totals!B$5</f>
        <v>0.001056136949</v>
      </c>
      <c r="Z475" s="14">
        <f t="shared" si="10"/>
        <v>0.3469677155</v>
      </c>
      <c r="AA475" s="14">
        <f>V475/totals!B$4</f>
        <v>0.003158838082</v>
      </c>
      <c r="AB475" s="14">
        <f t="shared" si="11"/>
        <v>0.364704548</v>
      </c>
    </row>
    <row r="476">
      <c r="A476" s="7">
        <v>8969.0</v>
      </c>
      <c r="B476" s="7" t="str">
        <f>VLOOKUP($A476,product_category,2, False)</f>
        <v>Snacks</v>
      </c>
      <c r="C476" s="7">
        <v>4.14579665E8</v>
      </c>
      <c r="D476" s="9">
        <v>42906.0</v>
      </c>
      <c r="E476" s="10">
        <f t="shared" si="1"/>
        <v>6</v>
      </c>
      <c r="F476" s="10" t="str">
        <f t="shared" si="2"/>
        <v>Jun</v>
      </c>
      <c r="G476" s="11">
        <f t="shared" si="3"/>
        <v>20</v>
      </c>
      <c r="H476" s="7">
        <f t="shared" si="4"/>
        <v>2017</v>
      </c>
      <c r="I476" s="9">
        <v>42926.0</v>
      </c>
      <c r="J476" s="11">
        <f t="shared" si="5"/>
        <v>20</v>
      </c>
      <c r="K476" s="7" t="s">
        <v>382</v>
      </c>
      <c r="L476" s="7" t="s">
        <v>283</v>
      </c>
      <c r="M476" s="7" t="str">
        <f>VLOOKUP(L476,countries, 2,false)</f>
        <v>Finland</v>
      </c>
      <c r="N476" s="7" t="str">
        <f>VLOOKUP(L476,countries, 4,false)</f>
        <v>Europe</v>
      </c>
      <c r="O476" s="7" t="str">
        <f>VLOOKUP(L476,countries, 5,false)</f>
        <v>Northern Europe</v>
      </c>
      <c r="P476" s="7" t="s">
        <v>129</v>
      </c>
      <c r="Q476" s="7">
        <v>2191.0</v>
      </c>
      <c r="R476" s="12">
        <v>152.58</v>
      </c>
      <c r="S476" s="12">
        <v>97.44</v>
      </c>
      <c r="T476" s="13">
        <f t="shared" si="6"/>
        <v>334302.78</v>
      </c>
      <c r="U476" s="13">
        <f t="shared" si="7"/>
        <v>724245.06</v>
      </c>
      <c r="V476" s="13">
        <f t="shared" si="8"/>
        <v>-389942.28</v>
      </c>
      <c r="W476" s="14">
        <f>Q476/totals!B$2</f>
        <v>0.0003331547182</v>
      </c>
      <c r="X476" s="14">
        <f t="shared" si="9"/>
        <v>0.3534260652</v>
      </c>
      <c r="Y476" s="14">
        <f>T476/totals!B$5</f>
        <v>0.0001964026815</v>
      </c>
      <c r="Z476" s="14">
        <f t="shared" si="10"/>
        <v>0.3471641182</v>
      </c>
      <c r="AA476" s="14">
        <f>V476/totals!B$4</f>
        <v>-0.0007775355001</v>
      </c>
      <c r="AB476" s="14">
        <f t="shared" si="11"/>
        <v>0.3639270125</v>
      </c>
    </row>
    <row r="477">
      <c r="A477" s="7">
        <v>7331.0</v>
      </c>
      <c r="B477" s="7" t="str">
        <f>VLOOKUP($A477,product_category,2, False)</f>
        <v>Baby Food</v>
      </c>
      <c r="C477" s="7">
        <v>4.15837943E8</v>
      </c>
      <c r="D477" s="9">
        <v>40918.0</v>
      </c>
      <c r="E477" s="10">
        <f t="shared" si="1"/>
        <v>1</v>
      </c>
      <c r="F477" s="10" t="str">
        <f t="shared" si="2"/>
        <v>Jan</v>
      </c>
      <c r="G477" s="11">
        <f t="shared" si="3"/>
        <v>10</v>
      </c>
      <c r="H477" s="7">
        <f t="shared" si="4"/>
        <v>2012</v>
      </c>
      <c r="I477" s="9">
        <v>40962.0</v>
      </c>
      <c r="J477" s="11">
        <f t="shared" si="5"/>
        <v>44</v>
      </c>
      <c r="K477" s="7" t="s">
        <v>110</v>
      </c>
      <c r="L477" s="7" t="s">
        <v>56</v>
      </c>
      <c r="M477" s="7" t="str">
        <f>VLOOKUP(L477,countries, 2,false)</f>
        <v>Andorra</v>
      </c>
      <c r="N477" s="7" t="str">
        <f>VLOOKUP(L477,countries, 4,false)</f>
        <v>Europe</v>
      </c>
      <c r="O477" s="7" t="str">
        <f>VLOOKUP(L477,countries, 5,false)</f>
        <v>Southern Europe</v>
      </c>
      <c r="P477" s="7" t="s">
        <v>212</v>
      </c>
      <c r="Q477" s="7">
        <v>4543.0</v>
      </c>
      <c r="R477" s="12">
        <v>255.28</v>
      </c>
      <c r="S477" s="12">
        <v>159.42</v>
      </c>
      <c r="T477" s="13">
        <f t="shared" si="6"/>
        <v>1159737.04</v>
      </c>
      <c r="U477" s="13">
        <f t="shared" si="7"/>
        <v>394999.92</v>
      </c>
      <c r="V477" s="13">
        <f t="shared" si="8"/>
        <v>764737.12</v>
      </c>
      <c r="W477" s="14">
        <f>Q477/totals!B$2</f>
        <v>0.000690790454</v>
      </c>
      <c r="X477" s="14">
        <f t="shared" si="9"/>
        <v>0.3541168557</v>
      </c>
      <c r="Y477" s="14">
        <f>T477/totals!B$5</f>
        <v>0.000681344811</v>
      </c>
      <c r="Z477" s="14">
        <f t="shared" si="10"/>
        <v>0.347845463</v>
      </c>
      <c r="AA477" s="14">
        <f>V477/totals!B$4</f>
        <v>0.00152486737</v>
      </c>
      <c r="AB477" s="14">
        <f t="shared" si="11"/>
        <v>0.3654518799</v>
      </c>
    </row>
    <row r="478">
      <c r="A478" s="7">
        <v>5988.0</v>
      </c>
      <c r="B478" s="7" t="str">
        <f>VLOOKUP($A478,product_category,2, False)</f>
        <v>Vegetables</v>
      </c>
      <c r="C478" s="7">
        <v>4.16682088E8</v>
      </c>
      <c r="D478" s="9">
        <v>41095.0</v>
      </c>
      <c r="E478" s="10">
        <f t="shared" si="1"/>
        <v>7</v>
      </c>
      <c r="F478" s="10" t="str">
        <f t="shared" si="2"/>
        <v>Jul</v>
      </c>
      <c r="G478" s="11">
        <f t="shared" si="3"/>
        <v>5</v>
      </c>
      <c r="H478" s="7">
        <f t="shared" si="4"/>
        <v>2012</v>
      </c>
      <c r="I478" s="9">
        <v>41135.0</v>
      </c>
      <c r="J478" s="11">
        <f t="shared" si="5"/>
        <v>40</v>
      </c>
      <c r="K478" s="7" t="s">
        <v>382</v>
      </c>
      <c r="L478" s="7" t="s">
        <v>111</v>
      </c>
      <c r="M478" s="7" t="str">
        <f>VLOOKUP(L478,countries, 2,false)</f>
        <v>Norway</v>
      </c>
      <c r="N478" s="7" t="str">
        <f>VLOOKUP(L478,countries, 4,false)</f>
        <v>Europe</v>
      </c>
      <c r="O478" s="7" t="str">
        <f>VLOOKUP(L478,countries, 5,false)</f>
        <v>Northern Europe</v>
      </c>
      <c r="P478" s="7" t="s">
        <v>212</v>
      </c>
      <c r="Q478" s="7">
        <v>4344.0</v>
      </c>
      <c r="R478" s="12">
        <v>154.06</v>
      </c>
      <c r="S478" s="12">
        <v>90.93</v>
      </c>
      <c r="T478" s="13">
        <f t="shared" si="6"/>
        <v>669236.64</v>
      </c>
      <c r="U478" s="13">
        <f t="shared" si="7"/>
        <v>146424.74</v>
      </c>
      <c r="V478" s="13">
        <f t="shared" si="8"/>
        <v>522811.9</v>
      </c>
      <c r="W478" s="14">
        <f>Q478/totals!B$2</f>
        <v>0.000660531308</v>
      </c>
      <c r="X478" s="14">
        <f t="shared" si="9"/>
        <v>0.354777387</v>
      </c>
      <c r="Y478" s="14">
        <f>T478/totals!B$5</f>
        <v>0.0003931761221</v>
      </c>
      <c r="Z478" s="14">
        <f t="shared" si="10"/>
        <v>0.3482386391</v>
      </c>
      <c r="AA478" s="14">
        <f>V478/totals!B$4</f>
        <v>0.001042474317</v>
      </c>
      <c r="AB478" s="14">
        <f t="shared" si="11"/>
        <v>0.3664943542</v>
      </c>
    </row>
    <row r="479">
      <c r="A479" s="7">
        <v>1270.0</v>
      </c>
      <c r="B479" s="7" t="str">
        <f>VLOOKUP($A479,product_category,2, False)</f>
        <v>Beverages</v>
      </c>
      <c r="C479" s="7">
        <v>4.16953313E8</v>
      </c>
      <c r="D479" s="9">
        <v>42633.0</v>
      </c>
      <c r="E479" s="10">
        <f t="shared" si="1"/>
        <v>9</v>
      </c>
      <c r="F479" s="10" t="str">
        <f t="shared" si="2"/>
        <v>Sep</v>
      </c>
      <c r="G479" s="11">
        <f t="shared" si="3"/>
        <v>20</v>
      </c>
      <c r="H479" s="7">
        <f t="shared" si="4"/>
        <v>2016</v>
      </c>
      <c r="I479" s="9">
        <v>42672.0</v>
      </c>
      <c r="J479" s="11">
        <f t="shared" si="5"/>
        <v>39</v>
      </c>
      <c r="K479" s="7" t="s">
        <v>382</v>
      </c>
      <c r="L479" s="7" t="s">
        <v>383</v>
      </c>
      <c r="M479" s="7" t="str">
        <f>VLOOKUP(L479,countries, 2,false)</f>
        <v>Ireland</v>
      </c>
      <c r="N479" s="7" t="str">
        <f>VLOOKUP(L479,countries, 4,false)</f>
        <v>Europe</v>
      </c>
      <c r="O479" s="7" t="str">
        <f>VLOOKUP(L479,countries, 5,false)</f>
        <v>Northern Europe</v>
      </c>
      <c r="P479" s="7" t="s">
        <v>212</v>
      </c>
      <c r="Q479" s="7">
        <v>4606.0</v>
      </c>
      <c r="R479" s="12">
        <v>47.45</v>
      </c>
      <c r="S479" s="12">
        <v>31.79</v>
      </c>
      <c r="T479" s="13">
        <f t="shared" si="6"/>
        <v>218554.7</v>
      </c>
      <c r="U479" s="13">
        <f t="shared" si="7"/>
        <v>387713.76</v>
      </c>
      <c r="V479" s="13">
        <f t="shared" si="8"/>
        <v>-169159.06</v>
      </c>
      <c r="W479" s="14">
        <f>Q479/totals!B$2</f>
        <v>0.0007003699827</v>
      </c>
      <c r="X479" s="14">
        <f t="shared" si="9"/>
        <v>0.3554777569</v>
      </c>
      <c r="Y479" s="14">
        <f>T479/totals!B$5</f>
        <v>0.0001284007543</v>
      </c>
      <c r="Z479" s="14">
        <f t="shared" si="10"/>
        <v>0.3483670399</v>
      </c>
      <c r="AA479" s="14">
        <f>V479/totals!B$4</f>
        <v>-0.0003372990852</v>
      </c>
      <c r="AB479" s="14">
        <f t="shared" si="11"/>
        <v>0.3661570551</v>
      </c>
    </row>
    <row r="480">
      <c r="A480" s="7">
        <v>8969.0</v>
      </c>
      <c r="B480" s="7" t="str">
        <f>VLOOKUP($A480,product_category,2, False)</f>
        <v>Snacks</v>
      </c>
      <c r="C480" s="7">
        <v>4.18404281E8</v>
      </c>
      <c r="D480" s="9">
        <v>40604.0</v>
      </c>
      <c r="E480" s="10">
        <f t="shared" si="1"/>
        <v>3</v>
      </c>
      <c r="F480" s="10" t="str">
        <f t="shared" si="2"/>
        <v>Mar</v>
      </c>
      <c r="G480" s="11">
        <f t="shared" si="3"/>
        <v>2</v>
      </c>
      <c r="H480" s="7">
        <f t="shared" si="4"/>
        <v>2011</v>
      </c>
      <c r="I480" s="9">
        <v>40648.0</v>
      </c>
      <c r="J480" s="11">
        <f t="shared" si="5"/>
        <v>44</v>
      </c>
      <c r="K480" s="7" t="s">
        <v>110</v>
      </c>
      <c r="L480" s="7" t="s">
        <v>77</v>
      </c>
      <c r="M480" s="7" t="str">
        <f>VLOOKUP(L480,countries, 2,false)</f>
        <v>Armenia</v>
      </c>
      <c r="N480" s="7" t="str">
        <f>VLOOKUP(L480,countries, 4,false)</f>
        <v>Asia</v>
      </c>
      <c r="O480" s="7" t="str">
        <f>VLOOKUP(L480,countries, 5,false)</f>
        <v>Western Asia</v>
      </c>
      <c r="P480" s="7" t="s">
        <v>212</v>
      </c>
      <c r="Q480" s="7">
        <v>3979.0</v>
      </c>
      <c r="R480" s="12">
        <v>152.58</v>
      </c>
      <c r="S480" s="12">
        <v>97.44</v>
      </c>
      <c r="T480" s="13">
        <f t="shared" si="6"/>
        <v>607115.82</v>
      </c>
      <c r="U480" s="13">
        <f t="shared" si="7"/>
        <v>1375372.59</v>
      </c>
      <c r="V480" s="13">
        <f t="shared" si="8"/>
        <v>-768256.77</v>
      </c>
      <c r="W480" s="14">
        <f>Q480/totals!B$2</f>
        <v>0.0006050308643</v>
      </c>
      <c r="X480" s="14">
        <f t="shared" si="9"/>
        <v>0.3560827878</v>
      </c>
      <c r="Y480" s="14">
        <f>T480/totals!B$5</f>
        <v>0.0003566801778</v>
      </c>
      <c r="Z480" s="14">
        <f t="shared" si="10"/>
        <v>0.34872372</v>
      </c>
      <c r="AA480" s="14">
        <f>V480/totals!B$4</f>
        <v>-0.001531885467</v>
      </c>
      <c r="AB480" s="14">
        <f t="shared" si="11"/>
        <v>0.3646251697</v>
      </c>
    </row>
    <row r="481">
      <c r="A481" s="7">
        <v>8293.0</v>
      </c>
      <c r="B481" s="7" t="str">
        <f>VLOOKUP($A481,product_category,2, False)</f>
        <v>Cosmetics</v>
      </c>
      <c r="C481" s="7">
        <v>4.20875346E8</v>
      </c>
      <c r="D481" s="9">
        <v>40914.0</v>
      </c>
      <c r="E481" s="10">
        <f t="shared" si="1"/>
        <v>1</v>
      </c>
      <c r="F481" s="10" t="str">
        <f t="shared" si="2"/>
        <v>Jan</v>
      </c>
      <c r="G481" s="11">
        <f t="shared" si="3"/>
        <v>6</v>
      </c>
      <c r="H481" s="7">
        <f t="shared" si="4"/>
        <v>2012</v>
      </c>
      <c r="I481" s="9">
        <v>40957.0</v>
      </c>
      <c r="J481" s="11">
        <f t="shared" si="5"/>
        <v>43</v>
      </c>
      <c r="K481" s="7" t="s">
        <v>322</v>
      </c>
      <c r="L481" s="7" t="s">
        <v>451</v>
      </c>
      <c r="M481" s="7" t="str">
        <f>VLOOKUP(L481,countries, 2,false)</f>
        <v>Lithuania</v>
      </c>
      <c r="N481" s="7" t="str">
        <f>VLOOKUP(L481,countries, 4,false)</f>
        <v>Europe</v>
      </c>
      <c r="O481" s="7" t="str">
        <f>VLOOKUP(L481,countries, 5,false)</f>
        <v>Northern Europe</v>
      </c>
      <c r="P481" s="7" t="s">
        <v>212</v>
      </c>
      <c r="Q481" s="7">
        <v>5223.0</v>
      </c>
      <c r="R481" s="12">
        <v>437.2</v>
      </c>
      <c r="S481" s="12">
        <v>263.33</v>
      </c>
      <c r="T481" s="13">
        <f t="shared" si="6"/>
        <v>2283495.6</v>
      </c>
      <c r="U481" s="13">
        <f t="shared" si="7"/>
        <v>2662966.38</v>
      </c>
      <c r="V481" s="13">
        <f t="shared" si="8"/>
        <v>-379470.78</v>
      </c>
      <c r="W481" s="14">
        <f>Q481/totals!B$2</f>
        <v>0.0007941885409</v>
      </c>
      <c r="X481" s="14">
        <f t="shared" si="9"/>
        <v>0.3568769763</v>
      </c>
      <c r="Y481" s="14">
        <f>T481/totals!B$5</f>
        <v>0.001341552287</v>
      </c>
      <c r="Z481" s="14">
        <f t="shared" si="10"/>
        <v>0.3500652723</v>
      </c>
      <c r="AA481" s="14">
        <f>V481/totals!B$4</f>
        <v>-0.0007566555817</v>
      </c>
      <c r="AB481" s="14">
        <f t="shared" si="11"/>
        <v>0.3638685141</v>
      </c>
    </row>
    <row r="482">
      <c r="A482" s="7">
        <v>8875.0</v>
      </c>
      <c r="B482" s="7" t="str">
        <f>VLOOKUP($A482,product_category,2, False)</f>
        <v>Meat</v>
      </c>
      <c r="C482" s="7">
        <v>4.21456849E8</v>
      </c>
      <c r="D482" s="9">
        <v>41615.0</v>
      </c>
      <c r="E482" s="10">
        <f t="shared" si="1"/>
        <v>12</v>
      </c>
      <c r="F482" s="10" t="str">
        <f t="shared" si="2"/>
        <v>Dec</v>
      </c>
      <c r="G482" s="11">
        <f t="shared" si="3"/>
        <v>7</v>
      </c>
      <c r="H482" s="7">
        <f t="shared" si="4"/>
        <v>2013</v>
      </c>
      <c r="I482" s="9">
        <v>41618.0</v>
      </c>
      <c r="J482" s="11">
        <f t="shared" si="5"/>
        <v>3</v>
      </c>
      <c r="K482" s="7" t="s">
        <v>110</v>
      </c>
      <c r="L482" s="7" t="e">
        <v>#N/A</v>
      </c>
      <c r="M482" s="7"/>
      <c r="N482" s="7"/>
      <c r="O482" s="7"/>
      <c r="P482" s="7" t="s">
        <v>129</v>
      </c>
      <c r="Q482" s="7">
        <v>7302.0</v>
      </c>
      <c r="R482" s="12">
        <v>421.89</v>
      </c>
      <c r="S482" s="12">
        <v>364.69</v>
      </c>
      <c r="T482" s="13">
        <f t="shared" si="6"/>
        <v>3080640.78</v>
      </c>
      <c r="U482" s="13">
        <f t="shared" si="7"/>
        <v>3768044.92</v>
      </c>
      <c r="V482" s="13">
        <f t="shared" si="8"/>
        <v>-687404.14</v>
      </c>
      <c r="W482" s="14">
        <f>Q482/totals!B$2</f>
        <v>0.001110312986</v>
      </c>
      <c r="X482" s="14">
        <f t="shared" si="9"/>
        <v>0.3579872893</v>
      </c>
      <c r="Y482" s="14">
        <f>T482/totals!B$5</f>
        <v>0.001809874599</v>
      </c>
      <c r="Z482" s="14">
        <f t="shared" si="10"/>
        <v>0.3518751469</v>
      </c>
      <c r="AA482" s="14">
        <f>V482/totals!B$4</f>
        <v>-0.001370667273</v>
      </c>
      <c r="AB482" s="14">
        <f t="shared" si="11"/>
        <v>0.3624978468</v>
      </c>
    </row>
    <row r="483">
      <c r="A483" s="7">
        <v>7940.0</v>
      </c>
      <c r="B483" s="7" t="str">
        <f>VLOOKUP($A483,product_category,2, False)</f>
        <v>Household</v>
      </c>
      <c r="C483" s="7">
        <v>4.21660268E8</v>
      </c>
      <c r="D483" s="9">
        <v>42077.0</v>
      </c>
      <c r="E483" s="10">
        <f t="shared" si="1"/>
        <v>3</v>
      </c>
      <c r="F483" s="10" t="str">
        <f t="shared" si="2"/>
        <v>Mar</v>
      </c>
      <c r="G483" s="11">
        <f t="shared" si="3"/>
        <v>14</v>
      </c>
      <c r="H483" s="7">
        <f t="shared" si="4"/>
        <v>2015</v>
      </c>
      <c r="I483" s="9">
        <v>42105.0</v>
      </c>
      <c r="J483" s="11">
        <f t="shared" si="5"/>
        <v>28</v>
      </c>
      <c r="K483" s="7" t="s">
        <v>198</v>
      </c>
      <c r="L483" s="7" t="s">
        <v>383</v>
      </c>
      <c r="M483" s="7" t="str">
        <f>VLOOKUP(L483,countries, 2,false)</f>
        <v>Ireland</v>
      </c>
      <c r="N483" s="7" t="str">
        <f>VLOOKUP(L483,countries, 4,false)</f>
        <v>Europe</v>
      </c>
      <c r="O483" s="7" t="str">
        <f>VLOOKUP(L483,countries, 5,false)</f>
        <v>Northern Europe</v>
      </c>
      <c r="P483" s="7" t="s">
        <v>212</v>
      </c>
      <c r="Q483" s="7">
        <v>7498.0</v>
      </c>
      <c r="R483" s="12">
        <v>668.27</v>
      </c>
      <c r="S483" s="12">
        <v>502.54</v>
      </c>
      <c r="T483" s="13">
        <f t="shared" si="6"/>
        <v>5010688.46</v>
      </c>
      <c r="U483" s="13">
        <f t="shared" si="7"/>
        <v>2315416.81</v>
      </c>
      <c r="V483" s="13">
        <f t="shared" si="8"/>
        <v>2695271.65</v>
      </c>
      <c r="W483" s="14">
        <f>Q483/totals!B$2</f>
        <v>0.001140115964</v>
      </c>
      <c r="X483" s="14">
        <f t="shared" si="9"/>
        <v>0.3591274053</v>
      </c>
      <c r="Y483" s="14">
        <f>T483/totals!B$5</f>
        <v>0.002943776446</v>
      </c>
      <c r="Z483" s="14">
        <f t="shared" si="10"/>
        <v>0.3548189234</v>
      </c>
      <c r="AA483" s="14">
        <f>V483/totals!B$4</f>
        <v>0.005374306654</v>
      </c>
      <c r="AB483" s="14">
        <f t="shared" si="11"/>
        <v>0.3678721535</v>
      </c>
    </row>
    <row r="484">
      <c r="A484" s="7">
        <v>8875.0</v>
      </c>
      <c r="B484" s="7" t="str">
        <f>VLOOKUP($A484,product_category,2, False)</f>
        <v>Meat</v>
      </c>
      <c r="C484" s="7">
        <v>4.22568786E8</v>
      </c>
      <c r="D484" s="9">
        <v>42505.0</v>
      </c>
      <c r="E484" s="10">
        <f t="shared" si="1"/>
        <v>5</v>
      </c>
      <c r="F484" s="10" t="str">
        <f t="shared" si="2"/>
        <v>May</v>
      </c>
      <c r="G484" s="11">
        <f t="shared" si="3"/>
        <v>15</v>
      </c>
      <c r="H484" s="7">
        <f t="shared" si="4"/>
        <v>2016</v>
      </c>
      <c r="I484" s="9">
        <v>42538.0</v>
      </c>
      <c r="J484" s="11">
        <f t="shared" si="5"/>
        <v>33</v>
      </c>
      <c r="K484" s="7" t="s">
        <v>382</v>
      </c>
      <c r="L484" s="7" t="s">
        <v>478</v>
      </c>
      <c r="M484" s="7" t="str">
        <f>VLOOKUP(L484,countries, 2,false)</f>
        <v>Malta</v>
      </c>
      <c r="N484" s="7" t="str">
        <f>VLOOKUP(L484,countries, 4,false)</f>
        <v>Europe</v>
      </c>
      <c r="O484" s="7" t="str">
        <f>VLOOKUP(L484,countries, 5,false)</f>
        <v>Southern Europe</v>
      </c>
      <c r="P484" s="7" t="s">
        <v>129</v>
      </c>
      <c r="Q484" s="7">
        <v>6349.0</v>
      </c>
      <c r="R484" s="12">
        <v>421.89</v>
      </c>
      <c r="S484" s="12">
        <v>364.69</v>
      </c>
      <c r="T484" s="13">
        <f t="shared" si="6"/>
        <v>2678579.61</v>
      </c>
      <c r="U484" s="13">
        <f t="shared" si="7"/>
        <v>421596</v>
      </c>
      <c r="V484" s="13">
        <f t="shared" si="8"/>
        <v>2256983.61</v>
      </c>
      <c r="W484" s="14">
        <f>Q484/totals!B$2</f>
        <v>0.0009654036083</v>
      </c>
      <c r="X484" s="14">
        <f t="shared" si="9"/>
        <v>0.3600928089</v>
      </c>
      <c r="Y484" s="14">
        <f>T484/totals!B$5</f>
        <v>0.001573663904</v>
      </c>
      <c r="Z484" s="14">
        <f t="shared" si="10"/>
        <v>0.3563925873</v>
      </c>
      <c r="AA484" s="14">
        <f>V484/totals!B$4</f>
        <v>0.004500370875</v>
      </c>
      <c r="AB484" s="14">
        <f t="shared" si="11"/>
        <v>0.3723725244</v>
      </c>
    </row>
    <row r="485">
      <c r="A485" s="7">
        <v>2103.0</v>
      </c>
      <c r="B485" s="7" t="str">
        <f>VLOOKUP($A485,product_category,2, False)</f>
        <v>Cereal</v>
      </c>
      <c r="C485" s="7">
        <v>4.24181544E8</v>
      </c>
      <c r="D485" s="9">
        <v>41310.0</v>
      </c>
      <c r="E485" s="10">
        <f t="shared" si="1"/>
        <v>2</v>
      </c>
      <c r="F485" s="10" t="str">
        <f t="shared" si="2"/>
        <v>Feb</v>
      </c>
      <c r="G485" s="11">
        <f t="shared" si="3"/>
        <v>5</v>
      </c>
      <c r="H485" s="7">
        <f t="shared" si="4"/>
        <v>2013</v>
      </c>
      <c r="I485" s="9">
        <v>41337.0</v>
      </c>
      <c r="J485" s="11">
        <f t="shared" si="5"/>
        <v>27</v>
      </c>
      <c r="K485" s="7" t="s">
        <v>382</v>
      </c>
      <c r="L485" s="7" t="s">
        <v>77</v>
      </c>
      <c r="M485" s="7" t="str">
        <f>VLOOKUP(L485,countries, 2,false)</f>
        <v>Armenia</v>
      </c>
      <c r="N485" s="7" t="str">
        <f>VLOOKUP(L485,countries, 4,false)</f>
        <v>Asia</v>
      </c>
      <c r="O485" s="7" t="str">
        <f>VLOOKUP(L485,countries, 5,false)</f>
        <v>Western Asia</v>
      </c>
      <c r="P485" s="7" t="s">
        <v>129</v>
      </c>
      <c r="Q485" s="7">
        <v>3600.0</v>
      </c>
      <c r="R485" s="12">
        <v>205.7</v>
      </c>
      <c r="S485" s="12">
        <v>117.11</v>
      </c>
      <c r="T485" s="13">
        <f t="shared" si="6"/>
        <v>740520</v>
      </c>
      <c r="U485" s="13">
        <f t="shared" si="7"/>
        <v>254828.64</v>
      </c>
      <c r="V485" s="13">
        <f t="shared" si="8"/>
        <v>485691.36</v>
      </c>
      <c r="W485" s="14">
        <f>Q485/totals!B$2</f>
        <v>0.0005474016365</v>
      </c>
      <c r="X485" s="14">
        <f t="shared" si="9"/>
        <v>0.3606402105</v>
      </c>
      <c r="Y485" s="14">
        <f>T485/totals!B$5</f>
        <v>0.0004350550531</v>
      </c>
      <c r="Z485" s="14">
        <f t="shared" si="10"/>
        <v>0.3568276423</v>
      </c>
      <c r="AA485" s="14">
        <f>V485/totals!B$4</f>
        <v>0.0009684568559</v>
      </c>
      <c r="AB485" s="14">
        <f t="shared" si="11"/>
        <v>0.3733409812</v>
      </c>
    </row>
    <row r="486">
      <c r="A486" s="7">
        <v>1270.0</v>
      </c>
      <c r="B486" s="7" t="str">
        <f>VLOOKUP($A486,product_category,2, False)</f>
        <v>Beverages</v>
      </c>
      <c r="C486" s="7">
        <v>4.24297845E8</v>
      </c>
      <c r="D486" s="9">
        <v>40897.0</v>
      </c>
      <c r="E486" s="10">
        <f t="shared" si="1"/>
        <v>12</v>
      </c>
      <c r="F486" s="10" t="str">
        <f t="shared" si="2"/>
        <v>Dec</v>
      </c>
      <c r="G486" s="11">
        <f t="shared" si="3"/>
        <v>20</v>
      </c>
      <c r="H486" s="7">
        <f t="shared" si="4"/>
        <v>2011</v>
      </c>
      <c r="I486" s="9">
        <v>40916.0</v>
      </c>
      <c r="J486" s="11">
        <f t="shared" si="5"/>
        <v>19</v>
      </c>
      <c r="K486" s="7" t="s">
        <v>110</v>
      </c>
      <c r="L486" s="7" t="s">
        <v>200</v>
      </c>
      <c r="M486" s="7" t="str">
        <f>VLOOKUP(L486,countries, 2,false)</f>
        <v>Serbia</v>
      </c>
      <c r="N486" s="7" t="str">
        <f>VLOOKUP(L486,countries, 4,false)</f>
        <v>Europe</v>
      </c>
      <c r="O486" s="7" t="str">
        <f>VLOOKUP(L486,countries, 5,false)</f>
        <v>Southern Europe</v>
      </c>
      <c r="P486" s="7" t="s">
        <v>129</v>
      </c>
      <c r="Q486" s="7">
        <v>8016.0</v>
      </c>
      <c r="R486" s="12">
        <v>47.45</v>
      </c>
      <c r="S486" s="12">
        <v>31.79</v>
      </c>
      <c r="T486" s="13">
        <f t="shared" si="6"/>
        <v>380359.2</v>
      </c>
      <c r="U486" s="13">
        <f t="shared" si="7"/>
        <v>78744</v>
      </c>
      <c r="V486" s="13">
        <f t="shared" si="8"/>
        <v>301615.2</v>
      </c>
      <c r="W486" s="14">
        <f>Q486/totals!B$2</f>
        <v>0.001218880977</v>
      </c>
      <c r="X486" s="14">
        <f t="shared" si="9"/>
        <v>0.3618590915</v>
      </c>
      <c r="Y486" s="14">
        <f>T486/totals!B$5</f>
        <v>0.0002234608004</v>
      </c>
      <c r="Z486" s="14">
        <f t="shared" si="10"/>
        <v>0.3570511031</v>
      </c>
      <c r="AA486" s="14">
        <f>V486/totals!B$4</f>
        <v>0.0006014134332</v>
      </c>
      <c r="AB486" s="14">
        <f t="shared" si="11"/>
        <v>0.3739423946</v>
      </c>
    </row>
    <row r="487">
      <c r="A487" s="7">
        <v>8681.0</v>
      </c>
      <c r="B487" s="7" t="str">
        <f>VLOOKUP($A487,product_category,2, False)</f>
        <v>Office Supplies</v>
      </c>
      <c r="C487" s="7">
        <v>4.24541604E8</v>
      </c>
      <c r="D487" s="9">
        <v>41369.0</v>
      </c>
      <c r="E487" s="10">
        <f t="shared" si="1"/>
        <v>4</v>
      </c>
      <c r="F487" s="10" t="str">
        <f t="shared" si="2"/>
        <v>Apr</v>
      </c>
      <c r="G487" s="11">
        <f t="shared" si="3"/>
        <v>5</v>
      </c>
      <c r="H487" s="7">
        <f t="shared" si="4"/>
        <v>2013</v>
      </c>
      <c r="I487" s="9">
        <v>41411.0</v>
      </c>
      <c r="J487" s="11">
        <f t="shared" si="5"/>
        <v>42</v>
      </c>
      <c r="K487" s="7" t="s">
        <v>382</v>
      </c>
      <c r="L487" s="7" t="s">
        <v>705</v>
      </c>
      <c r="M487" s="7" t="str">
        <f>VLOOKUP(L487,countries, 2,false)</f>
        <v>Switzerland</v>
      </c>
      <c r="N487" s="7" t="str">
        <f>VLOOKUP(L487,countries, 4,false)</f>
        <v>Europe</v>
      </c>
      <c r="O487" s="7" t="str">
        <f>VLOOKUP(L487,countries, 5,false)</f>
        <v>Western Europe</v>
      </c>
      <c r="P487" s="7" t="s">
        <v>212</v>
      </c>
      <c r="Q487" s="7">
        <v>150.0</v>
      </c>
      <c r="R487" s="12">
        <v>651.21</v>
      </c>
      <c r="S487" s="12">
        <v>524.96</v>
      </c>
      <c r="T487" s="13">
        <f t="shared" si="6"/>
        <v>97681.5</v>
      </c>
      <c r="U487" s="13">
        <f t="shared" si="7"/>
        <v>252889.45</v>
      </c>
      <c r="V487" s="13">
        <f t="shared" si="8"/>
        <v>-155207.95</v>
      </c>
      <c r="W487" s="14">
        <f>Q487/totals!B$2</f>
        <v>0.00002280840152</v>
      </c>
      <c r="X487" s="14">
        <f t="shared" si="9"/>
        <v>0.3618818999</v>
      </c>
      <c r="Y487" s="14">
        <f>T487/totals!B$5</f>
        <v>0.00005738782229</v>
      </c>
      <c r="Z487" s="14">
        <f t="shared" si="10"/>
        <v>0.3571084909</v>
      </c>
      <c r="AA487" s="14">
        <f>V487/totals!B$4</f>
        <v>-0.0003094809083</v>
      </c>
      <c r="AB487" s="14">
        <f t="shared" si="11"/>
        <v>0.3736329137</v>
      </c>
    </row>
    <row r="488">
      <c r="A488" s="7">
        <v>1270.0</v>
      </c>
      <c r="B488" s="7" t="str">
        <f>VLOOKUP($A488,product_category,2, False)</f>
        <v>Beverages</v>
      </c>
      <c r="C488" s="7">
        <v>4.25547969E8</v>
      </c>
      <c r="D488" s="9">
        <v>40409.0</v>
      </c>
      <c r="E488" s="10">
        <f t="shared" si="1"/>
        <v>8</v>
      </c>
      <c r="F488" s="10" t="str">
        <f t="shared" si="2"/>
        <v>Aug</v>
      </c>
      <c r="G488" s="11">
        <f t="shared" si="3"/>
        <v>19</v>
      </c>
      <c r="H488" s="7">
        <f t="shared" si="4"/>
        <v>2010</v>
      </c>
      <c r="I488" s="9">
        <v>40432.0</v>
      </c>
      <c r="J488" s="11">
        <f t="shared" si="5"/>
        <v>23</v>
      </c>
      <c r="K488" s="7" t="s">
        <v>382</v>
      </c>
      <c r="L488" s="7" t="s">
        <v>56</v>
      </c>
      <c r="M488" s="7" t="str">
        <f>VLOOKUP(L488,countries, 2,false)</f>
        <v>Andorra</v>
      </c>
      <c r="N488" s="7" t="str">
        <f>VLOOKUP(L488,countries, 4,false)</f>
        <v>Europe</v>
      </c>
      <c r="O488" s="7" t="str">
        <f>VLOOKUP(L488,countries, 5,false)</f>
        <v>Southern Europe</v>
      </c>
      <c r="P488" s="7" t="s">
        <v>129</v>
      </c>
      <c r="Q488" s="7">
        <v>7955.0</v>
      </c>
      <c r="R488" s="12">
        <v>47.45</v>
      </c>
      <c r="S488" s="12">
        <v>31.79</v>
      </c>
      <c r="T488" s="13">
        <f t="shared" si="6"/>
        <v>377464.75</v>
      </c>
      <c r="U488" s="13">
        <f t="shared" si="7"/>
        <v>557551.68</v>
      </c>
      <c r="V488" s="13">
        <f t="shared" si="8"/>
        <v>-180086.93</v>
      </c>
      <c r="W488" s="14">
        <f>Q488/totals!B$2</f>
        <v>0.001209605561</v>
      </c>
      <c r="X488" s="14">
        <f t="shared" si="9"/>
        <v>0.3630915055</v>
      </c>
      <c r="Y488" s="14">
        <f>T488/totals!B$5</f>
        <v>0.0002217603128</v>
      </c>
      <c r="Z488" s="14">
        <f t="shared" si="10"/>
        <v>0.3573302513</v>
      </c>
      <c r="AA488" s="14">
        <f>V488/totals!B$4</f>
        <v>-0.0003590889943</v>
      </c>
      <c r="AB488" s="14">
        <f t="shared" si="11"/>
        <v>0.3732738247</v>
      </c>
    </row>
    <row r="489">
      <c r="A489" s="7">
        <v>8969.0</v>
      </c>
      <c r="B489" s="7" t="str">
        <f>VLOOKUP($A489,product_category,2, False)</f>
        <v>Snacks</v>
      </c>
      <c r="C489" s="7">
        <v>4.27432811E8</v>
      </c>
      <c r="D489" s="9">
        <v>42341.0</v>
      </c>
      <c r="E489" s="10">
        <f t="shared" si="1"/>
        <v>12</v>
      </c>
      <c r="F489" s="10" t="str">
        <f t="shared" si="2"/>
        <v>Dec</v>
      </c>
      <c r="G489" s="11">
        <f t="shared" si="3"/>
        <v>3</v>
      </c>
      <c r="H489" s="7">
        <f t="shared" si="4"/>
        <v>2015</v>
      </c>
      <c r="I489" s="9">
        <v>42349.0</v>
      </c>
      <c r="J489" s="11">
        <f t="shared" si="5"/>
        <v>8</v>
      </c>
      <c r="K489" s="7" t="s">
        <v>382</v>
      </c>
      <c r="L489" s="7" t="s">
        <v>283</v>
      </c>
      <c r="M489" s="7" t="str">
        <f>VLOOKUP(L489,countries, 2,false)</f>
        <v>Finland</v>
      </c>
      <c r="N489" s="7" t="str">
        <f>VLOOKUP(L489,countries, 4,false)</f>
        <v>Europe</v>
      </c>
      <c r="O489" s="7" t="str">
        <f>VLOOKUP(L489,countries, 5,false)</f>
        <v>Northern Europe</v>
      </c>
      <c r="P489" s="7" t="s">
        <v>129</v>
      </c>
      <c r="Q489" s="7">
        <v>5722.0</v>
      </c>
      <c r="R489" s="12">
        <v>152.58</v>
      </c>
      <c r="S489" s="12">
        <v>97.44</v>
      </c>
      <c r="T489" s="13">
        <f t="shared" si="6"/>
        <v>873062.76</v>
      </c>
      <c r="U489" s="13">
        <f t="shared" si="7"/>
        <v>4101512.48</v>
      </c>
      <c r="V489" s="13">
        <f t="shared" si="8"/>
        <v>-3228449.72</v>
      </c>
      <c r="W489" s="14">
        <f>Q489/totals!B$2</f>
        <v>0.00087006449</v>
      </c>
      <c r="X489" s="14">
        <f t="shared" si="9"/>
        <v>0.36396157</v>
      </c>
      <c r="Y489" s="14">
        <f>T489/totals!B$5</f>
        <v>0.0005129238446</v>
      </c>
      <c r="Z489" s="14">
        <f t="shared" si="10"/>
        <v>0.3578431751</v>
      </c>
      <c r="AA489" s="14">
        <f>V489/totals!B$4</f>
        <v>-0.006437450865</v>
      </c>
      <c r="AB489" s="14">
        <f t="shared" si="11"/>
        <v>0.3668363739</v>
      </c>
    </row>
    <row r="490">
      <c r="A490" s="7">
        <v>8681.0</v>
      </c>
      <c r="B490" s="7" t="str">
        <f>VLOOKUP($A490,product_category,2, False)</f>
        <v>Office Supplies</v>
      </c>
      <c r="C490" s="7">
        <v>4.28419864E8</v>
      </c>
      <c r="D490" s="9">
        <v>41582.0</v>
      </c>
      <c r="E490" s="10">
        <f t="shared" si="1"/>
        <v>11</v>
      </c>
      <c r="F490" s="10" t="str">
        <f t="shared" si="2"/>
        <v>Nov</v>
      </c>
      <c r="G490" s="11">
        <f t="shared" si="3"/>
        <v>4</v>
      </c>
      <c r="H490" s="7">
        <f t="shared" si="4"/>
        <v>2013</v>
      </c>
      <c r="I490" s="9">
        <v>41613.0</v>
      </c>
      <c r="J490" s="11">
        <f t="shared" si="5"/>
        <v>31</v>
      </c>
      <c r="K490" s="7" t="s">
        <v>110</v>
      </c>
      <c r="L490" s="7" t="s">
        <v>286</v>
      </c>
      <c r="M490" s="7" t="str">
        <f>VLOOKUP(L490,countries, 2,false)</f>
        <v>France</v>
      </c>
      <c r="N490" s="7" t="str">
        <f>VLOOKUP(L490,countries, 4,false)</f>
        <v>Europe</v>
      </c>
      <c r="O490" s="7" t="str">
        <f>VLOOKUP(L490,countries, 5,false)</f>
        <v>Western Europe</v>
      </c>
      <c r="P490" s="7" t="s">
        <v>212</v>
      </c>
      <c r="Q490" s="7">
        <v>7813.0</v>
      </c>
      <c r="R490" s="12">
        <v>651.21</v>
      </c>
      <c r="S490" s="12">
        <v>524.96</v>
      </c>
      <c r="T490" s="13">
        <f t="shared" si="6"/>
        <v>5087903.73</v>
      </c>
      <c r="U490" s="13">
        <f t="shared" si="7"/>
        <v>593019.84</v>
      </c>
      <c r="V490" s="13">
        <f t="shared" si="8"/>
        <v>4494883.89</v>
      </c>
      <c r="W490" s="14">
        <f>Q490/totals!B$2</f>
        <v>0.001188013607</v>
      </c>
      <c r="X490" s="14">
        <f t="shared" si="9"/>
        <v>0.3651495836</v>
      </c>
      <c r="Y490" s="14">
        <f>T490/totals!B$5</f>
        <v>0.002989140371</v>
      </c>
      <c r="Z490" s="14">
        <f t="shared" si="10"/>
        <v>0.3608323155</v>
      </c>
      <c r="AA490" s="14">
        <f>V490/totals!B$4</f>
        <v>0.00896269005</v>
      </c>
      <c r="AB490" s="14">
        <f t="shared" si="11"/>
        <v>0.3757990639</v>
      </c>
    </row>
    <row r="491">
      <c r="A491" s="7">
        <v>8969.0</v>
      </c>
      <c r="B491" s="7" t="str">
        <f>VLOOKUP($A491,product_category,2, False)</f>
        <v>Snacks</v>
      </c>
      <c r="C491" s="7">
        <v>4.29123675E8</v>
      </c>
      <c r="D491" s="9">
        <v>41930.0</v>
      </c>
      <c r="E491" s="10">
        <f t="shared" si="1"/>
        <v>10</v>
      </c>
      <c r="F491" s="10" t="str">
        <f t="shared" si="2"/>
        <v>Oct</v>
      </c>
      <c r="G491" s="11">
        <f t="shared" si="3"/>
        <v>18</v>
      </c>
      <c r="H491" s="7">
        <f t="shared" si="4"/>
        <v>2014</v>
      </c>
      <c r="I491" s="9">
        <v>41954.0</v>
      </c>
      <c r="J491" s="11">
        <f t="shared" si="5"/>
        <v>24</v>
      </c>
      <c r="K491" s="7" t="s">
        <v>110</v>
      </c>
      <c r="L491" s="7" t="e">
        <v>#N/A</v>
      </c>
      <c r="M491" s="7"/>
      <c r="N491" s="7"/>
      <c r="O491" s="7"/>
      <c r="P491" s="7" t="s">
        <v>212</v>
      </c>
      <c r="Q491" s="7">
        <v>6086.0</v>
      </c>
      <c r="R491" s="12">
        <v>152.58</v>
      </c>
      <c r="S491" s="12">
        <v>97.44</v>
      </c>
      <c r="T491" s="13">
        <f t="shared" si="6"/>
        <v>928601.88</v>
      </c>
      <c r="U491" s="13">
        <f t="shared" si="7"/>
        <v>502096.2</v>
      </c>
      <c r="V491" s="13">
        <f t="shared" si="8"/>
        <v>426505.68</v>
      </c>
      <c r="W491" s="14">
        <f>Q491/totals!B$2</f>
        <v>0.0009254128777</v>
      </c>
      <c r="X491" s="14">
        <f t="shared" si="9"/>
        <v>0.3660749965</v>
      </c>
      <c r="Y491" s="14">
        <f>T491/totals!B$5</f>
        <v>0.000545553044</v>
      </c>
      <c r="Z491" s="14">
        <f t="shared" si="10"/>
        <v>0.3613778685</v>
      </c>
      <c r="AA491" s="14">
        <f>V491/totals!B$4</f>
        <v>0.0008504420377</v>
      </c>
      <c r="AB491" s="14">
        <f t="shared" si="11"/>
        <v>0.376649506</v>
      </c>
    </row>
    <row r="492">
      <c r="A492" s="7">
        <v>3127.0</v>
      </c>
      <c r="B492" s="7" t="str">
        <f>VLOOKUP($A492,product_category,2, False)</f>
        <v>Personal Care</v>
      </c>
      <c r="C492" s="7">
        <v>4.3068751E8</v>
      </c>
      <c r="D492" s="9">
        <v>41430.0</v>
      </c>
      <c r="E492" s="10">
        <f t="shared" si="1"/>
        <v>6</v>
      </c>
      <c r="F492" s="10" t="str">
        <f t="shared" si="2"/>
        <v>Jun</v>
      </c>
      <c r="G492" s="11">
        <f t="shared" si="3"/>
        <v>5</v>
      </c>
      <c r="H492" s="7">
        <f t="shared" si="4"/>
        <v>2013</v>
      </c>
      <c r="I492" s="9">
        <v>41435.0</v>
      </c>
      <c r="J492" s="11">
        <f t="shared" si="5"/>
        <v>5</v>
      </c>
      <c r="K492" s="7" t="s">
        <v>198</v>
      </c>
      <c r="L492" s="7" t="s">
        <v>762</v>
      </c>
      <c r="M492" s="7" t="str">
        <f>VLOOKUP(L492,countries, 2,false)</f>
        <v>United Kingdom</v>
      </c>
      <c r="N492" s="7" t="str">
        <f>VLOOKUP(L492,countries, 4,false)</f>
        <v>Europe</v>
      </c>
      <c r="O492" s="7" t="str">
        <f>VLOOKUP(L492,countries, 5,false)</f>
        <v>Northern Europe</v>
      </c>
      <c r="P492" s="7" t="s">
        <v>129</v>
      </c>
      <c r="Q492" s="7">
        <v>8860.0</v>
      </c>
      <c r="R492" s="12">
        <v>81.73</v>
      </c>
      <c r="S492" s="12">
        <v>56.67</v>
      </c>
      <c r="T492" s="13">
        <f t="shared" si="6"/>
        <v>724127.8</v>
      </c>
      <c r="U492" s="13">
        <f t="shared" si="7"/>
        <v>299567.38</v>
      </c>
      <c r="V492" s="13">
        <f t="shared" si="8"/>
        <v>424560.42</v>
      </c>
      <c r="W492" s="14">
        <f>Q492/totals!B$2</f>
        <v>0.00134721625</v>
      </c>
      <c r="X492" s="14">
        <f t="shared" si="9"/>
        <v>0.3674222127</v>
      </c>
      <c r="Y492" s="14">
        <f>T492/totals!B$5</f>
        <v>0.0004254246455</v>
      </c>
      <c r="Z492" s="14">
        <f t="shared" si="10"/>
        <v>0.3618032932</v>
      </c>
      <c r="AA492" s="14">
        <f>V492/totals!B$4</f>
        <v>0.0008465632362</v>
      </c>
      <c r="AB492" s="14">
        <f t="shared" si="11"/>
        <v>0.3774960692</v>
      </c>
    </row>
    <row r="493">
      <c r="A493" s="7">
        <v>2103.0</v>
      </c>
      <c r="B493" s="7" t="str">
        <f>VLOOKUP($A493,product_category,2, False)</f>
        <v>Cereal</v>
      </c>
      <c r="C493" s="7">
        <v>4.31240689E8</v>
      </c>
      <c r="D493" s="9">
        <v>42242.0</v>
      </c>
      <c r="E493" s="10">
        <f t="shared" si="1"/>
        <v>8</v>
      </c>
      <c r="F493" s="10" t="str">
        <f t="shared" si="2"/>
        <v>Aug</v>
      </c>
      <c r="G493" s="11">
        <f t="shared" si="3"/>
        <v>26</v>
      </c>
      <c r="H493" s="7">
        <f t="shared" si="4"/>
        <v>2015</v>
      </c>
      <c r="I493" s="9">
        <v>42290.0</v>
      </c>
      <c r="J493" s="11">
        <f t="shared" si="5"/>
        <v>48</v>
      </c>
      <c r="K493" s="7" t="s">
        <v>322</v>
      </c>
      <c r="L493" s="7" t="s">
        <v>316</v>
      </c>
      <c r="M493" s="7" t="str">
        <f>VLOOKUP(L493,countries, 2,false)</f>
        <v>Greece</v>
      </c>
      <c r="N493" s="7" t="str">
        <f>VLOOKUP(L493,countries, 4,false)</f>
        <v>Europe</v>
      </c>
      <c r="O493" s="7" t="str">
        <f>VLOOKUP(L493,countries, 5,false)</f>
        <v>Southern Europe</v>
      </c>
      <c r="P493" s="7" t="s">
        <v>129</v>
      </c>
      <c r="Q493" s="7">
        <v>2558.0</v>
      </c>
      <c r="R493" s="12">
        <v>205.7</v>
      </c>
      <c r="S493" s="12">
        <v>117.11</v>
      </c>
      <c r="T493" s="13">
        <f t="shared" si="6"/>
        <v>526180.6</v>
      </c>
      <c r="U493" s="13">
        <f t="shared" si="7"/>
        <v>329656.32</v>
      </c>
      <c r="V493" s="13">
        <f t="shared" si="8"/>
        <v>196524.28</v>
      </c>
      <c r="W493" s="14">
        <f>Q493/totals!B$2</f>
        <v>0.0003889592739</v>
      </c>
      <c r="X493" s="14">
        <f t="shared" si="9"/>
        <v>0.367811172</v>
      </c>
      <c r="Y493" s="14">
        <f>T493/totals!B$5</f>
        <v>0.0003091307849</v>
      </c>
      <c r="Z493" s="14">
        <f t="shared" si="10"/>
        <v>0.3621124239</v>
      </c>
      <c r="AA493" s="14">
        <f>V493/totals!B$4</f>
        <v>0.0003918646737</v>
      </c>
      <c r="AB493" s="14">
        <f t="shared" si="11"/>
        <v>0.3778879339</v>
      </c>
    </row>
    <row r="494">
      <c r="A494" s="7">
        <v>2455.0</v>
      </c>
      <c r="B494" s="7" t="str">
        <f>VLOOKUP($A494,product_category,2, False)</f>
        <v>Clothes</v>
      </c>
      <c r="C494" s="7">
        <v>4.31432092E8</v>
      </c>
      <c r="D494" s="9">
        <v>42583.0</v>
      </c>
      <c r="E494" s="10">
        <f t="shared" si="1"/>
        <v>8</v>
      </c>
      <c r="F494" s="10" t="str">
        <f t="shared" si="2"/>
        <v>Aug</v>
      </c>
      <c r="G494" s="11">
        <f t="shared" si="3"/>
        <v>1</v>
      </c>
      <c r="H494" s="7">
        <f t="shared" si="4"/>
        <v>2016</v>
      </c>
      <c r="I494" s="9">
        <v>42626.0</v>
      </c>
      <c r="J494" s="11">
        <f t="shared" si="5"/>
        <v>43</v>
      </c>
      <c r="K494" s="7" t="s">
        <v>382</v>
      </c>
      <c r="L494" s="7" t="s">
        <v>460</v>
      </c>
      <c r="M494" s="7" t="str">
        <f>VLOOKUP(L494,countries, 2,false)</f>
        <v>Macedonia</v>
      </c>
      <c r="N494" s="7" t="str">
        <f>VLOOKUP(L494,countries, 4,false)</f>
        <v>Europe</v>
      </c>
      <c r="O494" s="7" t="str">
        <f>VLOOKUP(L494,countries, 5,false)</f>
        <v>Southern Europe</v>
      </c>
      <c r="P494" s="7" t="s">
        <v>212</v>
      </c>
      <c r="Q494" s="7">
        <v>9198.0</v>
      </c>
      <c r="R494" s="12">
        <v>109.28</v>
      </c>
      <c r="S494" s="12">
        <v>35.84</v>
      </c>
      <c r="T494" s="13">
        <f t="shared" si="6"/>
        <v>1005157.44</v>
      </c>
      <c r="U494" s="13">
        <f t="shared" si="7"/>
        <v>133231.89</v>
      </c>
      <c r="V494" s="13">
        <f t="shared" si="8"/>
        <v>871925.55</v>
      </c>
      <c r="W494" s="14">
        <f>Q494/totals!B$2</f>
        <v>0.001398611181</v>
      </c>
      <c r="X494" s="14">
        <f t="shared" si="9"/>
        <v>0.3692097832</v>
      </c>
      <c r="Y494" s="14">
        <f>T494/totals!B$5</f>
        <v>0.0005905293893</v>
      </c>
      <c r="Z494" s="14">
        <f t="shared" si="10"/>
        <v>0.3627029533</v>
      </c>
      <c r="AA494" s="14">
        <f>V494/totals!B$4</f>
        <v>0.001738598514</v>
      </c>
      <c r="AB494" s="14">
        <f t="shared" si="11"/>
        <v>0.3796265324</v>
      </c>
    </row>
    <row r="495">
      <c r="A495" s="7">
        <v>1270.0</v>
      </c>
      <c r="B495" s="7" t="str">
        <f>VLOOKUP($A495,product_category,2, False)</f>
        <v>Beverages</v>
      </c>
      <c r="C495" s="7">
        <v>4.31753098E8</v>
      </c>
      <c r="D495" s="9">
        <v>42249.0</v>
      </c>
      <c r="E495" s="10">
        <f t="shared" si="1"/>
        <v>9</v>
      </c>
      <c r="F495" s="10" t="str">
        <f t="shared" si="2"/>
        <v>Sep</v>
      </c>
      <c r="G495" s="11">
        <f t="shared" si="3"/>
        <v>2</v>
      </c>
      <c r="H495" s="7">
        <f t="shared" si="4"/>
        <v>2015</v>
      </c>
      <c r="I495" s="9">
        <v>42296.0</v>
      </c>
      <c r="J495" s="11">
        <f t="shared" si="5"/>
        <v>47</v>
      </c>
      <c r="K495" s="7" t="s">
        <v>110</v>
      </c>
      <c r="L495" s="7" t="s">
        <v>439</v>
      </c>
      <c r="M495" s="7" t="str">
        <f>VLOOKUP(L495,countries, 2,false)</f>
        <v>Slovakia</v>
      </c>
      <c r="N495" s="7" t="str">
        <f>VLOOKUP(L495,countries, 4,false)</f>
        <v>Europe</v>
      </c>
      <c r="O495" s="7" t="str">
        <f>VLOOKUP(L495,countries, 5,false)</f>
        <v>Eastern Europe</v>
      </c>
      <c r="P495" s="7" t="s">
        <v>129</v>
      </c>
      <c r="Q495" s="7">
        <v>4191.0</v>
      </c>
      <c r="R495" s="12">
        <v>47.45</v>
      </c>
      <c r="S495" s="12">
        <v>31.79</v>
      </c>
      <c r="T495" s="13">
        <f t="shared" si="6"/>
        <v>198862.95</v>
      </c>
      <c r="U495" s="13">
        <f t="shared" si="7"/>
        <v>210195.48</v>
      </c>
      <c r="V495" s="13">
        <f t="shared" si="8"/>
        <v>-11332.53</v>
      </c>
      <c r="W495" s="14">
        <f>Q495/totals!B$2</f>
        <v>0.0006372667385</v>
      </c>
      <c r="X495" s="14">
        <f t="shared" si="9"/>
        <v>0.3698470499</v>
      </c>
      <c r="Y495" s="14">
        <f>T495/totals!B$5</f>
        <v>0.0001168318631</v>
      </c>
      <c r="Z495" s="14">
        <f t="shared" si="10"/>
        <v>0.3628197852</v>
      </c>
      <c r="AA495" s="14">
        <f>V495/totals!B$4</f>
        <v>-0.00002259679145</v>
      </c>
      <c r="AB495" s="14">
        <f t="shared" si="11"/>
        <v>0.3796039356</v>
      </c>
    </row>
    <row r="496">
      <c r="A496" s="7">
        <v>1270.0</v>
      </c>
      <c r="B496" s="7" t="str">
        <f>VLOOKUP($A496,product_category,2, False)</f>
        <v>Beverages</v>
      </c>
      <c r="C496" s="7">
        <v>4.32031619E8</v>
      </c>
      <c r="D496" s="9">
        <v>40699.0</v>
      </c>
      <c r="E496" s="10">
        <f t="shared" si="1"/>
        <v>6</v>
      </c>
      <c r="F496" s="10" t="str">
        <f t="shared" si="2"/>
        <v>Jun</v>
      </c>
      <c r="G496" s="11">
        <f t="shared" si="3"/>
        <v>5</v>
      </c>
      <c r="H496" s="7">
        <f t="shared" si="4"/>
        <v>2011</v>
      </c>
      <c r="I496" s="9">
        <v>40723.0</v>
      </c>
      <c r="J496" s="11">
        <f t="shared" si="5"/>
        <v>24</v>
      </c>
      <c r="K496" s="7" t="s">
        <v>382</v>
      </c>
      <c r="L496" s="7" t="s">
        <v>77</v>
      </c>
      <c r="M496" s="7" t="str">
        <f>VLOOKUP(L496,countries, 2,false)</f>
        <v>Armenia</v>
      </c>
      <c r="N496" s="7" t="str">
        <f>VLOOKUP(L496,countries, 4,false)</f>
        <v>Asia</v>
      </c>
      <c r="O496" s="7" t="str">
        <f>VLOOKUP(L496,countries, 5,false)</f>
        <v>Western Asia</v>
      </c>
      <c r="P496" s="7" t="s">
        <v>129</v>
      </c>
      <c r="Q496" s="7">
        <v>6612.0</v>
      </c>
      <c r="R496" s="12">
        <v>47.45</v>
      </c>
      <c r="S496" s="12">
        <v>31.79</v>
      </c>
      <c r="T496" s="13">
        <f t="shared" si="6"/>
        <v>313739.4</v>
      </c>
      <c r="U496" s="13">
        <f t="shared" si="7"/>
        <v>3469460.64</v>
      </c>
      <c r="V496" s="13">
        <f t="shared" si="8"/>
        <v>-3155721.24</v>
      </c>
      <c r="W496" s="14">
        <f>Q496/totals!B$2</f>
        <v>0.001005394339</v>
      </c>
      <c r="X496" s="14">
        <f t="shared" si="9"/>
        <v>0.3708524442</v>
      </c>
      <c r="Y496" s="14">
        <f>T496/totals!B$5</f>
        <v>0.0001843217081</v>
      </c>
      <c r="Z496" s="14">
        <f t="shared" si="10"/>
        <v>0.3630041069</v>
      </c>
      <c r="AA496" s="14">
        <f>V496/totals!B$4</f>
        <v>-0.00629243203</v>
      </c>
      <c r="AB496" s="14">
        <f t="shared" si="11"/>
        <v>0.3733115036</v>
      </c>
    </row>
    <row r="497">
      <c r="A497" s="7">
        <v>8681.0</v>
      </c>
      <c r="B497" s="7" t="str">
        <f>VLOOKUP($A497,product_category,2, False)</f>
        <v>Office Supplies</v>
      </c>
      <c r="C497" s="7">
        <v>4.33079183E8</v>
      </c>
      <c r="D497" s="9">
        <v>41338.0</v>
      </c>
      <c r="E497" s="10">
        <f t="shared" si="1"/>
        <v>3</v>
      </c>
      <c r="F497" s="10" t="str">
        <f t="shared" si="2"/>
        <v>Mar</v>
      </c>
      <c r="G497" s="11">
        <f t="shared" si="3"/>
        <v>5</v>
      </c>
      <c r="H497" s="7">
        <f t="shared" si="4"/>
        <v>2013</v>
      </c>
      <c r="I497" s="9">
        <v>41383.0</v>
      </c>
      <c r="J497" s="11">
        <f t="shared" si="5"/>
        <v>45</v>
      </c>
      <c r="K497" s="7" t="s">
        <v>110</v>
      </c>
      <c r="L497" s="7" t="s">
        <v>451</v>
      </c>
      <c r="M497" s="7" t="str">
        <f>VLOOKUP(L497,countries, 2,false)</f>
        <v>Lithuania</v>
      </c>
      <c r="N497" s="7" t="str">
        <f>VLOOKUP(L497,countries, 4,false)</f>
        <v>Europe</v>
      </c>
      <c r="O497" s="7" t="str">
        <f>VLOOKUP(L497,countries, 5,false)</f>
        <v>Northern Europe</v>
      </c>
      <c r="P497" s="7" t="s">
        <v>212</v>
      </c>
      <c r="Q497" s="7">
        <v>6609.0</v>
      </c>
      <c r="R497" s="12">
        <v>651.21</v>
      </c>
      <c r="S497" s="12">
        <v>524.96</v>
      </c>
      <c r="T497" s="13">
        <f t="shared" si="6"/>
        <v>4303846.89</v>
      </c>
      <c r="U497" s="13">
        <f t="shared" si="7"/>
        <v>279278.72</v>
      </c>
      <c r="V497" s="13">
        <f t="shared" si="8"/>
        <v>4024568.17</v>
      </c>
      <c r="W497" s="14">
        <f>Q497/totals!B$2</f>
        <v>0.001004938171</v>
      </c>
      <c r="X497" s="14">
        <f t="shared" si="9"/>
        <v>0.3718573824</v>
      </c>
      <c r="Y497" s="14">
        <f>T497/totals!B$5</f>
        <v>0.00252850745</v>
      </c>
      <c r="Z497" s="14">
        <f t="shared" si="10"/>
        <v>0.3655326144</v>
      </c>
      <c r="AA497" s="14">
        <f>V497/totals!B$4</f>
        <v>0.00802489185</v>
      </c>
      <c r="AB497" s="14">
        <f t="shared" si="11"/>
        <v>0.3813363954</v>
      </c>
    </row>
    <row r="498">
      <c r="A498" s="7">
        <v>8681.0</v>
      </c>
      <c r="B498" s="7" t="str">
        <f>VLOOKUP($A498,product_category,2, False)</f>
        <v>Office Supplies</v>
      </c>
      <c r="C498" s="7">
        <v>4.337345E8</v>
      </c>
      <c r="D498" s="9">
        <v>40409.0</v>
      </c>
      <c r="E498" s="10">
        <f t="shared" si="1"/>
        <v>8</v>
      </c>
      <c r="F498" s="10" t="str">
        <f t="shared" si="2"/>
        <v>Aug</v>
      </c>
      <c r="G498" s="11">
        <f t="shared" si="3"/>
        <v>19</v>
      </c>
      <c r="H498" s="7">
        <f t="shared" si="4"/>
        <v>2010</v>
      </c>
      <c r="I498" s="9">
        <v>40429.0</v>
      </c>
      <c r="J498" s="11">
        <f t="shared" si="5"/>
        <v>20</v>
      </c>
      <c r="K498" s="7" t="s">
        <v>322</v>
      </c>
      <c r="L498" s="7" t="s">
        <v>307</v>
      </c>
      <c r="M498" s="7" t="str">
        <f>VLOOKUP(L498,countries, 2,false)</f>
        <v>Germany</v>
      </c>
      <c r="N498" s="7" t="str">
        <f>VLOOKUP(L498,countries, 4,false)</f>
        <v>Europe</v>
      </c>
      <c r="O498" s="7" t="str">
        <f>VLOOKUP(L498,countries, 5,false)</f>
        <v>Western Europe</v>
      </c>
      <c r="P498" s="7" t="s">
        <v>212</v>
      </c>
      <c r="Q498" s="7">
        <v>532.0</v>
      </c>
      <c r="R498" s="12">
        <v>651.21</v>
      </c>
      <c r="S498" s="12">
        <v>524.96</v>
      </c>
      <c r="T498" s="13">
        <f t="shared" si="6"/>
        <v>346443.72</v>
      </c>
      <c r="U498" s="13">
        <f t="shared" si="7"/>
        <v>844235.98</v>
      </c>
      <c r="V498" s="13">
        <f t="shared" si="8"/>
        <v>-497792.26</v>
      </c>
      <c r="W498" s="14">
        <f>Q498/totals!B$2</f>
        <v>0.00008089379739</v>
      </c>
      <c r="X498" s="14">
        <f t="shared" si="9"/>
        <v>0.3719382762</v>
      </c>
      <c r="Y498" s="14">
        <f>T498/totals!B$5</f>
        <v>0.0002035354764</v>
      </c>
      <c r="Z498" s="14">
        <f t="shared" si="10"/>
        <v>0.3657361498</v>
      </c>
      <c r="AA498" s="14">
        <f>V498/totals!B$4</f>
        <v>-0.0009925857586</v>
      </c>
      <c r="AB498" s="14">
        <f t="shared" si="11"/>
        <v>0.3803438097</v>
      </c>
    </row>
    <row r="499">
      <c r="A499" s="7">
        <v>8293.0</v>
      </c>
      <c r="B499" s="7" t="str">
        <f>VLOOKUP($A499,product_category,2, False)</f>
        <v>Cosmetics</v>
      </c>
      <c r="C499" s="7">
        <v>4.34013879E8</v>
      </c>
      <c r="D499" s="9">
        <v>40448.0</v>
      </c>
      <c r="E499" s="10">
        <f t="shared" si="1"/>
        <v>9</v>
      </c>
      <c r="F499" s="10" t="str">
        <f t="shared" si="2"/>
        <v>Sep</v>
      </c>
      <c r="G499" s="11">
        <f t="shared" si="3"/>
        <v>27</v>
      </c>
      <c r="H499" s="7">
        <f t="shared" si="4"/>
        <v>2010</v>
      </c>
      <c r="I499" s="9">
        <v>40487.0</v>
      </c>
      <c r="J499" s="11">
        <f t="shared" si="5"/>
        <v>39</v>
      </c>
      <c r="K499" s="7" t="s">
        <v>382</v>
      </c>
      <c r="L499" s="7" t="s">
        <v>505</v>
      </c>
      <c r="M499" s="7" t="str">
        <f>VLOOKUP(L499,countries, 2,false)</f>
        <v>Monaco</v>
      </c>
      <c r="N499" s="7" t="str">
        <f>VLOOKUP(L499,countries, 4,false)</f>
        <v>Europe</v>
      </c>
      <c r="O499" s="7" t="str">
        <f>VLOOKUP(L499,countries, 5,false)</f>
        <v>Western Europe</v>
      </c>
      <c r="P499" s="7" t="s">
        <v>212</v>
      </c>
      <c r="Q499" s="7">
        <v>3206.0</v>
      </c>
      <c r="R499" s="12">
        <v>437.2</v>
      </c>
      <c r="S499" s="12">
        <v>263.33</v>
      </c>
      <c r="T499" s="13">
        <f t="shared" si="6"/>
        <v>1401663.2</v>
      </c>
      <c r="U499" s="13">
        <f t="shared" si="7"/>
        <v>353823.04</v>
      </c>
      <c r="V499" s="13">
        <f t="shared" si="8"/>
        <v>1047840.16</v>
      </c>
      <c r="W499" s="14">
        <f>Q499/totals!B$2</f>
        <v>0.0004874915685</v>
      </c>
      <c r="X499" s="14">
        <f t="shared" si="9"/>
        <v>0.3724257678</v>
      </c>
      <c r="Y499" s="14">
        <f>T499/totals!B$5</f>
        <v>0.000823476284</v>
      </c>
      <c r="Z499" s="14">
        <f t="shared" si="10"/>
        <v>0.3665596261</v>
      </c>
      <c r="AA499" s="14">
        <f>V499/totals!B$4</f>
        <v>0.002089368003</v>
      </c>
      <c r="AB499" s="14">
        <f t="shared" si="11"/>
        <v>0.3824331777</v>
      </c>
    </row>
    <row r="500">
      <c r="A500" s="7">
        <v>8681.0</v>
      </c>
      <c r="B500" s="7" t="str">
        <f>VLOOKUP($A500,product_category,2, False)</f>
        <v>Office Supplies</v>
      </c>
      <c r="C500" s="7">
        <v>4.34275662E8</v>
      </c>
      <c r="D500" s="9">
        <v>41101.0</v>
      </c>
      <c r="E500" s="10">
        <f t="shared" si="1"/>
        <v>7</v>
      </c>
      <c r="F500" s="10" t="str">
        <f t="shared" si="2"/>
        <v>Jul</v>
      </c>
      <c r="G500" s="11">
        <f t="shared" si="3"/>
        <v>11</v>
      </c>
      <c r="H500" s="7">
        <f t="shared" si="4"/>
        <v>2012</v>
      </c>
      <c r="I500" s="9">
        <v>41134.0</v>
      </c>
      <c r="J500" s="11">
        <f t="shared" si="5"/>
        <v>33</v>
      </c>
      <c r="K500" s="7" t="s">
        <v>382</v>
      </c>
      <c r="L500" s="7" t="s">
        <v>136</v>
      </c>
      <c r="M500" s="7" t="str">
        <f>VLOOKUP(L500,countries, 2,false)</f>
        <v>Bosnia and Herzegovina</v>
      </c>
      <c r="N500" s="7" t="str">
        <f>VLOOKUP(L500,countries, 4,false)</f>
        <v>Europe</v>
      </c>
      <c r="O500" s="7" t="str">
        <f>VLOOKUP(L500,countries, 5,false)</f>
        <v>Southern Europe</v>
      </c>
      <c r="P500" s="7" t="s">
        <v>212</v>
      </c>
      <c r="Q500" s="7">
        <v>674.0</v>
      </c>
      <c r="R500" s="12">
        <v>651.21</v>
      </c>
      <c r="S500" s="12">
        <v>524.96</v>
      </c>
      <c r="T500" s="13">
        <f t="shared" si="6"/>
        <v>438915.54</v>
      </c>
      <c r="U500" s="13">
        <f t="shared" si="7"/>
        <v>164456.34</v>
      </c>
      <c r="V500" s="13">
        <f t="shared" si="8"/>
        <v>274459.2</v>
      </c>
      <c r="W500" s="14">
        <f>Q500/totals!B$2</f>
        <v>0.0001024857508</v>
      </c>
      <c r="X500" s="14">
        <f t="shared" si="9"/>
        <v>0.3725282535</v>
      </c>
      <c r="Y500" s="14">
        <f>T500/totals!B$5</f>
        <v>0.0002578626148</v>
      </c>
      <c r="Z500" s="14">
        <f t="shared" si="10"/>
        <v>0.3668174887</v>
      </c>
      <c r="AA500" s="14">
        <f>V500/totals!B$4</f>
        <v>0.0005472650243</v>
      </c>
      <c r="AB500" s="14">
        <f t="shared" si="11"/>
        <v>0.3829804427</v>
      </c>
    </row>
    <row r="501">
      <c r="A501" s="7">
        <v>3127.0</v>
      </c>
      <c r="B501" s="7" t="str">
        <f>VLOOKUP($A501,product_category,2, False)</f>
        <v>Personal Care</v>
      </c>
      <c r="C501" s="7">
        <v>4.34485948E8</v>
      </c>
      <c r="D501" s="9">
        <v>40446.0</v>
      </c>
      <c r="E501" s="10">
        <f t="shared" si="1"/>
        <v>9</v>
      </c>
      <c r="F501" s="10" t="str">
        <f t="shared" si="2"/>
        <v>Sep</v>
      </c>
      <c r="G501" s="11">
        <f t="shared" si="3"/>
        <v>25</v>
      </c>
      <c r="H501" s="7">
        <f t="shared" si="4"/>
        <v>2010</v>
      </c>
      <c r="I501" s="9">
        <v>40485.0</v>
      </c>
      <c r="J501" s="11">
        <f t="shared" si="5"/>
        <v>39</v>
      </c>
      <c r="K501" s="7" t="s">
        <v>322</v>
      </c>
      <c r="L501" s="7" t="s">
        <v>642</v>
      </c>
      <c r="M501" s="7" t="str">
        <f>VLOOKUP(L501,countries, 2,false)</f>
        <v>San Marino</v>
      </c>
      <c r="N501" s="7" t="str">
        <f>VLOOKUP(L501,countries, 4,false)</f>
        <v>Europe</v>
      </c>
      <c r="O501" s="7" t="str">
        <f>VLOOKUP(L501,countries, 5,false)</f>
        <v>Southern Europe</v>
      </c>
      <c r="P501" s="7" t="s">
        <v>129</v>
      </c>
      <c r="Q501" s="7">
        <v>2902.0</v>
      </c>
      <c r="R501" s="12">
        <v>81.73</v>
      </c>
      <c r="S501" s="12">
        <v>56.67</v>
      </c>
      <c r="T501" s="13">
        <f t="shared" si="6"/>
        <v>237180.46</v>
      </c>
      <c r="U501" s="13">
        <f t="shared" si="7"/>
        <v>69906.21</v>
      </c>
      <c r="V501" s="13">
        <f t="shared" si="8"/>
        <v>167274.25</v>
      </c>
      <c r="W501" s="14">
        <f>Q501/totals!B$2</f>
        <v>0.0004412665414</v>
      </c>
      <c r="X501" s="14">
        <f t="shared" si="9"/>
        <v>0.3729695201</v>
      </c>
      <c r="Y501" s="14">
        <f>T501/totals!B$5</f>
        <v>0.0001393433771</v>
      </c>
      <c r="Z501" s="14">
        <f t="shared" si="10"/>
        <v>0.3669568321</v>
      </c>
      <c r="AA501" s="14">
        <f>V501/totals!B$4</f>
        <v>0.0003335408195</v>
      </c>
      <c r="AB501" s="14">
        <f t="shared" si="11"/>
        <v>0.3833139835</v>
      </c>
    </row>
    <row r="502">
      <c r="A502" s="7">
        <v>1270.0</v>
      </c>
      <c r="B502" s="7" t="str">
        <f>VLOOKUP($A502,product_category,2, False)</f>
        <v>Beverages</v>
      </c>
      <c r="C502" s="7">
        <v>4.35463559E8</v>
      </c>
      <c r="D502" s="9">
        <v>41568.0</v>
      </c>
      <c r="E502" s="10">
        <f t="shared" si="1"/>
        <v>10</v>
      </c>
      <c r="F502" s="10" t="str">
        <f t="shared" si="2"/>
        <v>Oct</v>
      </c>
      <c r="G502" s="11">
        <f t="shared" si="3"/>
        <v>21</v>
      </c>
      <c r="H502" s="7">
        <f t="shared" si="4"/>
        <v>2013</v>
      </c>
      <c r="I502" s="9">
        <v>41574.0</v>
      </c>
      <c r="J502" s="11">
        <f t="shared" si="5"/>
        <v>6</v>
      </c>
      <c r="K502" s="7" t="s">
        <v>198</v>
      </c>
      <c r="L502" s="7" t="s">
        <v>478</v>
      </c>
      <c r="M502" s="7" t="str">
        <f>VLOOKUP(L502,countries, 2,false)</f>
        <v>Malta</v>
      </c>
      <c r="N502" s="7" t="str">
        <f>VLOOKUP(L502,countries, 4,false)</f>
        <v>Europe</v>
      </c>
      <c r="O502" s="7" t="str">
        <f>VLOOKUP(L502,countries, 5,false)</f>
        <v>Southern Europe</v>
      </c>
      <c r="P502" s="7" t="s">
        <v>129</v>
      </c>
      <c r="Q502" s="7">
        <v>2199.0</v>
      </c>
      <c r="R502" s="12">
        <v>47.45</v>
      </c>
      <c r="S502" s="12">
        <v>31.79</v>
      </c>
      <c r="T502" s="13">
        <f t="shared" si="6"/>
        <v>104342.55</v>
      </c>
      <c r="U502" s="13">
        <f t="shared" si="7"/>
        <v>12366.31</v>
      </c>
      <c r="V502" s="13">
        <f t="shared" si="8"/>
        <v>91976.24</v>
      </c>
      <c r="W502" s="14">
        <f>Q502/totals!B$2</f>
        <v>0.0003343711663</v>
      </c>
      <c r="X502" s="14">
        <f t="shared" si="9"/>
        <v>0.3733038912</v>
      </c>
      <c r="Y502" s="14">
        <f>T502/totals!B$5</f>
        <v>0.00006130118515</v>
      </c>
      <c r="Z502" s="14">
        <f t="shared" si="10"/>
        <v>0.3670181333</v>
      </c>
      <c r="AA502" s="14">
        <f>V502/totals!B$4</f>
        <v>0.0001833984039</v>
      </c>
      <c r="AB502" s="14">
        <f t="shared" si="11"/>
        <v>0.3834973819</v>
      </c>
    </row>
    <row r="503">
      <c r="A503" s="7">
        <v>1270.0</v>
      </c>
      <c r="B503" s="7" t="str">
        <f>VLOOKUP($A503,product_category,2, False)</f>
        <v>Beverages</v>
      </c>
      <c r="C503" s="7">
        <v>4.36606395E8</v>
      </c>
      <c r="D503" s="9">
        <v>41582.0</v>
      </c>
      <c r="E503" s="10">
        <f t="shared" si="1"/>
        <v>11</v>
      </c>
      <c r="F503" s="10" t="str">
        <f t="shared" si="2"/>
        <v>Nov</v>
      </c>
      <c r="G503" s="11">
        <f t="shared" si="3"/>
        <v>4</v>
      </c>
      <c r="H503" s="7">
        <f t="shared" si="4"/>
        <v>2013</v>
      </c>
      <c r="I503" s="9">
        <v>41611.0</v>
      </c>
      <c r="J503" s="11">
        <f t="shared" si="5"/>
        <v>29</v>
      </c>
      <c r="K503" s="7" t="s">
        <v>198</v>
      </c>
      <c r="L503" s="7" t="e">
        <v>#N/A</v>
      </c>
      <c r="M503" s="7"/>
      <c r="N503" s="7"/>
      <c r="O503" s="7"/>
      <c r="P503" s="7" t="s">
        <v>212</v>
      </c>
      <c r="Q503" s="7">
        <v>389.0</v>
      </c>
      <c r="R503" s="12">
        <v>47.45</v>
      </c>
      <c r="S503" s="12">
        <v>31.79</v>
      </c>
      <c r="T503" s="13">
        <f t="shared" si="6"/>
        <v>18458.05</v>
      </c>
      <c r="U503" s="13">
        <f t="shared" si="7"/>
        <v>2808477.69</v>
      </c>
      <c r="V503" s="13">
        <f t="shared" si="8"/>
        <v>-2790019.64</v>
      </c>
      <c r="W503" s="14">
        <f>Q503/totals!B$2</f>
        <v>0.00005914978794</v>
      </c>
      <c r="X503" s="14">
        <f t="shared" si="9"/>
        <v>0.373363041</v>
      </c>
      <c r="Y503" s="14">
        <f>T503/totals!B$5</f>
        <v>0.00001084409323</v>
      </c>
      <c r="Z503" s="14">
        <f t="shared" si="10"/>
        <v>0.3670289774</v>
      </c>
      <c r="AA503" s="14">
        <f>V503/totals!B$4</f>
        <v>-0.005563231861</v>
      </c>
      <c r="AB503" s="14">
        <f t="shared" si="11"/>
        <v>0.37793415</v>
      </c>
    </row>
    <row r="504">
      <c r="A504" s="7">
        <v>8875.0</v>
      </c>
      <c r="B504" s="7" t="str">
        <f>VLOOKUP($A504,product_category,2, False)</f>
        <v>Meat</v>
      </c>
      <c r="C504" s="7">
        <v>4.36969029E8</v>
      </c>
      <c r="D504" s="9">
        <v>40876.0</v>
      </c>
      <c r="E504" s="10">
        <f t="shared" si="1"/>
        <v>11</v>
      </c>
      <c r="F504" s="10" t="str">
        <f t="shared" si="2"/>
        <v>Nov</v>
      </c>
      <c r="G504" s="11">
        <f t="shared" si="3"/>
        <v>29</v>
      </c>
      <c r="H504" s="7">
        <f t="shared" si="4"/>
        <v>2011</v>
      </c>
      <c r="I504" s="9">
        <v>40894.0</v>
      </c>
      <c r="J504" s="11">
        <f t="shared" si="5"/>
        <v>18</v>
      </c>
      <c r="K504" s="7" t="s">
        <v>198</v>
      </c>
      <c r="L504" s="7" t="s">
        <v>540</v>
      </c>
      <c r="M504" s="7" t="str">
        <f>VLOOKUP(L504,countries, 2,false)</f>
        <v>Spain</v>
      </c>
      <c r="N504" s="7" t="str">
        <f>VLOOKUP(L504,countries, 4,false)</f>
        <v>Europe</v>
      </c>
      <c r="O504" s="7" t="str">
        <f>VLOOKUP(L504,countries, 5,false)</f>
        <v>Southern Europe</v>
      </c>
      <c r="P504" s="7" t="s">
        <v>212</v>
      </c>
      <c r="Q504" s="7">
        <v>7701.0</v>
      </c>
      <c r="R504" s="12">
        <v>421.89</v>
      </c>
      <c r="S504" s="12">
        <v>364.69</v>
      </c>
      <c r="T504" s="13">
        <f t="shared" si="6"/>
        <v>3248974.89</v>
      </c>
      <c r="U504" s="13">
        <f t="shared" si="7"/>
        <v>540470.58</v>
      </c>
      <c r="V504" s="13">
        <f t="shared" si="8"/>
        <v>2708504.31</v>
      </c>
      <c r="W504" s="14">
        <f>Q504/totals!B$2</f>
        <v>0.001170983334</v>
      </c>
      <c r="X504" s="14">
        <f t="shared" si="9"/>
        <v>0.3745340244</v>
      </c>
      <c r="Y504" s="14">
        <f>T504/totals!B$5</f>
        <v>0.001908770787</v>
      </c>
      <c r="Z504" s="14">
        <f t="shared" si="10"/>
        <v>0.3689377482</v>
      </c>
      <c r="AA504" s="14">
        <f>V504/totals!B$4</f>
        <v>0.005400692259</v>
      </c>
      <c r="AB504" s="14">
        <f t="shared" si="11"/>
        <v>0.3833348423</v>
      </c>
    </row>
    <row r="505">
      <c r="A505" s="7">
        <v>8875.0</v>
      </c>
      <c r="B505" s="7" t="str">
        <f>VLOOKUP($A505,product_category,2, False)</f>
        <v>Meat</v>
      </c>
      <c r="C505" s="7">
        <v>4.37083184E8</v>
      </c>
      <c r="D505" s="9">
        <v>42022.0</v>
      </c>
      <c r="E505" s="10">
        <f t="shared" si="1"/>
        <v>1</v>
      </c>
      <c r="F505" s="10" t="str">
        <f t="shared" si="2"/>
        <v>Jan</v>
      </c>
      <c r="G505" s="11">
        <f t="shared" si="3"/>
        <v>18</v>
      </c>
      <c r="H505" s="7">
        <f t="shared" si="4"/>
        <v>2015</v>
      </c>
      <c r="I505" s="9">
        <v>42054.0</v>
      </c>
      <c r="J505" s="11">
        <f t="shared" si="5"/>
        <v>32</v>
      </c>
      <c r="K505" s="7" t="s">
        <v>198</v>
      </c>
      <c r="L505" s="7" t="s">
        <v>702</v>
      </c>
      <c r="M505" s="7" t="str">
        <f>VLOOKUP(L505,countries, 2,false)</f>
        <v>Sweden</v>
      </c>
      <c r="N505" s="7" t="str">
        <f>VLOOKUP(L505,countries, 4,false)</f>
        <v>Europe</v>
      </c>
      <c r="O505" s="7" t="str">
        <f>VLOOKUP(L505,countries, 5,false)</f>
        <v>Northern Europe</v>
      </c>
      <c r="P505" s="7" t="s">
        <v>129</v>
      </c>
      <c r="Q505" s="7">
        <v>1482.0</v>
      </c>
      <c r="R505" s="12">
        <v>421.89</v>
      </c>
      <c r="S505" s="12">
        <v>364.69</v>
      </c>
      <c r="T505" s="13">
        <f t="shared" si="6"/>
        <v>625240.98</v>
      </c>
      <c r="U505" s="13">
        <f t="shared" si="7"/>
        <v>551023.2</v>
      </c>
      <c r="V505" s="13">
        <f t="shared" si="8"/>
        <v>74217.78</v>
      </c>
      <c r="W505" s="14">
        <f>Q505/totals!B$2</f>
        <v>0.000225347007</v>
      </c>
      <c r="X505" s="14">
        <f t="shared" si="9"/>
        <v>0.3747593714</v>
      </c>
      <c r="Y505" s="14">
        <f>T505/totals!B$5</f>
        <v>0.0003673286984</v>
      </c>
      <c r="Z505" s="14">
        <f t="shared" si="10"/>
        <v>0.3693050769</v>
      </c>
      <c r="AA505" s="14">
        <f>V505/totals!B$4</f>
        <v>0.000147988463</v>
      </c>
      <c r="AB505" s="14">
        <f t="shared" si="11"/>
        <v>0.3834828308</v>
      </c>
    </row>
    <row r="506">
      <c r="A506" s="7">
        <v>8969.0</v>
      </c>
      <c r="B506" s="7" t="str">
        <f>VLOOKUP($A506,product_category,2, False)</f>
        <v>Snacks</v>
      </c>
      <c r="C506" s="7">
        <v>4.37604176E8</v>
      </c>
      <c r="D506" s="9">
        <v>41326.0</v>
      </c>
      <c r="E506" s="10">
        <f t="shared" si="1"/>
        <v>2</v>
      </c>
      <c r="F506" s="10" t="str">
        <f t="shared" si="2"/>
        <v>Feb</v>
      </c>
      <c r="G506" s="11">
        <f t="shared" si="3"/>
        <v>21</v>
      </c>
      <c r="H506" s="7">
        <f t="shared" si="4"/>
        <v>2013</v>
      </c>
      <c r="I506" s="9">
        <v>41371.0</v>
      </c>
      <c r="J506" s="11">
        <f t="shared" si="5"/>
        <v>45</v>
      </c>
      <c r="K506" s="7" t="s">
        <v>322</v>
      </c>
      <c r="L506" s="7" t="s">
        <v>454</v>
      </c>
      <c r="M506" s="7" t="str">
        <f>VLOOKUP(L506,countries, 2,false)</f>
        <v>Luxembourg</v>
      </c>
      <c r="N506" s="7" t="str">
        <f>VLOOKUP(L506,countries, 4,false)</f>
        <v>Europe</v>
      </c>
      <c r="O506" s="7" t="str">
        <f>VLOOKUP(L506,countries, 5,false)</f>
        <v>Western Europe</v>
      </c>
      <c r="P506" s="7" t="s">
        <v>129</v>
      </c>
      <c r="Q506" s="7">
        <v>5655.0</v>
      </c>
      <c r="R506" s="12">
        <v>152.58</v>
      </c>
      <c r="S506" s="12">
        <v>97.44</v>
      </c>
      <c r="T506" s="13">
        <f t="shared" si="6"/>
        <v>862839.9</v>
      </c>
      <c r="U506" s="13">
        <f t="shared" si="7"/>
        <v>293380.59</v>
      </c>
      <c r="V506" s="13">
        <f t="shared" si="8"/>
        <v>569459.31</v>
      </c>
      <c r="W506" s="14">
        <f>Q506/totals!B$2</f>
        <v>0.0008598767373</v>
      </c>
      <c r="X506" s="14">
        <f t="shared" si="9"/>
        <v>0.3756192481</v>
      </c>
      <c r="Y506" s="14">
        <f>T506/totals!B$5</f>
        <v>0.0005069179205</v>
      </c>
      <c r="Z506" s="14">
        <f t="shared" si="10"/>
        <v>0.3698119948</v>
      </c>
      <c r="AA506" s="14">
        <f>V506/totals!B$4</f>
        <v>0.001135488128</v>
      </c>
      <c r="AB506" s="14">
        <f t="shared" si="11"/>
        <v>0.3846183189</v>
      </c>
    </row>
    <row r="507">
      <c r="A507" s="7">
        <v>3127.0</v>
      </c>
      <c r="B507" s="7" t="str">
        <f>VLOOKUP($A507,product_category,2, False)</f>
        <v>Personal Care</v>
      </c>
      <c r="C507" s="7">
        <v>4.38683927E8</v>
      </c>
      <c r="D507" s="9">
        <v>40707.0</v>
      </c>
      <c r="E507" s="10">
        <f t="shared" si="1"/>
        <v>6</v>
      </c>
      <c r="F507" s="10" t="str">
        <f t="shared" si="2"/>
        <v>Jun</v>
      </c>
      <c r="G507" s="11">
        <f t="shared" si="3"/>
        <v>13</v>
      </c>
      <c r="H507" s="7">
        <f t="shared" si="4"/>
        <v>2011</v>
      </c>
      <c r="I507" s="9">
        <v>40753.0</v>
      </c>
      <c r="J507" s="11">
        <f t="shared" si="5"/>
        <v>46</v>
      </c>
      <c r="K507" s="7" t="s">
        <v>322</v>
      </c>
      <c r="L507" s="7" t="s">
        <v>609</v>
      </c>
      <c r="M507" s="7" t="str">
        <f>VLOOKUP(L507,countries, 2,false)</f>
        <v>Romania</v>
      </c>
      <c r="N507" s="7" t="str">
        <f>VLOOKUP(L507,countries, 4,false)</f>
        <v>Europe</v>
      </c>
      <c r="O507" s="7" t="str">
        <f>VLOOKUP(L507,countries, 5,false)</f>
        <v>Eastern Europe</v>
      </c>
      <c r="P507" s="7" t="s">
        <v>129</v>
      </c>
      <c r="Q507" s="7">
        <v>5177.0</v>
      </c>
      <c r="R507" s="12">
        <v>81.73</v>
      </c>
      <c r="S507" s="12">
        <v>56.67</v>
      </c>
      <c r="T507" s="13">
        <f t="shared" si="6"/>
        <v>423116.21</v>
      </c>
      <c r="U507" s="13">
        <f t="shared" si="7"/>
        <v>144735.18</v>
      </c>
      <c r="V507" s="13">
        <f t="shared" si="8"/>
        <v>278381.03</v>
      </c>
      <c r="W507" s="14">
        <f>Q507/totals!B$2</f>
        <v>0.0007871939645</v>
      </c>
      <c r="X507" s="14">
        <f t="shared" si="9"/>
        <v>0.3764064421</v>
      </c>
      <c r="Y507" s="14">
        <f>T507/totals!B$5</f>
        <v>0.000248580518</v>
      </c>
      <c r="Z507" s="14">
        <f t="shared" si="10"/>
        <v>0.3700605753</v>
      </c>
      <c r="AA507" s="14">
        <f>V507/totals!B$4</f>
        <v>0.0005550850587</v>
      </c>
      <c r="AB507" s="14">
        <f t="shared" si="11"/>
        <v>0.385173404</v>
      </c>
    </row>
    <row r="508">
      <c r="A508" s="7">
        <v>3127.0</v>
      </c>
      <c r="B508" s="7" t="str">
        <f>VLOOKUP($A508,product_category,2, False)</f>
        <v>Personal Care</v>
      </c>
      <c r="C508" s="7">
        <v>4.39114367E8</v>
      </c>
      <c r="D508" s="9">
        <v>41077.0</v>
      </c>
      <c r="E508" s="10">
        <f t="shared" si="1"/>
        <v>6</v>
      </c>
      <c r="F508" s="10" t="str">
        <f t="shared" si="2"/>
        <v>Jun</v>
      </c>
      <c r="G508" s="11">
        <f t="shared" si="3"/>
        <v>17</v>
      </c>
      <c r="H508" s="7">
        <f t="shared" si="4"/>
        <v>2012</v>
      </c>
      <c r="I508" s="9">
        <v>41086.0</v>
      </c>
      <c r="J508" s="11">
        <f t="shared" si="5"/>
        <v>9</v>
      </c>
      <c r="K508" s="7" t="s">
        <v>110</v>
      </c>
      <c r="L508" s="7" t="s">
        <v>762</v>
      </c>
      <c r="M508" s="7" t="str">
        <f>VLOOKUP(L508,countries, 2,false)</f>
        <v>United Kingdom</v>
      </c>
      <c r="N508" s="7" t="str">
        <f>VLOOKUP(L508,countries, 4,false)</f>
        <v>Europe</v>
      </c>
      <c r="O508" s="7" t="str">
        <f>VLOOKUP(L508,countries, 5,false)</f>
        <v>Northern Europe</v>
      </c>
      <c r="P508" s="7" t="s">
        <v>129</v>
      </c>
      <c r="Q508" s="7">
        <v>2554.0</v>
      </c>
      <c r="R508" s="12">
        <v>81.73</v>
      </c>
      <c r="S508" s="12">
        <v>56.67</v>
      </c>
      <c r="T508" s="13">
        <f t="shared" si="6"/>
        <v>208738.42</v>
      </c>
      <c r="U508" s="13">
        <f t="shared" si="7"/>
        <v>297236.5</v>
      </c>
      <c r="V508" s="13">
        <f t="shared" si="8"/>
        <v>-88498.08</v>
      </c>
      <c r="W508" s="14">
        <f>Q508/totals!B$2</f>
        <v>0.0003883510499</v>
      </c>
      <c r="X508" s="14">
        <f t="shared" si="9"/>
        <v>0.3767947931</v>
      </c>
      <c r="Y508" s="14">
        <f>T508/totals!B$5</f>
        <v>0.0001226336958</v>
      </c>
      <c r="Z508" s="14">
        <f t="shared" si="10"/>
        <v>0.370183209</v>
      </c>
      <c r="AA508" s="14">
        <f>V508/totals!B$4</f>
        <v>-0.0001764630368</v>
      </c>
      <c r="AB508" s="14">
        <f t="shared" si="11"/>
        <v>0.3849969409</v>
      </c>
    </row>
    <row r="509">
      <c r="A509" s="7">
        <v>1270.0</v>
      </c>
      <c r="B509" s="7" t="str">
        <f>VLOOKUP($A509,product_category,2, False)</f>
        <v>Beverages</v>
      </c>
      <c r="C509" s="7">
        <v>4.39204919E8</v>
      </c>
      <c r="D509" s="9">
        <v>42777.0</v>
      </c>
      <c r="E509" s="10">
        <f t="shared" si="1"/>
        <v>2</v>
      </c>
      <c r="F509" s="10" t="str">
        <f t="shared" si="2"/>
        <v>Feb</v>
      </c>
      <c r="G509" s="11">
        <f t="shared" si="3"/>
        <v>11</v>
      </c>
      <c r="H509" s="7">
        <f t="shared" si="4"/>
        <v>2017</v>
      </c>
      <c r="I509" s="9">
        <v>42785.0</v>
      </c>
      <c r="J509" s="11">
        <f t="shared" si="5"/>
        <v>8</v>
      </c>
      <c r="K509" s="7" t="s">
        <v>322</v>
      </c>
      <c r="L509" s="7" t="s">
        <v>367</v>
      </c>
      <c r="M509" s="7" t="str">
        <f>VLOOKUP(L509,countries, 2,false)</f>
        <v>Iceland</v>
      </c>
      <c r="N509" s="7" t="str">
        <f>VLOOKUP(L509,countries, 4,false)</f>
        <v>Europe</v>
      </c>
      <c r="O509" s="7" t="str">
        <f>VLOOKUP(L509,countries, 5,false)</f>
        <v>Northern Europe</v>
      </c>
      <c r="P509" s="7" t="s">
        <v>129</v>
      </c>
      <c r="Q509" s="7">
        <v>9350.0</v>
      </c>
      <c r="R509" s="12">
        <v>47.45</v>
      </c>
      <c r="S509" s="12">
        <v>31.79</v>
      </c>
      <c r="T509" s="13">
        <f t="shared" si="6"/>
        <v>443657.5</v>
      </c>
      <c r="U509" s="13">
        <f t="shared" si="7"/>
        <v>951401.64</v>
      </c>
      <c r="V509" s="13">
        <f t="shared" si="8"/>
        <v>-507744.14</v>
      </c>
      <c r="W509" s="14">
        <f>Q509/totals!B$2</f>
        <v>0.001421723695</v>
      </c>
      <c r="X509" s="14">
        <f t="shared" si="9"/>
        <v>0.3782165168</v>
      </c>
      <c r="Y509" s="14">
        <f>T509/totals!B$5</f>
        <v>0.0002606485135</v>
      </c>
      <c r="Z509" s="14">
        <f t="shared" si="10"/>
        <v>0.3704438575</v>
      </c>
      <c r="AA509" s="14">
        <f>V509/totals!B$4</f>
        <v>-0.001012429567</v>
      </c>
      <c r="AB509" s="14">
        <f t="shared" si="11"/>
        <v>0.3839845113</v>
      </c>
    </row>
    <row r="510">
      <c r="A510" s="7">
        <v>2103.0</v>
      </c>
      <c r="B510" s="7" t="str">
        <f>VLOOKUP($A510,product_category,2, False)</f>
        <v>Cereal</v>
      </c>
      <c r="C510" s="7">
        <v>4.3964008E8</v>
      </c>
      <c r="D510" s="9">
        <v>40823.0</v>
      </c>
      <c r="E510" s="10">
        <f t="shared" si="1"/>
        <v>10</v>
      </c>
      <c r="F510" s="10" t="str">
        <f t="shared" si="2"/>
        <v>Oct</v>
      </c>
      <c r="G510" s="11">
        <f t="shared" si="3"/>
        <v>7</v>
      </c>
      <c r="H510" s="7">
        <f t="shared" si="4"/>
        <v>2011</v>
      </c>
      <c r="I510" s="9">
        <v>40849.0</v>
      </c>
      <c r="J510" s="11">
        <f t="shared" si="5"/>
        <v>26</v>
      </c>
      <c r="K510" s="7" t="s">
        <v>322</v>
      </c>
      <c r="L510" s="7" t="s">
        <v>594</v>
      </c>
      <c r="M510" s="7" t="str">
        <f>VLOOKUP(L510,countries, 2,false)</f>
        <v>Poland</v>
      </c>
      <c r="N510" s="7" t="str">
        <f>VLOOKUP(L510,countries, 4,false)</f>
        <v>Europe</v>
      </c>
      <c r="O510" s="7" t="str">
        <f>VLOOKUP(L510,countries, 5,false)</f>
        <v>Eastern Europe</v>
      </c>
      <c r="P510" s="7" t="s">
        <v>129</v>
      </c>
      <c r="Q510" s="7">
        <v>8124.0</v>
      </c>
      <c r="R510" s="12">
        <v>205.7</v>
      </c>
      <c r="S510" s="12">
        <v>117.11</v>
      </c>
      <c r="T510" s="13">
        <f t="shared" si="6"/>
        <v>1671106.8</v>
      </c>
      <c r="U510" s="13">
        <f t="shared" si="7"/>
        <v>24386.08</v>
      </c>
      <c r="V510" s="13">
        <f t="shared" si="8"/>
        <v>1646720.72</v>
      </c>
      <c r="W510" s="14">
        <f>Q510/totals!B$2</f>
        <v>0.001235303026</v>
      </c>
      <c r="X510" s="14">
        <f t="shared" si="9"/>
        <v>0.3794518198</v>
      </c>
      <c r="Y510" s="14">
        <f>T510/totals!B$5</f>
        <v>0.0009817742364</v>
      </c>
      <c r="Z510" s="14">
        <f t="shared" si="10"/>
        <v>0.3714256318</v>
      </c>
      <c r="AA510" s="14">
        <f>V510/totals!B$4</f>
        <v>0.003283521393</v>
      </c>
      <c r="AB510" s="14">
        <f t="shared" si="11"/>
        <v>0.3872680327</v>
      </c>
    </row>
    <row r="511">
      <c r="A511" s="7">
        <v>4594.0</v>
      </c>
      <c r="B511" s="7" t="str">
        <f>VLOOKUP($A511,product_category,2, False)</f>
        <v>Fruits</v>
      </c>
      <c r="C511" s="7">
        <v>4.39725911E8</v>
      </c>
      <c r="D511" s="9">
        <v>42080.0</v>
      </c>
      <c r="E511" s="10">
        <f t="shared" si="1"/>
        <v>3</v>
      </c>
      <c r="F511" s="10" t="str">
        <f t="shared" si="2"/>
        <v>Mar</v>
      </c>
      <c r="G511" s="11">
        <f t="shared" si="3"/>
        <v>17</v>
      </c>
      <c r="H511" s="7">
        <f t="shared" si="4"/>
        <v>2015</v>
      </c>
      <c r="I511" s="9">
        <v>42101.0</v>
      </c>
      <c r="J511" s="11">
        <f t="shared" si="5"/>
        <v>21</v>
      </c>
      <c r="K511" s="7" t="s">
        <v>322</v>
      </c>
      <c r="L511" s="7" t="s">
        <v>77</v>
      </c>
      <c r="M511" s="7" t="str">
        <f>VLOOKUP(L511,countries, 2,false)</f>
        <v>Armenia</v>
      </c>
      <c r="N511" s="7" t="str">
        <f>VLOOKUP(L511,countries, 4,false)</f>
        <v>Asia</v>
      </c>
      <c r="O511" s="7" t="str">
        <f>VLOOKUP(L511,countries, 5,false)</f>
        <v>Western Asia</v>
      </c>
      <c r="P511" s="7" t="s">
        <v>212</v>
      </c>
      <c r="Q511" s="7">
        <v>3524.0</v>
      </c>
      <c r="R511" s="12">
        <v>9.33</v>
      </c>
      <c r="S511" s="12">
        <v>6.92</v>
      </c>
      <c r="T511" s="13">
        <f t="shared" si="6"/>
        <v>32878.92</v>
      </c>
      <c r="U511" s="13">
        <f t="shared" si="7"/>
        <v>112709.94</v>
      </c>
      <c r="V511" s="13">
        <f t="shared" si="8"/>
        <v>-79831.02</v>
      </c>
      <c r="W511" s="14">
        <f>Q511/totals!B$2</f>
        <v>0.0005358453797</v>
      </c>
      <c r="X511" s="14">
        <f t="shared" si="9"/>
        <v>0.3799876652</v>
      </c>
      <c r="Y511" s="14">
        <f>T511/totals!B$5</f>
        <v>0.00001931634566</v>
      </c>
      <c r="Z511" s="14">
        <f t="shared" si="10"/>
        <v>0.3714449481</v>
      </c>
      <c r="AA511" s="14">
        <f>V511/totals!B$4</f>
        <v>-0.0001591811282</v>
      </c>
      <c r="AB511" s="14">
        <f t="shared" si="11"/>
        <v>0.3871088516</v>
      </c>
    </row>
    <row r="512">
      <c r="A512" s="7">
        <v>7331.0</v>
      </c>
      <c r="B512" s="7" t="str">
        <f>VLOOKUP($A512,product_category,2, False)</f>
        <v>Baby Food</v>
      </c>
      <c r="C512" s="7">
        <v>4.42318427E8</v>
      </c>
      <c r="D512" s="9">
        <v>40448.0</v>
      </c>
      <c r="E512" s="10">
        <f t="shared" si="1"/>
        <v>9</v>
      </c>
      <c r="F512" s="10" t="str">
        <f t="shared" si="2"/>
        <v>Sep</v>
      </c>
      <c r="G512" s="11">
        <f t="shared" si="3"/>
        <v>27</v>
      </c>
      <c r="H512" s="7">
        <f t="shared" si="4"/>
        <v>2010</v>
      </c>
      <c r="I512" s="9">
        <v>40459.0</v>
      </c>
      <c r="J512" s="11">
        <f t="shared" si="5"/>
        <v>11</v>
      </c>
      <c r="K512" s="7" t="s">
        <v>382</v>
      </c>
      <c r="L512" s="7" t="s">
        <v>56</v>
      </c>
      <c r="M512" s="7" t="str">
        <f>VLOOKUP(L512,countries, 2,false)</f>
        <v>Andorra</v>
      </c>
      <c r="N512" s="7" t="str">
        <f>VLOOKUP(L512,countries, 4,false)</f>
        <v>Europe</v>
      </c>
      <c r="O512" s="7" t="str">
        <f>VLOOKUP(L512,countries, 5,false)</f>
        <v>Southern Europe</v>
      </c>
      <c r="P512" s="7" t="s">
        <v>129</v>
      </c>
      <c r="Q512" s="7">
        <v>707.0</v>
      </c>
      <c r="R512" s="12">
        <v>255.28</v>
      </c>
      <c r="S512" s="12">
        <v>159.42</v>
      </c>
      <c r="T512" s="13">
        <f t="shared" si="6"/>
        <v>180482.96</v>
      </c>
      <c r="U512" s="13">
        <f t="shared" si="7"/>
        <v>1122616.46</v>
      </c>
      <c r="V512" s="13">
        <f t="shared" si="8"/>
        <v>-942133.5</v>
      </c>
      <c r="W512" s="14">
        <f>Q512/totals!B$2</f>
        <v>0.0001075035992</v>
      </c>
      <c r="X512" s="14">
        <f t="shared" si="9"/>
        <v>0.3800951688</v>
      </c>
      <c r="Y512" s="14">
        <f>T512/totals!B$5</f>
        <v>0.0001060336301</v>
      </c>
      <c r="Z512" s="14">
        <f t="shared" si="10"/>
        <v>0.3715509817</v>
      </c>
      <c r="AA512" s="14">
        <f>V512/totals!B$4</f>
        <v>-0.001878591473</v>
      </c>
      <c r="AB512" s="14">
        <f t="shared" si="11"/>
        <v>0.3852302601</v>
      </c>
    </row>
    <row r="513">
      <c r="A513" s="7">
        <v>2103.0</v>
      </c>
      <c r="B513" s="7" t="str">
        <f>VLOOKUP($A513,product_category,2, False)</f>
        <v>Cereal</v>
      </c>
      <c r="C513" s="7">
        <v>4.43125665E8</v>
      </c>
      <c r="D513" s="9">
        <v>41440.0</v>
      </c>
      <c r="E513" s="10">
        <f t="shared" si="1"/>
        <v>6</v>
      </c>
      <c r="F513" s="10" t="str">
        <f t="shared" si="2"/>
        <v>Jun</v>
      </c>
      <c r="G513" s="11">
        <f t="shared" si="3"/>
        <v>15</v>
      </c>
      <c r="H513" s="7">
        <f t="shared" si="4"/>
        <v>2013</v>
      </c>
      <c r="I513" s="9">
        <v>41464.0</v>
      </c>
      <c r="J513" s="11">
        <f t="shared" si="5"/>
        <v>24</v>
      </c>
      <c r="K513" s="7" t="s">
        <v>110</v>
      </c>
      <c r="L513" s="7" t="s">
        <v>200</v>
      </c>
      <c r="M513" s="7" t="str">
        <f>VLOOKUP(L513,countries, 2,false)</f>
        <v>Serbia</v>
      </c>
      <c r="N513" s="7" t="str">
        <f>VLOOKUP(L513,countries, 4,false)</f>
        <v>Europe</v>
      </c>
      <c r="O513" s="7" t="str">
        <f>VLOOKUP(L513,countries, 5,false)</f>
        <v>Southern Europe</v>
      </c>
      <c r="P513" s="7" t="s">
        <v>212</v>
      </c>
      <c r="Q513" s="7">
        <v>9586.0</v>
      </c>
      <c r="R513" s="12">
        <v>205.7</v>
      </c>
      <c r="S513" s="12">
        <v>117.11</v>
      </c>
      <c r="T513" s="13">
        <f t="shared" si="6"/>
        <v>1971840.2</v>
      </c>
      <c r="U513" s="13">
        <f t="shared" si="7"/>
        <v>599134.76</v>
      </c>
      <c r="V513" s="13">
        <f t="shared" si="8"/>
        <v>1372705.44</v>
      </c>
      <c r="W513" s="14">
        <f>Q513/totals!B$2</f>
        <v>0.001457608913</v>
      </c>
      <c r="X513" s="14">
        <f t="shared" si="9"/>
        <v>0.3815527777</v>
      </c>
      <c r="Y513" s="14">
        <f>T513/totals!B$5</f>
        <v>0.001158454927</v>
      </c>
      <c r="Z513" s="14">
        <f t="shared" si="10"/>
        <v>0.3727094367</v>
      </c>
      <c r="AA513" s="14">
        <f>V513/totals!B$4</f>
        <v>0.002737141535</v>
      </c>
      <c r="AB513" s="14">
        <f t="shared" si="11"/>
        <v>0.3879674017</v>
      </c>
    </row>
    <row r="514">
      <c r="A514" s="7">
        <v>2103.0</v>
      </c>
      <c r="B514" s="7" t="str">
        <f>VLOOKUP($A514,product_category,2, False)</f>
        <v>Cereal</v>
      </c>
      <c r="C514" s="7">
        <v>4.43347108E8</v>
      </c>
      <c r="D514" s="9">
        <v>42083.0</v>
      </c>
      <c r="E514" s="10">
        <f t="shared" si="1"/>
        <v>3</v>
      </c>
      <c r="F514" s="10" t="str">
        <f t="shared" si="2"/>
        <v>Mar</v>
      </c>
      <c r="G514" s="11">
        <f t="shared" si="3"/>
        <v>20</v>
      </c>
      <c r="H514" s="7">
        <f t="shared" si="4"/>
        <v>2015</v>
      </c>
      <c r="I514" s="9">
        <v>42103.0</v>
      </c>
      <c r="J514" s="11">
        <f t="shared" si="5"/>
        <v>20</v>
      </c>
      <c r="K514" s="7" t="s">
        <v>110</v>
      </c>
      <c r="L514" s="7" t="s">
        <v>56</v>
      </c>
      <c r="M514" s="7" t="str">
        <f>VLOOKUP(L514,countries, 2,false)</f>
        <v>Andorra</v>
      </c>
      <c r="N514" s="7" t="str">
        <f>VLOOKUP(L514,countries, 4,false)</f>
        <v>Europe</v>
      </c>
      <c r="O514" s="7" t="str">
        <f>VLOOKUP(L514,countries, 5,false)</f>
        <v>Southern Europe</v>
      </c>
      <c r="P514" s="7" t="s">
        <v>212</v>
      </c>
      <c r="Q514" s="7">
        <v>5116.0</v>
      </c>
      <c r="R514" s="12">
        <v>205.7</v>
      </c>
      <c r="S514" s="12">
        <v>117.11</v>
      </c>
      <c r="T514" s="13">
        <f t="shared" si="6"/>
        <v>1052361.2</v>
      </c>
      <c r="U514" s="13">
        <f t="shared" si="7"/>
        <v>112345.86</v>
      </c>
      <c r="V514" s="13">
        <f t="shared" si="8"/>
        <v>940015.34</v>
      </c>
      <c r="W514" s="14">
        <f>Q514/totals!B$2</f>
        <v>0.0007779185479</v>
      </c>
      <c r="X514" s="14">
        <f t="shared" si="9"/>
        <v>0.3823306963</v>
      </c>
      <c r="Y514" s="14">
        <f>T514/totals!B$5</f>
        <v>0.0006182615698</v>
      </c>
      <c r="Z514" s="14">
        <f t="shared" si="10"/>
        <v>0.3733276982</v>
      </c>
      <c r="AA514" s="14">
        <f>V514/totals!B$4</f>
        <v>0.001874367913</v>
      </c>
      <c r="AB514" s="14">
        <f t="shared" si="11"/>
        <v>0.3898417696</v>
      </c>
    </row>
    <row r="515">
      <c r="A515" s="7">
        <v>1270.0</v>
      </c>
      <c r="B515" s="7" t="str">
        <f>VLOOKUP($A515,product_category,2, False)</f>
        <v>Beverages</v>
      </c>
      <c r="C515" s="7">
        <v>4.43544518E8</v>
      </c>
      <c r="D515" s="9">
        <v>42484.0</v>
      </c>
      <c r="E515" s="10">
        <f t="shared" si="1"/>
        <v>4</v>
      </c>
      <c r="F515" s="10" t="str">
        <f t="shared" si="2"/>
        <v>Apr</v>
      </c>
      <c r="G515" s="11">
        <f t="shared" si="3"/>
        <v>24</v>
      </c>
      <c r="H515" s="7">
        <f t="shared" si="4"/>
        <v>2016</v>
      </c>
      <c r="I515" s="9">
        <v>42488.0</v>
      </c>
      <c r="J515" s="11">
        <f t="shared" si="5"/>
        <v>4</v>
      </c>
      <c r="K515" s="7" t="s">
        <v>198</v>
      </c>
      <c r="L515" s="7" t="s">
        <v>56</v>
      </c>
      <c r="M515" s="7" t="str">
        <f>VLOOKUP(L515,countries, 2,false)</f>
        <v>Andorra</v>
      </c>
      <c r="N515" s="7" t="str">
        <f>VLOOKUP(L515,countries, 4,false)</f>
        <v>Europe</v>
      </c>
      <c r="O515" s="7" t="str">
        <f>VLOOKUP(L515,countries, 5,false)</f>
        <v>Southern Europe</v>
      </c>
      <c r="P515" s="7" t="s">
        <v>129</v>
      </c>
      <c r="Q515" s="7">
        <v>3534.0</v>
      </c>
      <c r="R515" s="12">
        <v>47.45</v>
      </c>
      <c r="S515" s="12">
        <v>31.79</v>
      </c>
      <c r="T515" s="13">
        <f t="shared" si="6"/>
        <v>167688.3</v>
      </c>
      <c r="U515" s="13">
        <f t="shared" si="7"/>
        <v>887331.72</v>
      </c>
      <c r="V515" s="13">
        <f t="shared" si="8"/>
        <v>-719643.42</v>
      </c>
      <c r="W515" s="14">
        <f>Q515/totals!B$2</f>
        <v>0.0005373659398</v>
      </c>
      <c r="X515" s="14">
        <f t="shared" si="9"/>
        <v>0.3828680622</v>
      </c>
      <c r="Y515" s="14">
        <f>T515/totals!B$5</f>
        <v>0.00009851677504</v>
      </c>
      <c r="Z515" s="14">
        <f t="shared" si="10"/>
        <v>0.373426215</v>
      </c>
      <c r="AA515" s="14">
        <f>V515/totals!B$4</f>
        <v>-0.00143495162</v>
      </c>
      <c r="AB515" s="14">
        <f t="shared" si="11"/>
        <v>0.388406818</v>
      </c>
    </row>
    <row r="516">
      <c r="A516" s="7">
        <v>7331.0</v>
      </c>
      <c r="B516" s="7" t="str">
        <f>VLOOKUP($A516,product_category,2, False)</f>
        <v>Baby Food</v>
      </c>
      <c r="C516" s="7">
        <v>4.43551385E8</v>
      </c>
      <c r="D516" s="9">
        <v>41367.0</v>
      </c>
      <c r="E516" s="10">
        <f t="shared" si="1"/>
        <v>4</v>
      </c>
      <c r="F516" s="10" t="str">
        <f t="shared" si="2"/>
        <v>Apr</v>
      </c>
      <c r="G516" s="11">
        <f t="shared" si="3"/>
        <v>3</v>
      </c>
      <c r="H516" s="7">
        <f t="shared" si="4"/>
        <v>2013</v>
      </c>
      <c r="I516" s="9">
        <v>41403.0</v>
      </c>
      <c r="J516" s="11">
        <f t="shared" si="5"/>
        <v>36</v>
      </c>
      <c r="K516" s="7" t="s">
        <v>322</v>
      </c>
      <c r="L516" s="7" t="s">
        <v>702</v>
      </c>
      <c r="M516" s="7" t="str">
        <f>VLOOKUP(L516,countries, 2,false)</f>
        <v>Sweden</v>
      </c>
      <c r="N516" s="7" t="str">
        <f>VLOOKUP(L516,countries, 4,false)</f>
        <v>Europe</v>
      </c>
      <c r="O516" s="7" t="str">
        <f>VLOOKUP(L516,countries, 5,false)</f>
        <v>Northern Europe</v>
      </c>
      <c r="P516" s="7" t="s">
        <v>129</v>
      </c>
      <c r="Q516" s="7">
        <v>5566.0</v>
      </c>
      <c r="R516" s="12">
        <v>255.28</v>
      </c>
      <c r="S516" s="12">
        <v>159.42</v>
      </c>
      <c r="T516" s="13">
        <f t="shared" si="6"/>
        <v>1420888.48</v>
      </c>
      <c r="U516" s="13">
        <f t="shared" si="7"/>
        <v>1214302.14</v>
      </c>
      <c r="V516" s="13">
        <f t="shared" si="8"/>
        <v>206586.34</v>
      </c>
      <c r="W516" s="14">
        <f>Q516/totals!B$2</f>
        <v>0.0008463437524</v>
      </c>
      <c r="X516" s="14">
        <f t="shared" si="9"/>
        <v>0.383714406</v>
      </c>
      <c r="Y516" s="14">
        <f>T516/totals!B$5</f>
        <v>0.0008347711244</v>
      </c>
      <c r="Z516" s="14">
        <f t="shared" si="10"/>
        <v>0.3742609861</v>
      </c>
      <c r="AA516" s="14">
        <f>V516/totals!B$4</f>
        <v>0.0004119281787</v>
      </c>
      <c r="AB516" s="14">
        <f t="shared" si="11"/>
        <v>0.3888187461</v>
      </c>
    </row>
    <row r="517">
      <c r="A517" s="7">
        <v>7331.0</v>
      </c>
      <c r="B517" s="7" t="str">
        <f>VLOOKUP($A517,product_category,2, False)</f>
        <v>Baby Food</v>
      </c>
      <c r="C517" s="7">
        <v>4.44234168E8</v>
      </c>
      <c r="D517" s="9">
        <v>41505.0</v>
      </c>
      <c r="E517" s="10">
        <f t="shared" si="1"/>
        <v>8</v>
      </c>
      <c r="F517" s="10" t="str">
        <f t="shared" si="2"/>
        <v>Aug</v>
      </c>
      <c r="G517" s="11">
        <f t="shared" si="3"/>
        <v>19</v>
      </c>
      <c r="H517" s="7">
        <f t="shared" si="4"/>
        <v>2013</v>
      </c>
      <c r="I517" s="9">
        <v>41544.0</v>
      </c>
      <c r="J517" s="11">
        <f t="shared" si="5"/>
        <v>39</v>
      </c>
      <c r="K517" s="7" t="s">
        <v>110</v>
      </c>
      <c r="L517" s="7" t="s">
        <v>316</v>
      </c>
      <c r="M517" s="7" t="str">
        <f>VLOOKUP(L517,countries, 2,false)</f>
        <v>Greece</v>
      </c>
      <c r="N517" s="7" t="str">
        <f>VLOOKUP(L517,countries, 4,false)</f>
        <v>Europe</v>
      </c>
      <c r="O517" s="7" t="str">
        <f>VLOOKUP(L517,countries, 5,false)</f>
        <v>Southern Europe</v>
      </c>
      <c r="P517" s="7" t="s">
        <v>129</v>
      </c>
      <c r="Q517" s="7">
        <v>7617.0</v>
      </c>
      <c r="R517" s="12">
        <v>255.28</v>
      </c>
      <c r="S517" s="12">
        <v>159.42</v>
      </c>
      <c r="T517" s="13">
        <f t="shared" si="6"/>
        <v>1944467.76</v>
      </c>
      <c r="U517" s="13">
        <f t="shared" si="7"/>
        <v>2384049.76</v>
      </c>
      <c r="V517" s="13">
        <f t="shared" si="8"/>
        <v>-439582</v>
      </c>
      <c r="W517" s="14">
        <f>Q517/totals!B$2</f>
        <v>0.001158210629</v>
      </c>
      <c r="X517" s="14">
        <f t="shared" si="9"/>
        <v>0.3848726166</v>
      </c>
      <c r="Y517" s="14">
        <f>T517/totals!B$5</f>
        <v>0.001142373635</v>
      </c>
      <c r="Z517" s="14">
        <f t="shared" si="10"/>
        <v>0.3754033598</v>
      </c>
      <c r="AA517" s="14">
        <f>V517/totals!B$4</f>
        <v>-0.0008765159043</v>
      </c>
      <c r="AB517" s="14">
        <f t="shared" si="11"/>
        <v>0.3879422302</v>
      </c>
    </row>
    <row r="518">
      <c r="A518" s="7">
        <v>7940.0</v>
      </c>
      <c r="B518" s="7" t="str">
        <f>VLOOKUP($A518,product_category,2, False)</f>
        <v>Household</v>
      </c>
      <c r="C518" s="7">
        <v>4.44798934E8</v>
      </c>
      <c r="D518" s="9">
        <v>41643.0</v>
      </c>
      <c r="E518" s="10">
        <f t="shared" si="1"/>
        <v>1</v>
      </c>
      <c r="F518" s="10" t="str">
        <f t="shared" si="2"/>
        <v>Jan</v>
      </c>
      <c r="G518" s="11">
        <f t="shared" si="3"/>
        <v>4</v>
      </c>
      <c r="H518" s="7">
        <f t="shared" si="4"/>
        <v>2014</v>
      </c>
      <c r="I518" s="9">
        <v>41659.0</v>
      </c>
      <c r="J518" s="11">
        <f t="shared" si="5"/>
        <v>16</v>
      </c>
      <c r="K518" s="7" t="s">
        <v>110</v>
      </c>
      <c r="L518" s="7" t="s">
        <v>597</v>
      </c>
      <c r="M518" s="7" t="str">
        <f>VLOOKUP(L518,countries, 2,false)</f>
        <v>Portugal</v>
      </c>
      <c r="N518" s="7" t="str">
        <f>VLOOKUP(L518,countries, 4,false)</f>
        <v>Europe</v>
      </c>
      <c r="O518" s="7" t="str">
        <f>VLOOKUP(L518,countries, 5,false)</f>
        <v>Southern Europe</v>
      </c>
      <c r="P518" s="7" t="s">
        <v>129</v>
      </c>
      <c r="Q518" s="7">
        <v>4744.0</v>
      </c>
      <c r="R518" s="12">
        <v>668.27</v>
      </c>
      <c r="S518" s="12">
        <v>502.54</v>
      </c>
      <c r="T518" s="13">
        <f t="shared" si="6"/>
        <v>3170272.88</v>
      </c>
      <c r="U518" s="13">
        <f t="shared" si="7"/>
        <v>808410.33</v>
      </c>
      <c r="V518" s="13">
        <f t="shared" si="8"/>
        <v>2361862.55</v>
      </c>
      <c r="W518" s="14">
        <f>Q518/totals!B$2</f>
        <v>0.0007213537121</v>
      </c>
      <c r="X518" s="14">
        <f t="shared" si="9"/>
        <v>0.3855939703</v>
      </c>
      <c r="Y518" s="14">
        <f>T518/totals!B$5</f>
        <v>0.001862533404</v>
      </c>
      <c r="Z518" s="14">
        <f t="shared" si="10"/>
        <v>0.3772658932</v>
      </c>
      <c r="AA518" s="14">
        <f>V518/totals!B$4</f>
        <v>0.004709496951</v>
      </c>
      <c r="AB518" s="14">
        <f t="shared" si="11"/>
        <v>0.3926517272</v>
      </c>
    </row>
    <row r="519">
      <c r="A519" s="7">
        <v>2103.0</v>
      </c>
      <c r="B519" s="7" t="str">
        <f>VLOOKUP($A519,product_category,2, False)</f>
        <v>Cereal</v>
      </c>
      <c r="C519" s="7">
        <v>4.4480623E8</v>
      </c>
      <c r="D519" s="9">
        <v>41321.0</v>
      </c>
      <c r="E519" s="10">
        <f t="shared" si="1"/>
        <v>2</v>
      </c>
      <c r="F519" s="10" t="str">
        <f t="shared" si="2"/>
        <v>Feb</v>
      </c>
      <c r="G519" s="11">
        <f t="shared" si="3"/>
        <v>16</v>
      </c>
      <c r="H519" s="7">
        <f t="shared" si="4"/>
        <v>2013</v>
      </c>
      <c r="I519" s="9">
        <v>41365.0</v>
      </c>
      <c r="J519" s="11">
        <f t="shared" si="5"/>
        <v>44</v>
      </c>
      <c r="K519" s="7" t="s">
        <v>382</v>
      </c>
      <c r="L519" s="7" t="s">
        <v>234</v>
      </c>
      <c r="M519" s="7" t="str">
        <f>VLOOKUP(L519,countries, 2,false)</f>
        <v>Czech Republic</v>
      </c>
      <c r="N519" s="7" t="str">
        <f>VLOOKUP(L519,countries, 4,false)</f>
        <v>Europe</v>
      </c>
      <c r="O519" s="7" t="str">
        <f>VLOOKUP(L519,countries, 5,false)</f>
        <v>Eastern Europe</v>
      </c>
      <c r="P519" s="7" t="s">
        <v>129</v>
      </c>
      <c r="Q519" s="7">
        <v>6903.0</v>
      </c>
      <c r="R519" s="12">
        <v>205.7</v>
      </c>
      <c r="S519" s="12">
        <v>117.11</v>
      </c>
      <c r="T519" s="13">
        <f t="shared" si="6"/>
        <v>1419947.1</v>
      </c>
      <c r="U519" s="13">
        <f t="shared" si="7"/>
        <v>2730316.96</v>
      </c>
      <c r="V519" s="13">
        <f t="shared" si="8"/>
        <v>-1310369.86</v>
      </c>
      <c r="W519" s="14">
        <f>Q519/totals!B$2</f>
        <v>0.001049642638</v>
      </c>
      <c r="X519" s="14">
        <f t="shared" si="9"/>
        <v>0.3866436129</v>
      </c>
      <c r="Y519" s="14">
        <f>T519/totals!B$5</f>
        <v>0.0008342180642</v>
      </c>
      <c r="Z519" s="14">
        <f t="shared" si="10"/>
        <v>0.3781001112</v>
      </c>
      <c r="AA519" s="14">
        <f>V519/totals!B$4</f>
        <v>-0.002612845892</v>
      </c>
      <c r="AB519" s="14">
        <f t="shared" si="11"/>
        <v>0.3900388813</v>
      </c>
    </row>
    <row r="520">
      <c r="A520" s="7">
        <v>8681.0</v>
      </c>
      <c r="B520" s="7" t="str">
        <f>VLOOKUP($A520,product_category,2, False)</f>
        <v>Office Supplies</v>
      </c>
      <c r="C520" s="7">
        <v>4.45273578E8</v>
      </c>
      <c r="D520" s="9">
        <v>40876.0</v>
      </c>
      <c r="E520" s="10">
        <f t="shared" si="1"/>
        <v>11</v>
      </c>
      <c r="F520" s="10" t="str">
        <f t="shared" si="2"/>
        <v>Nov</v>
      </c>
      <c r="G520" s="11">
        <f t="shared" si="3"/>
        <v>29</v>
      </c>
      <c r="H520" s="7">
        <f t="shared" si="4"/>
        <v>2011</v>
      </c>
      <c r="I520" s="9">
        <v>40917.0</v>
      </c>
      <c r="J520" s="11">
        <f t="shared" si="5"/>
        <v>41</v>
      </c>
      <c r="K520" s="7" t="s">
        <v>382</v>
      </c>
      <c r="L520" s="7" t="s">
        <v>283</v>
      </c>
      <c r="M520" s="7" t="str">
        <f>VLOOKUP(L520,countries, 2,false)</f>
        <v>Finland</v>
      </c>
      <c r="N520" s="7" t="str">
        <f>VLOOKUP(L520,countries, 4,false)</f>
        <v>Europe</v>
      </c>
      <c r="O520" s="7" t="str">
        <f>VLOOKUP(L520,countries, 5,false)</f>
        <v>Northern Europe</v>
      </c>
      <c r="P520" s="7" t="s">
        <v>212</v>
      </c>
      <c r="Q520" s="7">
        <v>5201.0</v>
      </c>
      <c r="R520" s="12">
        <v>651.21</v>
      </c>
      <c r="S520" s="12">
        <v>524.96</v>
      </c>
      <c r="T520" s="13">
        <f t="shared" si="6"/>
        <v>3386943.21</v>
      </c>
      <c r="U520" s="13">
        <f t="shared" si="7"/>
        <v>225263.25</v>
      </c>
      <c r="V520" s="13">
        <f t="shared" si="8"/>
        <v>3161679.96</v>
      </c>
      <c r="W520" s="14">
        <f>Q520/totals!B$2</f>
        <v>0.0007908433087</v>
      </c>
      <c r="X520" s="14">
        <f t="shared" si="9"/>
        <v>0.3874344563</v>
      </c>
      <c r="Y520" s="14">
        <f>T520/totals!B$5</f>
        <v>0.001989827092</v>
      </c>
      <c r="Z520" s="14">
        <f t="shared" si="10"/>
        <v>0.3800899383</v>
      </c>
      <c r="AA520" s="14">
        <f>V520/totals!B$4</f>
        <v>0.006304313574</v>
      </c>
      <c r="AB520" s="14">
        <f t="shared" si="11"/>
        <v>0.3963431949</v>
      </c>
    </row>
    <row r="521">
      <c r="A521" s="7">
        <v>3127.0</v>
      </c>
      <c r="B521" s="7" t="str">
        <f>VLOOKUP($A521,product_category,2, False)</f>
        <v>Personal Care</v>
      </c>
      <c r="C521" s="7">
        <v>4.45708739E8</v>
      </c>
      <c r="D521" s="9">
        <v>41689.0</v>
      </c>
      <c r="E521" s="10">
        <f t="shared" si="1"/>
        <v>2</v>
      </c>
      <c r="F521" s="10" t="str">
        <f t="shared" si="2"/>
        <v>Feb</v>
      </c>
      <c r="G521" s="11">
        <f t="shared" si="3"/>
        <v>19</v>
      </c>
      <c r="H521" s="7">
        <f t="shared" si="4"/>
        <v>2014</v>
      </c>
      <c r="I521" s="9">
        <v>41697.0</v>
      </c>
      <c r="J521" s="11">
        <f t="shared" si="5"/>
        <v>8</v>
      </c>
      <c r="K521" s="7" t="s">
        <v>382</v>
      </c>
      <c r="L521" s="7" t="s">
        <v>478</v>
      </c>
      <c r="M521" s="7" t="str">
        <f>VLOOKUP(L521,countries, 2,false)</f>
        <v>Malta</v>
      </c>
      <c r="N521" s="7" t="str">
        <f>VLOOKUP(L521,countries, 4,false)</f>
        <v>Europe</v>
      </c>
      <c r="O521" s="7" t="str">
        <f>VLOOKUP(L521,countries, 5,false)</f>
        <v>Southern Europe</v>
      </c>
      <c r="P521" s="7" t="s">
        <v>129</v>
      </c>
      <c r="Q521" s="7">
        <v>3975.0</v>
      </c>
      <c r="R521" s="12">
        <v>81.73</v>
      </c>
      <c r="S521" s="12">
        <v>56.67</v>
      </c>
      <c r="T521" s="13">
        <f t="shared" si="6"/>
        <v>324876.75</v>
      </c>
      <c r="U521" s="13">
        <f t="shared" si="7"/>
        <v>715424.99</v>
      </c>
      <c r="V521" s="13">
        <f t="shared" si="8"/>
        <v>-390548.24</v>
      </c>
      <c r="W521" s="14">
        <f>Q521/totals!B$2</f>
        <v>0.0006044226403</v>
      </c>
      <c r="X521" s="14">
        <f t="shared" si="9"/>
        <v>0.3880388789</v>
      </c>
      <c r="Y521" s="14">
        <f>T521/totals!B$5</f>
        <v>0.0001908648945</v>
      </c>
      <c r="Z521" s="14">
        <f t="shared" si="10"/>
        <v>0.3802808032</v>
      </c>
      <c r="AA521" s="14">
        <f>V521/totals!B$4</f>
        <v>-0.0007787437697</v>
      </c>
      <c r="AB521" s="14">
        <f t="shared" si="11"/>
        <v>0.3955644511</v>
      </c>
    </row>
    <row r="522">
      <c r="A522" s="7">
        <v>2103.0</v>
      </c>
      <c r="B522" s="7" t="str">
        <f>VLOOKUP($A522,product_category,2, False)</f>
        <v>Cereal</v>
      </c>
      <c r="C522" s="7">
        <v>4.45952498E8</v>
      </c>
      <c r="D522" s="9">
        <v>42161.0</v>
      </c>
      <c r="E522" s="10">
        <f t="shared" si="1"/>
        <v>6</v>
      </c>
      <c r="F522" s="10" t="str">
        <f t="shared" si="2"/>
        <v>Jun</v>
      </c>
      <c r="G522" s="11">
        <f t="shared" si="3"/>
        <v>6</v>
      </c>
      <c r="H522" s="7">
        <f t="shared" si="4"/>
        <v>2015</v>
      </c>
      <c r="I522" s="9">
        <v>42192.0</v>
      </c>
      <c r="J522" s="11">
        <f t="shared" si="5"/>
        <v>31</v>
      </c>
      <c r="K522" s="7" t="s">
        <v>198</v>
      </c>
      <c r="L522" s="7" t="s">
        <v>111</v>
      </c>
      <c r="M522" s="7" t="str">
        <f>VLOOKUP(L522,countries, 2,false)</f>
        <v>Norway</v>
      </c>
      <c r="N522" s="7" t="str">
        <f>VLOOKUP(L522,countries, 4,false)</f>
        <v>Europe</v>
      </c>
      <c r="O522" s="7" t="str">
        <f>VLOOKUP(L522,countries, 5,false)</f>
        <v>Northern Europe</v>
      </c>
      <c r="P522" s="7" t="s">
        <v>212</v>
      </c>
      <c r="Q522" s="7">
        <v>6109.0</v>
      </c>
      <c r="R522" s="12">
        <v>205.7</v>
      </c>
      <c r="S522" s="12">
        <v>117.11</v>
      </c>
      <c r="T522" s="13">
        <f t="shared" si="6"/>
        <v>1256621.3</v>
      </c>
      <c r="U522" s="13">
        <f t="shared" si="7"/>
        <v>526848.42</v>
      </c>
      <c r="V522" s="13">
        <f t="shared" si="8"/>
        <v>729772.88</v>
      </c>
      <c r="W522" s="14">
        <f>Q522/totals!B$2</f>
        <v>0.0009289101659</v>
      </c>
      <c r="X522" s="14">
        <f t="shared" si="9"/>
        <v>0.3889677891</v>
      </c>
      <c r="Y522" s="14">
        <f>T522/totals!B$5</f>
        <v>0.0007382642553</v>
      </c>
      <c r="Z522" s="14">
        <f t="shared" si="10"/>
        <v>0.3810190675</v>
      </c>
      <c r="AA522" s="14">
        <f>V522/totals!B$4</f>
        <v>0.001455149519</v>
      </c>
      <c r="AB522" s="14">
        <f t="shared" si="11"/>
        <v>0.3970196006</v>
      </c>
    </row>
    <row r="523">
      <c r="A523" s="7">
        <v>5988.0</v>
      </c>
      <c r="B523" s="7" t="str">
        <f>VLOOKUP($A523,product_category,2, False)</f>
        <v>Vegetables</v>
      </c>
      <c r="C523" s="7">
        <v>4.46019017E8</v>
      </c>
      <c r="D523" s="9">
        <v>40853.0</v>
      </c>
      <c r="E523" s="10">
        <f t="shared" si="1"/>
        <v>11</v>
      </c>
      <c r="F523" s="10" t="str">
        <f t="shared" si="2"/>
        <v>Nov</v>
      </c>
      <c r="G523" s="11">
        <f t="shared" si="3"/>
        <v>6</v>
      </c>
      <c r="H523" s="7">
        <f t="shared" si="4"/>
        <v>2011</v>
      </c>
      <c r="I523" s="9">
        <v>40872.0</v>
      </c>
      <c r="J523" s="11">
        <f t="shared" si="5"/>
        <v>19</v>
      </c>
      <c r="K523" s="7" t="s">
        <v>198</v>
      </c>
      <c r="L523" s="7" t="s">
        <v>756</v>
      </c>
      <c r="M523" s="7" t="str">
        <f>VLOOKUP(L523,countries, 2,false)</f>
        <v>Ukraine</v>
      </c>
      <c r="N523" s="7" t="str">
        <f>VLOOKUP(L523,countries, 4,false)</f>
        <v>Europe</v>
      </c>
      <c r="O523" s="7" t="str">
        <f>VLOOKUP(L523,countries, 5,false)</f>
        <v>Eastern Europe</v>
      </c>
      <c r="P523" s="7" t="s">
        <v>129</v>
      </c>
      <c r="Q523" s="7">
        <v>5794.0</v>
      </c>
      <c r="R523" s="12">
        <v>154.06</v>
      </c>
      <c r="S523" s="12">
        <v>90.93</v>
      </c>
      <c r="T523" s="13">
        <f t="shared" si="6"/>
        <v>892623.64</v>
      </c>
      <c r="U523" s="13">
        <f t="shared" si="7"/>
        <v>24496.8</v>
      </c>
      <c r="V523" s="13">
        <f t="shared" si="8"/>
        <v>868126.84</v>
      </c>
      <c r="W523" s="14">
        <f>Q523/totals!B$2</f>
        <v>0.0008810125227</v>
      </c>
      <c r="X523" s="14">
        <f t="shared" si="9"/>
        <v>0.3898488016</v>
      </c>
      <c r="Y523" s="14">
        <f>T523/totals!B$5</f>
        <v>0.0005244158498</v>
      </c>
      <c r="Z523" s="14">
        <f t="shared" si="10"/>
        <v>0.3815434833</v>
      </c>
      <c r="AA523" s="14">
        <f>V523/totals!B$4</f>
        <v>0.001731023978</v>
      </c>
      <c r="AB523" s="14">
        <f t="shared" si="11"/>
        <v>0.3987506246</v>
      </c>
    </row>
    <row r="524">
      <c r="A524" s="7">
        <v>4594.0</v>
      </c>
      <c r="B524" s="7" t="str">
        <f>VLOOKUP($A524,product_category,2, False)</f>
        <v>Fruits</v>
      </c>
      <c r="C524" s="7">
        <v>4.46045196E8</v>
      </c>
      <c r="D524" s="9">
        <v>42301.0</v>
      </c>
      <c r="E524" s="10">
        <f t="shared" si="1"/>
        <v>10</v>
      </c>
      <c r="F524" s="10" t="str">
        <f t="shared" si="2"/>
        <v>Oct</v>
      </c>
      <c r="G524" s="11">
        <f t="shared" si="3"/>
        <v>24</v>
      </c>
      <c r="H524" s="7">
        <f t="shared" si="4"/>
        <v>2015</v>
      </c>
      <c r="I524" s="9">
        <v>42309.0</v>
      </c>
      <c r="J524" s="11">
        <f t="shared" si="5"/>
        <v>8</v>
      </c>
      <c r="K524" s="7" t="s">
        <v>322</v>
      </c>
      <c r="L524" s="7" t="s">
        <v>540</v>
      </c>
      <c r="M524" s="7" t="str">
        <f>VLOOKUP(L524,countries, 2,false)</f>
        <v>Spain</v>
      </c>
      <c r="N524" s="7" t="str">
        <f>VLOOKUP(L524,countries, 4,false)</f>
        <v>Europe</v>
      </c>
      <c r="O524" s="7" t="str">
        <f>VLOOKUP(L524,countries, 5,false)</f>
        <v>Southern Europe</v>
      </c>
      <c r="P524" s="7" t="s">
        <v>212</v>
      </c>
      <c r="Q524" s="7">
        <v>3540.0</v>
      </c>
      <c r="R524" s="12">
        <v>9.33</v>
      </c>
      <c r="S524" s="12">
        <v>6.92</v>
      </c>
      <c r="T524" s="13">
        <f t="shared" si="6"/>
        <v>33028.2</v>
      </c>
      <c r="U524" s="13">
        <f t="shared" si="7"/>
        <v>87952.22</v>
      </c>
      <c r="V524" s="13">
        <f t="shared" si="8"/>
        <v>-54924.02</v>
      </c>
      <c r="W524" s="14">
        <f>Q524/totals!B$2</f>
        <v>0.0005382782759</v>
      </c>
      <c r="X524" s="14">
        <f t="shared" si="9"/>
        <v>0.3903870799</v>
      </c>
      <c r="Y524" s="14">
        <f>T524/totals!B$5</f>
        <v>0.00001940404757</v>
      </c>
      <c r="Z524" s="14">
        <f t="shared" si="10"/>
        <v>0.3815628874</v>
      </c>
      <c r="AA524" s="14">
        <f>V524/totals!B$4</f>
        <v>-0.000109517171</v>
      </c>
      <c r="AB524" s="14">
        <f t="shared" si="11"/>
        <v>0.3986411074</v>
      </c>
    </row>
    <row r="525">
      <c r="A525" s="7">
        <v>8293.0</v>
      </c>
      <c r="B525" s="7" t="str">
        <f>VLOOKUP($A525,product_category,2, False)</f>
        <v>Cosmetics</v>
      </c>
      <c r="C525" s="7">
        <v>4.4718331E8</v>
      </c>
      <c r="D525" s="9">
        <v>41873.0</v>
      </c>
      <c r="E525" s="10">
        <f t="shared" si="1"/>
        <v>8</v>
      </c>
      <c r="F525" s="10" t="str">
        <f t="shared" si="2"/>
        <v>Aug</v>
      </c>
      <c r="G525" s="11">
        <f t="shared" si="3"/>
        <v>22</v>
      </c>
      <c r="H525" s="7">
        <f t="shared" si="4"/>
        <v>2014</v>
      </c>
      <c r="I525" s="9">
        <v>41901.0</v>
      </c>
      <c r="J525" s="11">
        <f t="shared" si="5"/>
        <v>28</v>
      </c>
      <c r="K525" s="7" t="s">
        <v>198</v>
      </c>
      <c r="L525" s="7" t="s">
        <v>642</v>
      </c>
      <c r="M525" s="7" t="str">
        <f>VLOOKUP(L525,countries, 2,false)</f>
        <v>San Marino</v>
      </c>
      <c r="N525" s="7" t="str">
        <f>VLOOKUP(L525,countries, 4,false)</f>
        <v>Europe</v>
      </c>
      <c r="O525" s="7" t="str">
        <f>VLOOKUP(L525,countries, 5,false)</f>
        <v>Southern Europe</v>
      </c>
      <c r="P525" s="7" t="s">
        <v>212</v>
      </c>
      <c r="Q525" s="7">
        <v>334.0</v>
      </c>
      <c r="R525" s="12">
        <v>437.2</v>
      </c>
      <c r="S525" s="12">
        <v>263.33</v>
      </c>
      <c r="T525" s="13">
        <f t="shared" si="6"/>
        <v>146024.8</v>
      </c>
      <c r="U525" s="13">
        <f t="shared" si="7"/>
        <v>1769475.88</v>
      </c>
      <c r="V525" s="13">
        <f t="shared" si="8"/>
        <v>-1623451.08</v>
      </c>
      <c r="W525" s="14">
        <f>Q525/totals!B$2</f>
        <v>0.00005078670739</v>
      </c>
      <c r="X525" s="14">
        <f t="shared" si="9"/>
        <v>0.3904378666</v>
      </c>
      <c r="Y525" s="14">
        <f>T525/totals!B$5</f>
        <v>0.00008578948187</v>
      </c>
      <c r="Z525" s="14">
        <f t="shared" si="10"/>
        <v>0.3816486768</v>
      </c>
      <c r="AA525" s="14">
        <f>V525/totals!B$4</f>
        <v>-0.003237122292</v>
      </c>
      <c r="AB525" s="14">
        <f t="shared" si="11"/>
        <v>0.3954039851</v>
      </c>
    </row>
    <row r="526">
      <c r="A526" s="7">
        <v>8875.0</v>
      </c>
      <c r="B526" s="7" t="str">
        <f>VLOOKUP($A526,product_category,2, False)</f>
        <v>Meat</v>
      </c>
      <c r="C526" s="7">
        <v>4.47536504E8</v>
      </c>
      <c r="D526" s="9">
        <v>40282.0</v>
      </c>
      <c r="E526" s="10">
        <f t="shared" si="1"/>
        <v>4</v>
      </c>
      <c r="F526" s="10" t="str">
        <f t="shared" si="2"/>
        <v>Apr</v>
      </c>
      <c r="G526" s="11">
        <f t="shared" si="3"/>
        <v>14</v>
      </c>
      <c r="H526" s="7">
        <f t="shared" si="4"/>
        <v>2010</v>
      </c>
      <c r="I526" s="9">
        <v>40293.0</v>
      </c>
      <c r="J526" s="11">
        <f t="shared" si="5"/>
        <v>11</v>
      </c>
      <c r="K526" s="7" t="s">
        <v>382</v>
      </c>
      <c r="L526" s="7" t="s">
        <v>200</v>
      </c>
      <c r="M526" s="7" t="str">
        <f>VLOOKUP(L526,countries, 2,false)</f>
        <v>Serbia</v>
      </c>
      <c r="N526" s="7" t="str">
        <f>VLOOKUP(L526,countries, 4,false)</f>
        <v>Europe</v>
      </c>
      <c r="O526" s="7" t="str">
        <f>VLOOKUP(L526,countries, 5,false)</f>
        <v>Southern Europe</v>
      </c>
      <c r="P526" s="7" t="s">
        <v>212</v>
      </c>
      <c r="Q526" s="7">
        <v>4852.0</v>
      </c>
      <c r="R526" s="12">
        <v>421.89</v>
      </c>
      <c r="S526" s="12">
        <v>364.69</v>
      </c>
      <c r="T526" s="13">
        <f t="shared" si="6"/>
        <v>2047010.28</v>
      </c>
      <c r="U526" s="13">
        <f t="shared" si="7"/>
        <v>831942.72</v>
      </c>
      <c r="V526" s="13">
        <f t="shared" si="8"/>
        <v>1215067.56</v>
      </c>
      <c r="W526" s="14">
        <f>Q526/totals!B$2</f>
        <v>0.0007377757612</v>
      </c>
      <c r="X526" s="14">
        <f t="shared" si="9"/>
        <v>0.3911756423</v>
      </c>
      <c r="Y526" s="14">
        <f>T526/totals!B$5</f>
        <v>0.001202617304</v>
      </c>
      <c r="Z526" s="14">
        <f t="shared" si="10"/>
        <v>0.3828512942</v>
      </c>
      <c r="AA526" s="14">
        <f>V526/totals!B$4</f>
        <v>0.002422815405</v>
      </c>
      <c r="AB526" s="14">
        <f t="shared" si="11"/>
        <v>0.3978268005</v>
      </c>
    </row>
    <row r="527">
      <c r="A527" s="7">
        <v>8969.0</v>
      </c>
      <c r="B527" s="7" t="str">
        <f>VLOOKUP($A527,product_category,2, False)</f>
        <v>Snacks</v>
      </c>
      <c r="C527" s="7">
        <v>4.47684133E8</v>
      </c>
      <c r="D527" s="9">
        <v>42554.0</v>
      </c>
      <c r="E527" s="10">
        <f t="shared" si="1"/>
        <v>7</v>
      </c>
      <c r="F527" s="10" t="str">
        <f t="shared" si="2"/>
        <v>Jul</v>
      </c>
      <c r="G527" s="11">
        <f t="shared" si="3"/>
        <v>3</v>
      </c>
      <c r="H527" s="7">
        <f t="shared" si="4"/>
        <v>2016</v>
      </c>
      <c r="I527" s="9">
        <v>42596.0</v>
      </c>
      <c r="J527" s="11">
        <f t="shared" si="5"/>
        <v>42</v>
      </c>
      <c r="K527" s="7" t="s">
        <v>110</v>
      </c>
      <c r="L527" s="7" t="s">
        <v>286</v>
      </c>
      <c r="M527" s="7" t="str">
        <f>VLOOKUP(L527,countries, 2,false)</f>
        <v>France</v>
      </c>
      <c r="N527" s="7" t="str">
        <f>VLOOKUP(L527,countries, 4,false)</f>
        <v>Europe</v>
      </c>
      <c r="O527" s="7" t="str">
        <f>VLOOKUP(L527,countries, 5,false)</f>
        <v>Western Europe</v>
      </c>
      <c r="P527" s="7" t="s">
        <v>212</v>
      </c>
      <c r="Q527" s="7">
        <v>8538.0</v>
      </c>
      <c r="R527" s="12">
        <v>152.58</v>
      </c>
      <c r="S527" s="12">
        <v>97.44</v>
      </c>
      <c r="T527" s="13">
        <f t="shared" si="6"/>
        <v>1302728.04</v>
      </c>
      <c r="U527" s="13">
        <f t="shared" si="7"/>
        <v>1053170.23</v>
      </c>
      <c r="V527" s="13">
        <f t="shared" si="8"/>
        <v>249557.81</v>
      </c>
      <c r="W527" s="14">
        <f>Q527/totals!B$2</f>
        <v>0.001298254215</v>
      </c>
      <c r="X527" s="14">
        <f t="shared" si="9"/>
        <v>0.3924738965</v>
      </c>
      <c r="Y527" s="14">
        <f>T527/totals!B$5</f>
        <v>0.0007653519372</v>
      </c>
      <c r="Z527" s="14">
        <f t="shared" si="10"/>
        <v>0.3836166461</v>
      </c>
      <c r="AA527" s="14">
        <f>V527/totals!B$4</f>
        <v>0.0004976122533</v>
      </c>
      <c r="AB527" s="14">
        <f t="shared" si="11"/>
        <v>0.3983244128</v>
      </c>
    </row>
    <row r="528">
      <c r="A528" s="7">
        <v>2103.0</v>
      </c>
      <c r="B528" s="7" t="str">
        <f>VLOOKUP($A528,product_category,2, False)</f>
        <v>Cereal</v>
      </c>
      <c r="C528" s="7">
        <v>4.4920634E8</v>
      </c>
      <c r="D528" s="9">
        <v>42426.0</v>
      </c>
      <c r="E528" s="10">
        <f t="shared" si="1"/>
        <v>2</v>
      </c>
      <c r="F528" s="10" t="str">
        <f t="shared" si="2"/>
        <v>Feb</v>
      </c>
      <c r="G528" s="11">
        <f t="shared" si="3"/>
        <v>26</v>
      </c>
      <c r="H528" s="7">
        <f t="shared" si="4"/>
        <v>2016</v>
      </c>
      <c r="I528" s="9">
        <v>42463.0</v>
      </c>
      <c r="J528" s="11">
        <f t="shared" si="5"/>
        <v>37</v>
      </c>
      <c r="K528" s="7" t="s">
        <v>382</v>
      </c>
      <c r="L528" s="7" t="s">
        <v>286</v>
      </c>
      <c r="M528" s="7" t="str">
        <f>VLOOKUP(L528,countries, 2,false)</f>
        <v>France</v>
      </c>
      <c r="N528" s="7" t="str">
        <f>VLOOKUP(L528,countries, 4,false)</f>
        <v>Europe</v>
      </c>
      <c r="O528" s="7" t="str">
        <f>VLOOKUP(L528,countries, 5,false)</f>
        <v>Western Europe</v>
      </c>
      <c r="P528" s="7" t="s">
        <v>212</v>
      </c>
      <c r="Q528" s="7">
        <v>8993.0</v>
      </c>
      <c r="R528" s="12">
        <v>205.7</v>
      </c>
      <c r="S528" s="12">
        <v>117.11</v>
      </c>
      <c r="T528" s="13">
        <f t="shared" si="6"/>
        <v>1849860.1</v>
      </c>
      <c r="U528" s="13">
        <f t="shared" si="7"/>
        <v>1579980</v>
      </c>
      <c r="V528" s="13">
        <f t="shared" si="8"/>
        <v>269880.1</v>
      </c>
      <c r="W528" s="14">
        <f>Q528/totals!B$2</f>
        <v>0.001367439699</v>
      </c>
      <c r="X528" s="14">
        <f t="shared" si="9"/>
        <v>0.3938413362</v>
      </c>
      <c r="Y528" s="14">
        <f>T528/totals!B$5</f>
        <v>0.001086791692</v>
      </c>
      <c r="Z528" s="14">
        <f t="shared" si="10"/>
        <v>0.3847034378</v>
      </c>
      <c r="AA528" s="14">
        <f>V528/totals!B$4</f>
        <v>0.0005381344093</v>
      </c>
      <c r="AB528" s="14">
        <f t="shared" si="11"/>
        <v>0.3988625472</v>
      </c>
    </row>
    <row r="529">
      <c r="A529" s="7">
        <v>8293.0</v>
      </c>
      <c r="B529" s="7" t="str">
        <f>VLOOKUP($A529,product_category,2, False)</f>
        <v>Cosmetics</v>
      </c>
      <c r="C529" s="7">
        <v>4.50041043E8</v>
      </c>
      <c r="D529" s="9">
        <v>41718.0</v>
      </c>
      <c r="E529" s="10">
        <f t="shared" si="1"/>
        <v>3</v>
      </c>
      <c r="F529" s="10" t="str">
        <f t="shared" si="2"/>
        <v>Mar</v>
      </c>
      <c r="G529" s="11">
        <f t="shared" si="3"/>
        <v>20</v>
      </c>
      <c r="H529" s="7">
        <f t="shared" si="4"/>
        <v>2014</v>
      </c>
      <c r="I529" s="9">
        <v>41745.0</v>
      </c>
      <c r="J529" s="11">
        <f t="shared" si="5"/>
        <v>27</v>
      </c>
      <c r="K529" s="7" t="s">
        <v>322</v>
      </c>
      <c r="L529" s="7" t="s">
        <v>597</v>
      </c>
      <c r="M529" s="7" t="str">
        <f>VLOOKUP(L529,countries, 2,false)</f>
        <v>Portugal</v>
      </c>
      <c r="N529" s="7" t="str">
        <f>VLOOKUP(L529,countries, 4,false)</f>
        <v>Europe</v>
      </c>
      <c r="O529" s="7" t="str">
        <f>VLOOKUP(L529,countries, 5,false)</f>
        <v>Southern Europe</v>
      </c>
      <c r="P529" s="7" t="s">
        <v>212</v>
      </c>
      <c r="Q529" s="7">
        <v>6000.0</v>
      </c>
      <c r="R529" s="12">
        <v>437.2</v>
      </c>
      <c r="S529" s="12">
        <v>263.33</v>
      </c>
      <c r="T529" s="13">
        <f t="shared" si="6"/>
        <v>2623200</v>
      </c>
      <c r="U529" s="13">
        <f t="shared" si="7"/>
        <v>1055041.56</v>
      </c>
      <c r="V529" s="13">
        <f t="shared" si="8"/>
        <v>1568158.44</v>
      </c>
      <c r="W529" s="14">
        <f>Q529/totals!B$2</f>
        <v>0.0009123360608</v>
      </c>
      <c r="X529" s="14">
        <f t="shared" si="9"/>
        <v>0.3947536723</v>
      </c>
      <c r="Y529" s="14">
        <f>T529/totals!B$5</f>
        <v>0.001541128417</v>
      </c>
      <c r="Z529" s="14">
        <f t="shared" si="10"/>
        <v>0.3862445662</v>
      </c>
      <c r="AA529" s="14">
        <f>V529/totals!B$4</f>
        <v>0.003126870102</v>
      </c>
      <c r="AB529" s="14">
        <f t="shared" si="11"/>
        <v>0.4019894173</v>
      </c>
    </row>
    <row r="530">
      <c r="A530" s="7">
        <v>7331.0</v>
      </c>
      <c r="B530" s="7" t="str">
        <f>VLOOKUP($A530,product_category,2, False)</f>
        <v>Baby Food</v>
      </c>
      <c r="C530" s="7">
        <v>4.50550019E8</v>
      </c>
      <c r="D530" s="9">
        <v>40901.0</v>
      </c>
      <c r="E530" s="10">
        <f t="shared" si="1"/>
        <v>12</v>
      </c>
      <c r="F530" s="10" t="str">
        <f t="shared" si="2"/>
        <v>Dec</v>
      </c>
      <c r="G530" s="11">
        <f t="shared" si="3"/>
        <v>24</v>
      </c>
      <c r="H530" s="7">
        <f t="shared" si="4"/>
        <v>2011</v>
      </c>
      <c r="I530" s="9">
        <v>40910.0</v>
      </c>
      <c r="J530" s="11">
        <f t="shared" si="5"/>
        <v>9</v>
      </c>
      <c r="K530" s="7" t="s">
        <v>110</v>
      </c>
      <c r="L530" s="7" t="s">
        <v>612</v>
      </c>
      <c r="M530" s="7" t="str">
        <f>VLOOKUP(L530,countries, 2,false)</f>
        <v>Russia</v>
      </c>
      <c r="N530" s="7" t="str">
        <f>VLOOKUP(L530,countries, 4,false)</f>
        <v>Europe</v>
      </c>
      <c r="O530" s="7" t="str">
        <f>VLOOKUP(L530,countries, 5,false)</f>
        <v>Eastern Europe</v>
      </c>
      <c r="P530" s="7" t="s">
        <v>212</v>
      </c>
      <c r="Q530" s="7">
        <v>6618.0</v>
      </c>
      <c r="R530" s="12">
        <v>255.28</v>
      </c>
      <c r="S530" s="12">
        <v>159.42</v>
      </c>
      <c r="T530" s="13">
        <f t="shared" si="6"/>
        <v>1689443.04</v>
      </c>
      <c r="U530" s="13">
        <f t="shared" si="7"/>
        <v>36717.52</v>
      </c>
      <c r="V530" s="13">
        <f t="shared" si="8"/>
        <v>1652725.52</v>
      </c>
      <c r="W530" s="14">
        <f>Q530/totals!B$2</f>
        <v>0.001006306675</v>
      </c>
      <c r="X530" s="14">
        <f t="shared" si="9"/>
        <v>0.395759979</v>
      </c>
      <c r="Y530" s="14">
        <f>T530/totals!B$5</f>
        <v>0.0009925467663</v>
      </c>
      <c r="Z530" s="14">
        <f t="shared" si="10"/>
        <v>0.387237113</v>
      </c>
      <c r="AA530" s="14">
        <f>V530/totals!B$4</f>
        <v>0.00329549482</v>
      </c>
      <c r="AB530" s="14">
        <f t="shared" si="11"/>
        <v>0.4052849121</v>
      </c>
    </row>
    <row r="531">
      <c r="A531" s="7">
        <v>4594.0</v>
      </c>
      <c r="B531" s="7" t="str">
        <f>VLOOKUP($A531,product_category,2, False)</f>
        <v>Fruits</v>
      </c>
      <c r="C531" s="7">
        <v>4.52471768E8</v>
      </c>
      <c r="D531" s="9">
        <v>42018.0</v>
      </c>
      <c r="E531" s="10">
        <f t="shared" si="1"/>
        <v>1</v>
      </c>
      <c r="F531" s="10" t="str">
        <f t="shared" si="2"/>
        <v>Jan</v>
      </c>
      <c r="G531" s="11">
        <f t="shared" si="3"/>
        <v>14</v>
      </c>
      <c r="H531" s="7">
        <f t="shared" si="4"/>
        <v>2015</v>
      </c>
      <c r="I531" s="9">
        <v>42045.0</v>
      </c>
      <c r="J531" s="11">
        <f t="shared" si="5"/>
        <v>27</v>
      </c>
      <c r="K531" s="7" t="s">
        <v>322</v>
      </c>
      <c r="L531" s="7" t="s">
        <v>702</v>
      </c>
      <c r="M531" s="7" t="str">
        <f>VLOOKUP(L531,countries, 2,false)</f>
        <v>Sweden</v>
      </c>
      <c r="N531" s="7" t="str">
        <f>VLOOKUP(L531,countries, 4,false)</f>
        <v>Europe</v>
      </c>
      <c r="O531" s="7" t="str">
        <f>VLOOKUP(L531,countries, 5,false)</f>
        <v>Northern Europe</v>
      </c>
      <c r="P531" s="7" t="s">
        <v>212</v>
      </c>
      <c r="Q531" s="7">
        <v>5306.0</v>
      </c>
      <c r="R531" s="12">
        <v>9.33</v>
      </c>
      <c r="S531" s="12">
        <v>6.92</v>
      </c>
      <c r="T531" s="13">
        <f t="shared" si="6"/>
        <v>49504.98</v>
      </c>
      <c r="U531" s="13">
        <f t="shared" si="7"/>
        <v>121846.2</v>
      </c>
      <c r="V531" s="13">
        <f t="shared" si="8"/>
        <v>-72341.22</v>
      </c>
      <c r="W531" s="14">
        <f>Q531/totals!B$2</f>
        <v>0.0008068091898</v>
      </c>
      <c r="X531" s="14">
        <f t="shared" si="9"/>
        <v>0.3965667882</v>
      </c>
      <c r="Y531" s="14">
        <f>T531/totals!B$5</f>
        <v>0.00002908414587</v>
      </c>
      <c r="Z531" s="14">
        <f t="shared" si="10"/>
        <v>0.3872661971</v>
      </c>
      <c r="AA531" s="14">
        <f>V531/totals!B$4</f>
        <v>-0.0001442466477</v>
      </c>
      <c r="AB531" s="14">
        <f t="shared" si="11"/>
        <v>0.4051406655</v>
      </c>
    </row>
    <row r="532">
      <c r="A532" s="7">
        <v>5988.0</v>
      </c>
      <c r="B532" s="7" t="str">
        <f>VLOOKUP($A532,product_category,2, False)</f>
        <v>Vegetables</v>
      </c>
      <c r="C532" s="7">
        <v>4.52559745E8</v>
      </c>
      <c r="D532" s="9">
        <v>41716.0</v>
      </c>
      <c r="E532" s="10">
        <f t="shared" si="1"/>
        <v>3</v>
      </c>
      <c r="F532" s="10" t="str">
        <f t="shared" si="2"/>
        <v>Mar</v>
      </c>
      <c r="G532" s="11">
        <f t="shared" si="3"/>
        <v>18</v>
      </c>
      <c r="H532" s="7">
        <f t="shared" si="4"/>
        <v>2014</v>
      </c>
      <c r="I532" s="9">
        <v>41717.0</v>
      </c>
      <c r="J532" s="11">
        <f t="shared" si="5"/>
        <v>1</v>
      </c>
      <c r="K532" s="7" t="s">
        <v>322</v>
      </c>
      <c r="L532" s="7" t="e">
        <v>#N/A</v>
      </c>
      <c r="M532" s="7"/>
      <c r="N532" s="7"/>
      <c r="O532" s="7"/>
      <c r="P532" s="7" t="s">
        <v>212</v>
      </c>
      <c r="Q532" s="7">
        <v>1340.0</v>
      </c>
      <c r="R532" s="12">
        <v>154.06</v>
      </c>
      <c r="S532" s="12">
        <v>90.93</v>
      </c>
      <c r="T532" s="13">
        <f t="shared" si="6"/>
        <v>206440.4</v>
      </c>
      <c r="U532" s="13">
        <f t="shared" si="7"/>
        <v>55627.25</v>
      </c>
      <c r="V532" s="13">
        <f t="shared" si="8"/>
        <v>150813.15</v>
      </c>
      <c r="W532" s="14">
        <f>Q532/totals!B$2</f>
        <v>0.0002037550536</v>
      </c>
      <c r="X532" s="14">
        <f t="shared" si="9"/>
        <v>0.3967705432</v>
      </c>
      <c r="Y532" s="14">
        <f>T532/totals!B$5</f>
        <v>0.0001212836104</v>
      </c>
      <c r="Z532" s="14">
        <f t="shared" si="10"/>
        <v>0.3873874807</v>
      </c>
      <c r="AA532" s="14">
        <f>V532/totals!B$4</f>
        <v>0.0003007177832</v>
      </c>
      <c r="AB532" s="14">
        <f t="shared" si="11"/>
        <v>0.4054413833</v>
      </c>
    </row>
    <row r="533">
      <c r="A533" s="7">
        <v>2103.0</v>
      </c>
      <c r="B533" s="7" t="str">
        <f>VLOOKUP($A533,product_category,2, False)</f>
        <v>Cereal</v>
      </c>
      <c r="C533" s="7">
        <v>4.54550588E8</v>
      </c>
      <c r="D533" s="9">
        <v>40761.0</v>
      </c>
      <c r="E533" s="10">
        <f t="shared" si="1"/>
        <v>8</v>
      </c>
      <c r="F533" s="10" t="str">
        <f t="shared" si="2"/>
        <v>Aug</v>
      </c>
      <c r="G533" s="11">
        <f t="shared" si="3"/>
        <v>6</v>
      </c>
      <c r="H533" s="7">
        <f t="shared" si="4"/>
        <v>2011</v>
      </c>
      <c r="I533" s="9">
        <v>40792.0</v>
      </c>
      <c r="J533" s="11">
        <f t="shared" si="5"/>
        <v>31</v>
      </c>
      <c r="K533" s="7" t="s">
        <v>198</v>
      </c>
      <c r="L533" s="7" t="s">
        <v>594</v>
      </c>
      <c r="M533" s="7" t="str">
        <f>VLOOKUP(L533,countries, 2,false)</f>
        <v>Poland</v>
      </c>
      <c r="N533" s="7" t="str">
        <f>VLOOKUP(L533,countries, 4,false)</f>
        <v>Europe</v>
      </c>
      <c r="O533" s="7" t="str">
        <f>VLOOKUP(L533,countries, 5,false)</f>
        <v>Eastern Europe</v>
      </c>
      <c r="P533" s="7" t="s">
        <v>129</v>
      </c>
      <c r="Q533" s="7">
        <v>475.0</v>
      </c>
      <c r="R533" s="12">
        <v>205.7</v>
      </c>
      <c r="S533" s="12">
        <v>117.11</v>
      </c>
      <c r="T533" s="13">
        <f t="shared" si="6"/>
        <v>97707.5</v>
      </c>
      <c r="U533" s="13">
        <f t="shared" si="7"/>
        <v>500478.72</v>
      </c>
      <c r="V533" s="13">
        <f t="shared" si="8"/>
        <v>-402771.22</v>
      </c>
      <c r="W533" s="14">
        <f>Q533/totals!B$2</f>
        <v>0.00007222660481</v>
      </c>
      <c r="X533" s="14">
        <f t="shared" si="9"/>
        <v>0.3968427698</v>
      </c>
      <c r="Y533" s="14">
        <f>T533/totals!B$5</f>
        <v>0.00005740309728</v>
      </c>
      <c r="Z533" s="14">
        <f t="shared" si="10"/>
        <v>0.3874448838</v>
      </c>
      <c r="AA533" s="14">
        <f>V533/totals!B$4</f>
        <v>-0.000803116097</v>
      </c>
      <c r="AB533" s="14">
        <f t="shared" si="11"/>
        <v>0.4046382672</v>
      </c>
    </row>
    <row r="534">
      <c r="A534" s="7">
        <v>5988.0</v>
      </c>
      <c r="B534" s="7" t="str">
        <f>VLOOKUP($A534,product_category,2, False)</f>
        <v>Vegetables</v>
      </c>
      <c r="C534" s="7">
        <v>4.55040681E8</v>
      </c>
      <c r="D534" s="9">
        <v>40940.0</v>
      </c>
      <c r="E534" s="10">
        <f t="shared" si="1"/>
        <v>2</v>
      </c>
      <c r="F534" s="10" t="str">
        <f t="shared" si="2"/>
        <v>Feb</v>
      </c>
      <c r="G534" s="11">
        <f t="shared" si="3"/>
        <v>1</v>
      </c>
      <c r="H534" s="7">
        <f t="shared" si="4"/>
        <v>2012</v>
      </c>
      <c r="I534" s="9">
        <v>40941.0</v>
      </c>
      <c r="J534" s="11">
        <f t="shared" si="5"/>
        <v>1</v>
      </c>
      <c r="K534" s="7" t="s">
        <v>322</v>
      </c>
      <c r="L534" s="7" t="s">
        <v>286</v>
      </c>
      <c r="M534" s="7" t="str">
        <f>VLOOKUP(L534,countries, 2,false)</f>
        <v>France</v>
      </c>
      <c r="N534" s="7" t="str">
        <f>VLOOKUP(L534,countries, 4,false)</f>
        <v>Europe</v>
      </c>
      <c r="O534" s="7" t="str">
        <f>VLOOKUP(L534,countries, 5,false)</f>
        <v>Western Europe</v>
      </c>
      <c r="P534" s="7" t="s">
        <v>212</v>
      </c>
      <c r="Q534" s="7">
        <v>5504.0</v>
      </c>
      <c r="R534" s="12">
        <v>154.06</v>
      </c>
      <c r="S534" s="12">
        <v>90.93</v>
      </c>
      <c r="T534" s="13">
        <f t="shared" si="6"/>
        <v>847946.24</v>
      </c>
      <c r="U534" s="13">
        <f t="shared" si="7"/>
        <v>367731.63</v>
      </c>
      <c r="V534" s="13">
        <f t="shared" si="8"/>
        <v>480214.61</v>
      </c>
      <c r="W534" s="14">
        <f>Q534/totals!B$2</f>
        <v>0.0008369162798</v>
      </c>
      <c r="X534" s="14">
        <f t="shared" si="9"/>
        <v>0.3976796861</v>
      </c>
      <c r="Y534" s="14">
        <f>T534/totals!B$5</f>
        <v>0.0004981679042</v>
      </c>
      <c r="Z534" s="14">
        <f t="shared" si="10"/>
        <v>0.3879430517</v>
      </c>
      <c r="AA534" s="14">
        <f>V534/totals!B$4</f>
        <v>0.0009575363485</v>
      </c>
      <c r="AB534" s="14">
        <f t="shared" si="11"/>
        <v>0.4055958035</v>
      </c>
    </row>
    <row r="535">
      <c r="A535" s="7">
        <v>3127.0</v>
      </c>
      <c r="B535" s="7" t="str">
        <f>VLOOKUP($A535,product_category,2, False)</f>
        <v>Personal Care</v>
      </c>
      <c r="C535" s="7">
        <v>4.56192958E8</v>
      </c>
      <c r="D535" s="9">
        <v>41839.0</v>
      </c>
      <c r="E535" s="10">
        <f t="shared" si="1"/>
        <v>7</v>
      </c>
      <c r="F535" s="10" t="str">
        <f t="shared" si="2"/>
        <v>Jul</v>
      </c>
      <c r="G535" s="11">
        <f t="shared" si="3"/>
        <v>19</v>
      </c>
      <c r="H535" s="7">
        <f t="shared" si="4"/>
        <v>2014</v>
      </c>
      <c r="I535" s="9">
        <v>41869.0</v>
      </c>
      <c r="J535" s="11">
        <f t="shared" si="5"/>
        <v>30</v>
      </c>
      <c r="K535" s="7" t="s">
        <v>322</v>
      </c>
      <c r="L535" s="7" t="s">
        <v>460</v>
      </c>
      <c r="M535" s="7" t="str">
        <f>VLOOKUP(L535,countries, 2,false)</f>
        <v>Macedonia</v>
      </c>
      <c r="N535" s="7" t="str">
        <f>VLOOKUP(L535,countries, 4,false)</f>
        <v>Europe</v>
      </c>
      <c r="O535" s="7" t="str">
        <f>VLOOKUP(L535,countries, 5,false)</f>
        <v>Southern Europe</v>
      </c>
      <c r="P535" s="7" t="s">
        <v>129</v>
      </c>
      <c r="Q535" s="7">
        <v>6489.0</v>
      </c>
      <c r="R535" s="12">
        <v>81.73</v>
      </c>
      <c r="S535" s="12">
        <v>56.67</v>
      </c>
      <c r="T535" s="13">
        <f t="shared" si="6"/>
        <v>530345.97</v>
      </c>
      <c r="U535" s="13">
        <f t="shared" si="7"/>
        <v>2844758.24</v>
      </c>
      <c r="V535" s="13">
        <f t="shared" si="8"/>
        <v>-2314412.27</v>
      </c>
      <c r="W535" s="14">
        <f>Q535/totals!B$2</f>
        <v>0.0009866914498</v>
      </c>
      <c r="X535" s="14">
        <f t="shared" si="9"/>
        <v>0.3986663776</v>
      </c>
      <c r="Y535" s="14">
        <f>T535/totals!B$5</f>
        <v>0.0003115779373</v>
      </c>
      <c r="Z535" s="14">
        <f t="shared" si="10"/>
        <v>0.3882546297</v>
      </c>
      <c r="AA535" s="14">
        <f>V535/totals!B$4</f>
        <v>-0.004614882238</v>
      </c>
      <c r="AB535" s="14">
        <f t="shared" si="11"/>
        <v>0.4009809213</v>
      </c>
    </row>
    <row r="536">
      <c r="A536" s="7">
        <v>8681.0</v>
      </c>
      <c r="B536" s="7" t="str">
        <f>VLOOKUP($A536,product_category,2, False)</f>
        <v>Office Supplies</v>
      </c>
      <c r="C536" s="7">
        <v>4.56527268E8</v>
      </c>
      <c r="D536" s="9">
        <v>41244.0</v>
      </c>
      <c r="E536" s="10">
        <f t="shared" si="1"/>
        <v>12</v>
      </c>
      <c r="F536" s="10" t="str">
        <f t="shared" si="2"/>
        <v>Dec</v>
      </c>
      <c r="G536" s="11">
        <f t="shared" si="3"/>
        <v>1</v>
      </c>
      <c r="H536" s="7">
        <f t="shared" si="4"/>
        <v>2012</v>
      </c>
      <c r="I536" s="9">
        <v>41245.0</v>
      </c>
      <c r="J536" s="11">
        <f t="shared" si="5"/>
        <v>1</v>
      </c>
      <c r="K536" s="7" t="s">
        <v>322</v>
      </c>
      <c r="L536" s="7" t="s">
        <v>113</v>
      </c>
      <c r="M536" s="7" t="str">
        <f>VLOOKUP(L536,countries, 2,false)</f>
        <v>Belgium</v>
      </c>
      <c r="N536" s="7" t="str">
        <f>VLOOKUP(L536,countries, 4,false)</f>
        <v>Europe</v>
      </c>
      <c r="O536" s="7" t="str">
        <f>VLOOKUP(L536,countries, 5,false)</f>
        <v>Western Europe</v>
      </c>
      <c r="P536" s="7" t="s">
        <v>212</v>
      </c>
      <c r="Q536" s="7">
        <v>5419.0</v>
      </c>
      <c r="R536" s="12">
        <v>651.21</v>
      </c>
      <c r="S536" s="12">
        <v>524.96</v>
      </c>
      <c r="T536" s="13">
        <f t="shared" si="6"/>
        <v>3528906.99</v>
      </c>
      <c r="U536" s="13">
        <f t="shared" si="7"/>
        <v>2211844.85</v>
      </c>
      <c r="V536" s="13">
        <f t="shared" si="8"/>
        <v>1317062.14</v>
      </c>
      <c r="W536" s="14">
        <f>Q536/totals!B$2</f>
        <v>0.0008239915189</v>
      </c>
      <c r="X536" s="14">
        <f t="shared" si="9"/>
        <v>0.3994903691</v>
      </c>
      <c r="Y536" s="14">
        <f>T536/totals!B$5</f>
        <v>0.002073230727</v>
      </c>
      <c r="Z536" s="14">
        <f t="shared" si="10"/>
        <v>0.3903278604</v>
      </c>
      <c r="AA536" s="14">
        <f>V536/totals!B$4</f>
        <v>0.002626190137</v>
      </c>
      <c r="AB536" s="14">
        <f t="shared" si="11"/>
        <v>0.4036071114</v>
      </c>
    </row>
    <row r="537">
      <c r="A537" s="7">
        <v>8875.0</v>
      </c>
      <c r="B537" s="7" t="str">
        <f>VLOOKUP($A537,product_category,2, False)</f>
        <v>Meat</v>
      </c>
      <c r="C537" s="7">
        <v>4.56934964E8</v>
      </c>
      <c r="D537" s="9">
        <v>40991.0</v>
      </c>
      <c r="E537" s="10">
        <f t="shared" si="1"/>
        <v>3</v>
      </c>
      <c r="F537" s="10" t="str">
        <f t="shared" si="2"/>
        <v>Mar</v>
      </c>
      <c r="G537" s="11">
        <f t="shared" si="3"/>
        <v>23</v>
      </c>
      <c r="H537" s="7">
        <f t="shared" si="4"/>
        <v>2012</v>
      </c>
      <c r="I537" s="9">
        <v>41034.0</v>
      </c>
      <c r="J537" s="11">
        <f t="shared" si="5"/>
        <v>43</v>
      </c>
      <c r="K537" s="7" t="s">
        <v>322</v>
      </c>
      <c r="L537" s="7" t="s">
        <v>642</v>
      </c>
      <c r="M537" s="7" t="str">
        <f>VLOOKUP(L537,countries, 2,false)</f>
        <v>San Marino</v>
      </c>
      <c r="N537" s="7" t="str">
        <f>VLOOKUP(L537,countries, 4,false)</f>
        <v>Europe</v>
      </c>
      <c r="O537" s="7" t="str">
        <f>VLOOKUP(L537,countries, 5,false)</f>
        <v>Southern Europe</v>
      </c>
      <c r="P537" s="7" t="s">
        <v>212</v>
      </c>
      <c r="Q537" s="7">
        <v>6065.0</v>
      </c>
      <c r="R537" s="12">
        <v>421.89</v>
      </c>
      <c r="S537" s="12">
        <v>364.69</v>
      </c>
      <c r="T537" s="13">
        <f t="shared" si="6"/>
        <v>2558762.85</v>
      </c>
      <c r="U537" s="13">
        <f t="shared" si="7"/>
        <v>1477762.4</v>
      </c>
      <c r="V537" s="13">
        <f t="shared" si="8"/>
        <v>1081000.45</v>
      </c>
      <c r="W537" s="14">
        <f>Q537/totals!B$2</f>
        <v>0.0009222197015</v>
      </c>
      <c r="X537" s="14">
        <f t="shared" si="9"/>
        <v>0.4004125888</v>
      </c>
      <c r="Y537" s="14">
        <f>T537/totals!B$5</f>
        <v>0.00150327163</v>
      </c>
      <c r="Z537" s="14">
        <f t="shared" si="10"/>
        <v>0.391831132</v>
      </c>
      <c r="AA537" s="14">
        <f>V537/totals!B$4</f>
        <v>0.002155488821</v>
      </c>
      <c r="AB537" s="14">
        <f t="shared" si="11"/>
        <v>0.4057626002</v>
      </c>
    </row>
    <row r="538">
      <c r="A538" s="7">
        <v>8681.0</v>
      </c>
      <c r="B538" s="7" t="str">
        <f>VLOOKUP($A538,product_category,2, False)</f>
        <v>Office Supplies</v>
      </c>
      <c r="C538" s="7">
        <v>4.58816373E8</v>
      </c>
      <c r="D538" s="9">
        <v>42098.0</v>
      </c>
      <c r="E538" s="10">
        <f t="shared" si="1"/>
        <v>4</v>
      </c>
      <c r="F538" s="10" t="str">
        <f t="shared" si="2"/>
        <v>Apr</v>
      </c>
      <c r="G538" s="11">
        <f t="shared" si="3"/>
        <v>4</v>
      </c>
      <c r="H538" s="7">
        <f t="shared" si="4"/>
        <v>2015</v>
      </c>
      <c r="I538" s="9">
        <v>42110.0</v>
      </c>
      <c r="J538" s="11">
        <f t="shared" si="5"/>
        <v>12</v>
      </c>
      <c r="K538" s="7" t="s">
        <v>322</v>
      </c>
      <c r="L538" s="7" t="e">
        <v>#N/A</v>
      </c>
      <c r="M538" s="7"/>
      <c r="N538" s="7"/>
      <c r="O538" s="7"/>
      <c r="P538" s="7" t="s">
        <v>212</v>
      </c>
      <c r="Q538" s="7">
        <v>2815.0</v>
      </c>
      <c r="R538" s="12">
        <v>651.21</v>
      </c>
      <c r="S538" s="12">
        <v>524.96</v>
      </c>
      <c r="T538" s="13">
        <f t="shared" si="6"/>
        <v>1833156.15</v>
      </c>
      <c r="U538" s="13">
        <f t="shared" si="7"/>
        <v>3404745.84</v>
      </c>
      <c r="V538" s="13">
        <f t="shared" si="8"/>
        <v>-1571589.69</v>
      </c>
      <c r="W538" s="14">
        <f>Q538/totals!B$2</f>
        <v>0.0004280376685</v>
      </c>
      <c r="X538" s="14">
        <f t="shared" si="9"/>
        <v>0.4008406264</v>
      </c>
      <c r="Y538" s="14">
        <f>T538/totals!B$5</f>
        <v>0.001076978132</v>
      </c>
      <c r="Z538" s="14">
        <f t="shared" si="10"/>
        <v>0.3929081101</v>
      </c>
      <c r="AA538" s="14">
        <f>V538/totals!B$4</f>
        <v>-0.003133711932</v>
      </c>
      <c r="AB538" s="14">
        <f t="shared" si="11"/>
        <v>0.4026288883</v>
      </c>
    </row>
    <row r="539">
      <c r="A539" s="7">
        <v>8875.0</v>
      </c>
      <c r="B539" s="7" t="str">
        <f>VLOOKUP($A539,product_category,2, False)</f>
        <v>Meat</v>
      </c>
      <c r="C539" s="7">
        <v>4.59277713E8</v>
      </c>
      <c r="D539" s="9">
        <v>41593.0</v>
      </c>
      <c r="E539" s="10">
        <f t="shared" si="1"/>
        <v>11</v>
      </c>
      <c r="F539" s="10" t="str">
        <f t="shared" si="2"/>
        <v>Nov</v>
      </c>
      <c r="G539" s="11">
        <f t="shared" si="3"/>
        <v>15</v>
      </c>
      <c r="H539" s="7">
        <f t="shared" si="4"/>
        <v>2013</v>
      </c>
      <c r="I539" s="9">
        <v>41612.0</v>
      </c>
      <c r="J539" s="11">
        <f t="shared" si="5"/>
        <v>19</v>
      </c>
      <c r="K539" s="7" t="s">
        <v>110</v>
      </c>
      <c r="L539" s="7" t="s">
        <v>540</v>
      </c>
      <c r="M539" s="7" t="str">
        <f>VLOOKUP(L539,countries, 2,false)</f>
        <v>Spain</v>
      </c>
      <c r="N539" s="7" t="str">
        <f>VLOOKUP(L539,countries, 4,false)</f>
        <v>Europe</v>
      </c>
      <c r="O539" s="7" t="str">
        <f>VLOOKUP(L539,countries, 5,false)</f>
        <v>Southern Europe</v>
      </c>
      <c r="P539" s="7" t="s">
        <v>129</v>
      </c>
      <c r="Q539" s="7">
        <v>9336.0</v>
      </c>
      <c r="R539" s="12">
        <v>421.89</v>
      </c>
      <c r="S539" s="12">
        <v>364.69</v>
      </c>
      <c r="T539" s="13">
        <f t="shared" si="6"/>
        <v>3938765.04</v>
      </c>
      <c r="U539" s="13">
        <f t="shared" si="7"/>
        <v>1200273.18</v>
      </c>
      <c r="V539" s="13">
        <f t="shared" si="8"/>
        <v>2738491.86</v>
      </c>
      <c r="W539" s="14">
        <f>Q539/totals!B$2</f>
        <v>0.001419594911</v>
      </c>
      <c r="X539" s="14">
        <f t="shared" si="9"/>
        <v>0.4022602214</v>
      </c>
      <c r="Y539" s="14">
        <f>T539/totals!B$5</f>
        <v>0.002314022084</v>
      </c>
      <c r="Z539" s="14">
        <f t="shared" si="10"/>
        <v>0.3952221322</v>
      </c>
      <c r="AA539" s="14">
        <f>V539/totals!B$4</f>
        <v>0.005460486711</v>
      </c>
      <c r="AB539" s="14">
        <f t="shared" si="11"/>
        <v>0.408089375</v>
      </c>
    </row>
    <row r="540">
      <c r="A540" s="7">
        <v>7331.0</v>
      </c>
      <c r="B540" s="7" t="str">
        <f>VLOOKUP($A540,product_category,2, False)</f>
        <v>Baby Food</v>
      </c>
      <c r="C540" s="7">
        <v>4.59372985E8</v>
      </c>
      <c r="D540" s="9">
        <v>40969.0</v>
      </c>
      <c r="E540" s="10">
        <f t="shared" si="1"/>
        <v>3</v>
      </c>
      <c r="F540" s="10" t="str">
        <f t="shared" si="2"/>
        <v>Mar</v>
      </c>
      <c r="G540" s="11">
        <f t="shared" si="3"/>
        <v>1</v>
      </c>
      <c r="H540" s="7">
        <f t="shared" si="4"/>
        <v>2012</v>
      </c>
      <c r="I540" s="9">
        <v>40990.0</v>
      </c>
      <c r="J540" s="11">
        <f t="shared" si="5"/>
        <v>21</v>
      </c>
      <c r="K540" s="7" t="s">
        <v>382</v>
      </c>
      <c r="L540" s="7" t="s">
        <v>392</v>
      </c>
      <c r="M540" s="7" t="str">
        <f>VLOOKUP(L540,countries, 2,false)</f>
        <v>Italy</v>
      </c>
      <c r="N540" s="7" t="str">
        <f>VLOOKUP(L540,countries, 4,false)</f>
        <v>Europe</v>
      </c>
      <c r="O540" s="7" t="str">
        <f>VLOOKUP(L540,countries, 5,false)</f>
        <v>Southern Europe</v>
      </c>
      <c r="P540" s="7" t="s">
        <v>212</v>
      </c>
      <c r="Q540" s="7">
        <v>7529.0</v>
      </c>
      <c r="R540" s="12">
        <v>255.28</v>
      </c>
      <c r="S540" s="12">
        <v>159.42</v>
      </c>
      <c r="T540" s="13">
        <f t="shared" si="6"/>
        <v>1922003.12</v>
      </c>
      <c r="U540" s="13">
        <f t="shared" si="7"/>
        <v>56529.48</v>
      </c>
      <c r="V540" s="13">
        <f t="shared" si="8"/>
        <v>1865473.64</v>
      </c>
      <c r="W540" s="14">
        <f>Q540/totals!B$2</f>
        <v>0.0011448297</v>
      </c>
      <c r="X540" s="14">
        <f t="shared" si="9"/>
        <v>0.4034050511</v>
      </c>
      <c r="Y540" s="14">
        <f>T540/totals!B$5</f>
        <v>0.001129175673</v>
      </c>
      <c r="Z540" s="14">
        <f t="shared" si="10"/>
        <v>0.3963513079</v>
      </c>
      <c r="AA540" s="14">
        <f>V540/totals!B$4</f>
        <v>0.003719709439</v>
      </c>
      <c r="AB540" s="14">
        <f t="shared" si="11"/>
        <v>0.4118090845</v>
      </c>
    </row>
    <row r="541">
      <c r="A541" s="7">
        <v>4594.0</v>
      </c>
      <c r="B541" s="7" t="str">
        <f>VLOOKUP($A541,product_category,2, False)</f>
        <v>Fruits</v>
      </c>
      <c r="C541" s="7">
        <v>4.60693061E8</v>
      </c>
      <c r="D541" s="9">
        <v>42763.0</v>
      </c>
      <c r="E541" s="10">
        <f t="shared" si="1"/>
        <v>1</v>
      </c>
      <c r="F541" s="10" t="str">
        <f t="shared" si="2"/>
        <v>Jan</v>
      </c>
      <c r="G541" s="11">
        <f t="shared" si="3"/>
        <v>28</v>
      </c>
      <c r="H541" s="7">
        <f t="shared" si="4"/>
        <v>2017</v>
      </c>
      <c r="I541" s="9">
        <v>42791.0</v>
      </c>
      <c r="J541" s="11">
        <f t="shared" si="5"/>
        <v>28</v>
      </c>
      <c r="K541" s="7" t="s">
        <v>198</v>
      </c>
      <c r="L541" s="7" t="s">
        <v>304</v>
      </c>
      <c r="M541" s="7" t="str">
        <f>VLOOKUP(L541,countries, 2,false)</f>
        <v>Georgia</v>
      </c>
      <c r="N541" s="7" t="str">
        <f>VLOOKUP(L541,countries, 4,false)</f>
        <v>Asia</v>
      </c>
      <c r="O541" s="7" t="str">
        <f>VLOOKUP(L541,countries, 5,false)</f>
        <v>Western Asia</v>
      </c>
      <c r="P541" s="7" t="s">
        <v>212</v>
      </c>
      <c r="Q541" s="7">
        <v>8169.0</v>
      </c>
      <c r="R541" s="12">
        <v>9.33</v>
      </c>
      <c r="S541" s="12">
        <v>6.92</v>
      </c>
      <c r="T541" s="13">
        <f t="shared" si="6"/>
        <v>76216.77</v>
      </c>
      <c r="U541" s="13">
        <f t="shared" si="7"/>
        <v>52136.4</v>
      </c>
      <c r="V541" s="13">
        <f t="shared" si="8"/>
        <v>24080.37</v>
      </c>
      <c r="W541" s="14">
        <f>Q541/totals!B$2</f>
        <v>0.001242145547</v>
      </c>
      <c r="X541" s="14">
        <f t="shared" si="9"/>
        <v>0.4046471966</v>
      </c>
      <c r="Y541" s="14">
        <f>T541/totals!B$5</f>
        <v>0.00004477730637</v>
      </c>
      <c r="Z541" s="14">
        <f t="shared" si="10"/>
        <v>0.3963960852</v>
      </c>
      <c r="AA541" s="14">
        <f>V541/totals!B$4</f>
        <v>0.00004801567691</v>
      </c>
      <c r="AB541" s="14">
        <f t="shared" si="11"/>
        <v>0.4118571001</v>
      </c>
    </row>
    <row r="542">
      <c r="A542" s="7">
        <v>3127.0</v>
      </c>
      <c r="B542" s="7" t="str">
        <f>VLOOKUP($A542,product_category,2, False)</f>
        <v>Personal Care</v>
      </c>
      <c r="C542" s="7">
        <v>4.61445796E8</v>
      </c>
      <c r="D542" s="9">
        <v>42417.0</v>
      </c>
      <c r="E542" s="10">
        <f t="shared" si="1"/>
        <v>2</v>
      </c>
      <c r="F542" s="10" t="str">
        <f t="shared" si="2"/>
        <v>Feb</v>
      </c>
      <c r="G542" s="11">
        <f t="shared" si="3"/>
        <v>17</v>
      </c>
      <c r="H542" s="7">
        <f t="shared" si="4"/>
        <v>2016</v>
      </c>
      <c r="I542" s="9">
        <v>42451.0</v>
      </c>
      <c r="J542" s="11">
        <f t="shared" si="5"/>
        <v>34</v>
      </c>
      <c r="K542" s="7" t="s">
        <v>322</v>
      </c>
      <c r="L542" s="7" t="e">
        <v>#N/A</v>
      </c>
      <c r="M542" s="7"/>
      <c r="N542" s="7"/>
      <c r="O542" s="7"/>
      <c r="P542" s="7" t="s">
        <v>129</v>
      </c>
      <c r="Q542" s="7">
        <v>920.0</v>
      </c>
      <c r="R542" s="12">
        <v>81.73</v>
      </c>
      <c r="S542" s="12">
        <v>56.67</v>
      </c>
      <c r="T542" s="13">
        <f t="shared" si="6"/>
        <v>75191.6</v>
      </c>
      <c r="U542" s="13">
        <f t="shared" si="7"/>
        <v>98202.72</v>
      </c>
      <c r="V542" s="13">
        <f t="shared" si="8"/>
        <v>-23011.12</v>
      </c>
      <c r="W542" s="14">
        <f>Q542/totals!B$2</f>
        <v>0.0001398915293</v>
      </c>
      <c r="X542" s="14">
        <f t="shared" si="9"/>
        <v>0.4047870881</v>
      </c>
      <c r="Y542" s="14">
        <f>T542/totals!B$5</f>
        <v>0.00004417501962</v>
      </c>
      <c r="Z542" s="14">
        <f t="shared" si="10"/>
        <v>0.3964402602</v>
      </c>
      <c r="AA542" s="14">
        <f>V542/totals!B$4</f>
        <v>-0.0000458836182</v>
      </c>
      <c r="AB542" s="14">
        <f t="shared" si="11"/>
        <v>0.4118112165</v>
      </c>
    </row>
    <row r="543">
      <c r="A543" s="7">
        <v>7331.0</v>
      </c>
      <c r="B543" s="7" t="str">
        <f>VLOOKUP($A543,product_category,2, False)</f>
        <v>Baby Food</v>
      </c>
      <c r="C543" s="7">
        <v>4.61917865E8</v>
      </c>
      <c r="D543" s="9">
        <v>42415.0</v>
      </c>
      <c r="E543" s="10">
        <f t="shared" si="1"/>
        <v>2</v>
      </c>
      <c r="F543" s="10" t="str">
        <f t="shared" si="2"/>
        <v>Feb</v>
      </c>
      <c r="G543" s="11">
        <f t="shared" si="3"/>
        <v>15</v>
      </c>
      <c r="H543" s="7">
        <f t="shared" si="4"/>
        <v>2016</v>
      </c>
      <c r="I543" s="9">
        <v>42450.0</v>
      </c>
      <c r="J543" s="11">
        <f t="shared" si="5"/>
        <v>35</v>
      </c>
      <c r="K543" s="7" t="s">
        <v>198</v>
      </c>
      <c r="L543" s="7" t="s">
        <v>323</v>
      </c>
      <c r="M543" s="7" t="str">
        <f>VLOOKUP(L543,countries, 2,false)</f>
        <v>Montenegro</v>
      </c>
      <c r="N543" s="7" t="str">
        <f>VLOOKUP(L543,countries, 4,false)</f>
        <v>Europe</v>
      </c>
      <c r="O543" s="7" t="str">
        <f>VLOOKUP(L543,countries, 5,false)</f>
        <v>Southern Europe</v>
      </c>
      <c r="P543" s="7" t="s">
        <v>212</v>
      </c>
      <c r="Q543" s="7">
        <v>616.0</v>
      </c>
      <c r="R543" s="12">
        <v>255.28</v>
      </c>
      <c r="S543" s="12">
        <v>159.42</v>
      </c>
      <c r="T543" s="13">
        <f t="shared" si="6"/>
        <v>157252.48</v>
      </c>
      <c r="U543" s="13">
        <f t="shared" si="7"/>
        <v>358490.27</v>
      </c>
      <c r="V543" s="13">
        <f t="shared" si="8"/>
        <v>-201237.79</v>
      </c>
      <c r="W543" s="14">
        <f>Q543/totals!B$2</f>
        <v>0.00009366650224</v>
      </c>
      <c r="X543" s="14">
        <f t="shared" si="9"/>
        <v>0.4048807546</v>
      </c>
      <c r="Y543" s="14">
        <f>T543/totals!B$5</f>
        <v>0.00009238573709</v>
      </c>
      <c r="Z543" s="14">
        <f t="shared" si="10"/>
        <v>0.396532646</v>
      </c>
      <c r="AA543" s="14">
        <f>V543/totals!B$4</f>
        <v>-0.000401263299</v>
      </c>
      <c r="AB543" s="14">
        <f t="shared" si="11"/>
        <v>0.4114099532</v>
      </c>
    </row>
    <row r="544">
      <c r="A544" s="7">
        <v>8875.0</v>
      </c>
      <c r="B544" s="7" t="str">
        <f>VLOOKUP($A544,product_category,2, False)</f>
        <v>Meat</v>
      </c>
      <c r="C544" s="7">
        <v>4.62561166E8</v>
      </c>
      <c r="D544" s="9">
        <v>41366.0</v>
      </c>
      <c r="E544" s="10">
        <f t="shared" si="1"/>
        <v>4</v>
      </c>
      <c r="F544" s="10" t="str">
        <f t="shared" si="2"/>
        <v>Apr</v>
      </c>
      <c r="G544" s="11">
        <f t="shared" si="3"/>
        <v>2</v>
      </c>
      <c r="H544" s="7">
        <f t="shared" si="4"/>
        <v>2013</v>
      </c>
      <c r="I544" s="9">
        <v>41396.0</v>
      </c>
      <c r="J544" s="11">
        <f t="shared" si="5"/>
        <v>30</v>
      </c>
      <c r="K544" s="7" t="s">
        <v>382</v>
      </c>
      <c r="L544" s="7" t="s">
        <v>540</v>
      </c>
      <c r="M544" s="7" t="str">
        <f>VLOOKUP(L544,countries, 2,false)</f>
        <v>Spain</v>
      </c>
      <c r="N544" s="7" t="str">
        <f>VLOOKUP(L544,countries, 4,false)</f>
        <v>Europe</v>
      </c>
      <c r="O544" s="7" t="str">
        <f>VLOOKUP(L544,countries, 5,false)</f>
        <v>Southern Europe</v>
      </c>
      <c r="P544" s="7" t="s">
        <v>129</v>
      </c>
      <c r="Q544" s="7">
        <v>983.0</v>
      </c>
      <c r="R544" s="12">
        <v>421.89</v>
      </c>
      <c r="S544" s="12">
        <v>364.69</v>
      </c>
      <c r="T544" s="13">
        <f t="shared" si="6"/>
        <v>414717.87</v>
      </c>
      <c r="U544" s="13">
        <f t="shared" si="7"/>
        <v>2901163.42</v>
      </c>
      <c r="V544" s="13">
        <f t="shared" si="8"/>
        <v>-2486445.55</v>
      </c>
      <c r="W544" s="14">
        <f>Q544/totals!B$2</f>
        <v>0.000149471058</v>
      </c>
      <c r="X544" s="14">
        <f t="shared" si="9"/>
        <v>0.4050302257</v>
      </c>
      <c r="Y544" s="14">
        <f>T544/totals!B$5</f>
        <v>0.0002436464983</v>
      </c>
      <c r="Z544" s="14">
        <f t="shared" si="10"/>
        <v>0.3967762925</v>
      </c>
      <c r="AA544" s="14">
        <f>V544/totals!B$4</f>
        <v>-0.004957912448</v>
      </c>
      <c r="AB544" s="14">
        <f t="shared" si="11"/>
        <v>0.4064520408</v>
      </c>
    </row>
    <row r="545">
      <c r="A545" s="7">
        <v>7940.0</v>
      </c>
      <c r="B545" s="7" t="str">
        <f>VLOOKUP($A545,product_category,2, False)</f>
        <v>Household</v>
      </c>
      <c r="C545" s="7">
        <v>4.63591134E8</v>
      </c>
      <c r="D545" s="9">
        <v>42618.0</v>
      </c>
      <c r="E545" s="10">
        <f t="shared" si="1"/>
        <v>9</v>
      </c>
      <c r="F545" s="10" t="str">
        <f t="shared" si="2"/>
        <v>Sep</v>
      </c>
      <c r="G545" s="11">
        <f t="shared" si="3"/>
        <v>5</v>
      </c>
      <c r="H545" s="7">
        <f t="shared" si="4"/>
        <v>2016</v>
      </c>
      <c r="I545" s="9">
        <v>42644.0</v>
      </c>
      <c r="J545" s="11">
        <f t="shared" si="5"/>
        <v>26</v>
      </c>
      <c r="K545" s="7" t="s">
        <v>198</v>
      </c>
      <c r="L545" s="7" t="s">
        <v>454</v>
      </c>
      <c r="M545" s="7" t="str">
        <f>VLOOKUP(L545,countries, 2,false)</f>
        <v>Luxembourg</v>
      </c>
      <c r="N545" s="7" t="str">
        <f>VLOOKUP(L545,countries, 4,false)</f>
        <v>Europe</v>
      </c>
      <c r="O545" s="7" t="str">
        <f>VLOOKUP(L545,countries, 5,false)</f>
        <v>Western Europe</v>
      </c>
      <c r="P545" s="7" t="s">
        <v>212</v>
      </c>
      <c r="Q545" s="7">
        <v>5773.0</v>
      </c>
      <c r="R545" s="12">
        <v>668.27</v>
      </c>
      <c r="S545" s="12">
        <v>502.54</v>
      </c>
      <c r="T545" s="13">
        <f t="shared" si="6"/>
        <v>3857922.71</v>
      </c>
      <c r="U545" s="13">
        <f t="shared" si="7"/>
        <v>624882.72</v>
      </c>
      <c r="V545" s="13">
        <f t="shared" si="8"/>
        <v>3233039.99</v>
      </c>
      <c r="W545" s="14">
        <f>Q545/totals!B$2</f>
        <v>0.0008778193465</v>
      </c>
      <c r="X545" s="14">
        <f t="shared" si="9"/>
        <v>0.405908045</v>
      </c>
      <c r="Y545" s="14">
        <f>T545/totals!B$5</f>
        <v>0.002266527264</v>
      </c>
      <c r="Z545" s="14">
        <f t="shared" si="10"/>
        <v>0.3990428197</v>
      </c>
      <c r="AA545" s="14">
        <f>V545/totals!B$4</f>
        <v>0.006446603752</v>
      </c>
      <c r="AB545" s="14">
        <f t="shared" si="11"/>
        <v>0.4128986445</v>
      </c>
    </row>
    <row r="546">
      <c r="A546" s="7">
        <v>8969.0</v>
      </c>
      <c r="B546" s="7" t="str">
        <f>VLOOKUP($A546,product_category,2, False)</f>
        <v>Snacks</v>
      </c>
      <c r="C546" s="7">
        <v>4.6491121E8</v>
      </c>
      <c r="D546" s="9">
        <v>41646.0</v>
      </c>
      <c r="E546" s="10">
        <f t="shared" si="1"/>
        <v>1</v>
      </c>
      <c r="F546" s="10" t="str">
        <f t="shared" si="2"/>
        <v>Jan</v>
      </c>
      <c r="G546" s="11">
        <f t="shared" si="3"/>
        <v>7</v>
      </c>
      <c r="H546" s="7">
        <f t="shared" si="4"/>
        <v>2014</v>
      </c>
      <c r="I546" s="9">
        <v>41680.0</v>
      </c>
      <c r="J546" s="11">
        <f t="shared" si="5"/>
        <v>34</v>
      </c>
      <c r="K546" s="7" t="s">
        <v>322</v>
      </c>
      <c r="L546" s="7" t="s">
        <v>392</v>
      </c>
      <c r="M546" s="7" t="str">
        <f>VLOOKUP(L546,countries, 2,false)</f>
        <v>Italy</v>
      </c>
      <c r="N546" s="7" t="str">
        <f>VLOOKUP(L546,countries, 4,false)</f>
        <v>Europe</v>
      </c>
      <c r="O546" s="7" t="str">
        <f>VLOOKUP(L546,countries, 5,false)</f>
        <v>Southern Europe</v>
      </c>
      <c r="P546" s="7" t="s">
        <v>212</v>
      </c>
      <c r="Q546" s="7">
        <v>6413.0</v>
      </c>
      <c r="R546" s="12">
        <v>152.58</v>
      </c>
      <c r="S546" s="12">
        <v>97.44</v>
      </c>
      <c r="T546" s="13">
        <f t="shared" si="6"/>
        <v>978495.54</v>
      </c>
      <c r="U546" s="13">
        <f t="shared" si="7"/>
        <v>507298.47</v>
      </c>
      <c r="V546" s="13">
        <f t="shared" si="8"/>
        <v>471197.07</v>
      </c>
      <c r="W546" s="14">
        <f>Q546/totals!B$2</f>
        <v>0.000975135193</v>
      </c>
      <c r="X546" s="14">
        <f t="shared" si="9"/>
        <v>0.4068831802</v>
      </c>
      <c r="Y546" s="14">
        <f>T546/totals!B$5</f>
        <v>0.0005748655392</v>
      </c>
      <c r="Z546" s="14">
        <f t="shared" si="10"/>
        <v>0.3996176853</v>
      </c>
      <c r="AA546" s="14">
        <f>V546/totals!B$4</f>
        <v>0.0009395555913</v>
      </c>
      <c r="AB546" s="14">
        <f t="shared" si="11"/>
        <v>0.4138382001</v>
      </c>
    </row>
    <row r="547">
      <c r="A547" s="7">
        <v>5988.0</v>
      </c>
      <c r="B547" s="7" t="str">
        <f>VLOOKUP($A547,product_category,2, False)</f>
        <v>Vegetables</v>
      </c>
      <c r="C547" s="7">
        <v>4.65753209E8</v>
      </c>
      <c r="D547" s="9">
        <v>40616.0</v>
      </c>
      <c r="E547" s="10">
        <f t="shared" si="1"/>
        <v>3</v>
      </c>
      <c r="F547" s="10" t="str">
        <f t="shared" si="2"/>
        <v>Mar</v>
      </c>
      <c r="G547" s="11">
        <f t="shared" si="3"/>
        <v>14</v>
      </c>
      <c r="H547" s="7">
        <f t="shared" si="4"/>
        <v>2011</v>
      </c>
      <c r="I547" s="9">
        <v>40616.0</v>
      </c>
      <c r="J547" s="11">
        <f t="shared" si="5"/>
        <v>0</v>
      </c>
      <c r="K547" s="7" t="s">
        <v>198</v>
      </c>
      <c r="L547" s="7" t="s">
        <v>307</v>
      </c>
      <c r="M547" s="7" t="str">
        <f>VLOOKUP(L547,countries, 2,false)</f>
        <v>Germany</v>
      </c>
      <c r="N547" s="7" t="str">
        <f>VLOOKUP(L547,countries, 4,false)</f>
        <v>Europe</v>
      </c>
      <c r="O547" s="7" t="str">
        <f>VLOOKUP(L547,countries, 5,false)</f>
        <v>Western Europe</v>
      </c>
      <c r="P547" s="7" t="s">
        <v>212</v>
      </c>
      <c r="Q547" s="7">
        <v>5579.0</v>
      </c>
      <c r="R547" s="12">
        <v>154.06</v>
      </c>
      <c r="S547" s="12">
        <v>90.93</v>
      </c>
      <c r="T547" s="13">
        <f t="shared" si="6"/>
        <v>859500.74</v>
      </c>
      <c r="U547" s="13">
        <f t="shared" si="7"/>
        <v>13051.12</v>
      </c>
      <c r="V547" s="13">
        <f t="shared" si="8"/>
        <v>846449.62</v>
      </c>
      <c r="W547" s="14">
        <f>Q547/totals!B$2</f>
        <v>0.0008483204805</v>
      </c>
      <c r="X547" s="14">
        <f t="shared" si="9"/>
        <v>0.4077315007</v>
      </c>
      <c r="Y547" s="14">
        <f>T547/totals!B$5</f>
        <v>0.000504956166</v>
      </c>
      <c r="Z547" s="14">
        <f t="shared" si="10"/>
        <v>0.4001226414</v>
      </c>
      <c r="AA547" s="14">
        <f>V547/totals!B$4</f>
        <v>0.001687800124</v>
      </c>
      <c r="AB547" s="14">
        <f t="shared" si="11"/>
        <v>0.4155260002</v>
      </c>
    </row>
    <row r="548">
      <c r="A548" s="7">
        <v>4594.0</v>
      </c>
      <c r="B548" s="7" t="str">
        <f>VLOOKUP($A548,product_category,2, False)</f>
        <v>Fruits</v>
      </c>
      <c r="C548" s="7">
        <v>4.66517961E8</v>
      </c>
      <c r="D548" s="9">
        <v>40391.0</v>
      </c>
      <c r="E548" s="10">
        <f t="shared" si="1"/>
        <v>8</v>
      </c>
      <c r="F548" s="10" t="str">
        <f t="shared" si="2"/>
        <v>Aug</v>
      </c>
      <c r="G548" s="11">
        <f t="shared" si="3"/>
        <v>1</v>
      </c>
      <c r="H548" s="7">
        <f t="shared" si="4"/>
        <v>2010</v>
      </c>
      <c r="I548" s="9">
        <v>40428.0</v>
      </c>
      <c r="J548" s="11">
        <f t="shared" si="5"/>
        <v>37</v>
      </c>
      <c r="K548" s="7" t="s">
        <v>322</v>
      </c>
      <c r="L548" s="7" t="s">
        <v>107</v>
      </c>
      <c r="M548" s="7" t="str">
        <f>VLOOKUP(L548,countries, 2,false)</f>
        <v>Belarus</v>
      </c>
      <c r="N548" s="7" t="str">
        <f>VLOOKUP(L548,countries, 4,false)</f>
        <v>Europe</v>
      </c>
      <c r="O548" s="7" t="str">
        <f>VLOOKUP(L548,countries, 5,false)</f>
        <v>Eastern Europe</v>
      </c>
      <c r="P548" s="7" t="s">
        <v>129</v>
      </c>
      <c r="Q548" s="7">
        <v>1886.0</v>
      </c>
      <c r="R548" s="12">
        <v>9.33</v>
      </c>
      <c r="S548" s="12">
        <v>6.92</v>
      </c>
      <c r="T548" s="13">
        <f t="shared" si="6"/>
        <v>17596.38</v>
      </c>
      <c r="U548" s="13">
        <f t="shared" si="7"/>
        <v>68060.67</v>
      </c>
      <c r="V548" s="13">
        <f t="shared" si="8"/>
        <v>-50464.29</v>
      </c>
      <c r="W548" s="14">
        <f>Q548/totals!B$2</f>
        <v>0.0002867776351</v>
      </c>
      <c r="X548" s="14">
        <f t="shared" si="9"/>
        <v>0.4080182783</v>
      </c>
      <c r="Y548" s="14">
        <f>T548/totals!B$5</f>
        <v>0.00001033786263</v>
      </c>
      <c r="Z548" s="14">
        <f t="shared" si="10"/>
        <v>0.4001329793</v>
      </c>
      <c r="AA548" s="14">
        <f>V548/totals!B$4</f>
        <v>-0.000100624577</v>
      </c>
      <c r="AB548" s="14">
        <f t="shared" si="11"/>
        <v>0.4154253757</v>
      </c>
    </row>
    <row r="549">
      <c r="A549" s="7">
        <v>3127.0</v>
      </c>
      <c r="B549" s="7" t="str">
        <f>VLOOKUP($A549,product_category,2, False)</f>
        <v>Personal Care</v>
      </c>
      <c r="C549" s="7">
        <v>4.66988742E8</v>
      </c>
      <c r="D549" s="9">
        <v>40771.0</v>
      </c>
      <c r="E549" s="10">
        <f t="shared" si="1"/>
        <v>8</v>
      </c>
      <c r="F549" s="10" t="str">
        <f t="shared" si="2"/>
        <v>Aug</v>
      </c>
      <c r="G549" s="11">
        <f t="shared" si="3"/>
        <v>16</v>
      </c>
      <c r="H549" s="7">
        <f t="shared" si="4"/>
        <v>2011</v>
      </c>
      <c r="I549" s="9">
        <v>40771.0</v>
      </c>
      <c r="J549" s="11">
        <f t="shared" si="5"/>
        <v>0</v>
      </c>
      <c r="K549" s="7" t="s">
        <v>110</v>
      </c>
      <c r="L549" s="7" t="s">
        <v>478</v>
      </c>
      <c r="M549" s="7" t="str">
        <f>VLOOKUP(L549,countries, 2,false)</f>
        <v>Malta</v>
      </c>
      <c r="N549" s="7" t="str">
        <f>VLOOKUP(L549,countries, 4,false)</f>
        <v>Europe</v>
      </c>
      <c r="O549" s="7" t="str">
        <f>VLOOKUP(L549,countries, 5,false)</f>
        <v>Southern Europe</v>
      </c>
      <c r="P549" s="7" t="s">
        <v>212</v>
      </c>
      <c r="Q549" s="7">
        <v>1201.0</v>
      </c>
      <c r="R549" s="12">
        <v>81.73</v>
      </c>
      <c r="S549" s="12">
        <v>56.67</v>
      </c>
      <c r="T549" s="13">
        <f t="shared" si="6"/>
        <v>98157.73</v>
      </c>
      <c r="U549" s="13">
        <f t="shared" si="7"/>
        <v>458573.64</v>
      </c>
      <c r="V549" s="13">
        <f t="shared" si="8"/>
        <v>-360415.91</v>
      </c>
      <c r="W549" s="14">
        <f>Q549/totals!B$2</f>
        <v>0.0001826192682</v>
      </c>
      <c r="X549" s="14">
        <f t="shared" si="9"/>
        <v>0.4082008976</v>
      </c>
      <c r="Y549" s="14">
        <f>T549/totals!B$5</f>
        <v>0.00005766760713</v>
      </c>
      <c r="Z549" s="14">
        <f t="shared" si="10"/>
        <v>0.4001906469</v>
      </c>
      <c r="AA549" s="14">
        <f>V549/totals!B$4</f>
        <v>-0.0007186606305</v>
      </c>
      <c r="AB549" s="14">
        <f t="shared" si="11"/>
        <v>0.414706715</v>
      </c>
    </row>
    <row r="550">
      <c r="A550" s="7">
        <v>3127.0</v>
      </c>
      <c r="B550" s="7" t="str">
        <f>VLOOKUP($A550,product_category,2, False)</f>
        <v>Personal Care</v>
      </c>
      <c r="C550" s="7">
        <v>4.67045819E8</v>
      </c>
      <c r="D550" s="9">
        <v>41344.0</v>
      </c>
      <c r="E550" s="10">
        <f t="shared" si="1"/>
        <v>3</v>
      </c>
      <c r="F550" s="10" t="str">
        <f t="shared" si="2"/>
        <v>Mar</v>
      </c>
      <c r="G550" s="11">
        <f t="shared" si="3"/>
        <v>11</v>
      </c>
      <c r="H550" s="7">
        <f t="shared" si="4"/>
        <v>2013</v>
      </c>
      <c r="I550" s="9">
        <v>41376.0</v>
      </c>
      <c r="J550" s="11">
        <f t="shared" si="5"/>
        <v>32</v>
      </c>
      <c r="K550" s="7" t="s">
        <v>110</v>
      </c>
      <c r="L550" s="7" t="e">
        <v>#N/A</v>
      </c>
      <c r="M550" s="7"/>
      <c r="N550" s="7"/>
      <c r="O550" s="7"/>
      <c r="P550" s="7" t="s">
        <v>129</v>
      </c>
      <c r="Q550" s="7">
        <v>8092.0</v>
      </c>
      <c r="R550" s="12">
        <v>81.73</v>
      </c>
      <c r="S550" s="12">
        <v>56.67</v>
      </c>
      <c r="T550" s="13">
        <f t="shared" si="6"/>
        <v>661359.16</v>
      </c>
      <c r="U550" s="13">
        <f t="shared" si="7"/>
        <v>197944.32</v>
      </c>
      <c r="V550" s="13">
        <f t="shared" si="8"/>
        <v>463414.84</v>
      </c>
      <c r="W550" s="14">
        <f>Q550/totals!B$2</f>
        <v>0.001230437234</v>
      </c>
      <c r="X550" s="14">
        <f t="shared" si="9"/>
        <v>0.4094313349</v>
      </c>
      <c r="Y550" s="14">
        <f>T550/totals!B$5</f>
        <v>0.0003885481073</v>
      </c>
      <c r="Z550" s="14">
        <f t="shared" si="10"/>
        <v>0.400579195</v>
      </c>
      <c r="AA550" s="14">
        <f>V550/totals!B$4</f>
        <v>0.0009240380124</v>
      </c>
      <c r="AB550" s="14">
        <f t="shared" si="11"/>
        <v>0.415630753</v>
      </c>
    </row>
    <row r="551">
      <c r="A551" s="7">
        <v>2455.0</v>
      </c>
      <c r="B551" s="7" t="str">
        <f>VLOOKUP($A551,product_category,2, False)</f>
        <v>Clothes</v>
      </c>
      <c r="C551" s="7">
        <v>4.67138516E8</v>
      </c>
      <c r="D551" s="9">
        <v>41485.0</v>
      </c>
      <c r="E551" s="10">
        <f t="shared" si="1"/>
        <v>7</v>
      </c>
      <c r="F551" s="10" t="str">
        <f t="shared" si="2"/>
        <v>Jul</v>
      </c>
      <c r="G551" s="11">
        <f t="shared" si="3"/>
        <v>30</v>
      </c>
      <c r="H551" s="7">
        <f t="shared" si="4"/>
        <v>2013</v>
      </c>
      <c r="I551" s="9">
        <v>41494.0</v>
      </c>
      <c r="J551" s="11">
        <f t="shared" si="5"/>
        <v>9</v>
      </c>
      <c r="K551" s="7" t="s">
        <v>382</v>
      </c>
      <c r="L551" s="7" t="s">
        <v>642</v>
      </c>
      <c r="M551" s="7" t="str">
        <f>VLOOKUP(L551,countries, 2,false)</f>
        <v>San Marino</v>
      </c>
      <c r="N551" s="7" t="str">
        <f>VLOOKUP(L551,countries, 4,false)</f>
        <v>Europe</v>
      </c>
      <c r="O551" s="7" t="str">
        <f>VLOOKUP(L551,countries, 5,false)</f>
        <v>Southern Europe</v>
      </c>
      <c r="P551" s="7" t="s">
        <v>129</v>
      </c>
      <c r="Q551" s="7">
        <v>5523.0</v>
      </c>
      <c r="R551" s="12">
        <v>109.28</v>
      </c>
      <c r="S551" s="12">
        <v>35.84</v>
      </c>
      <c r="T551" s="13">
        <f t="shared" si="6"/>
        <v>603553.44</v>
      </c>
      <c r="U551" s="13">
        <f t="shared" si="7"/>
        <v>1108925.52</v>
      </c>
      <c r="V551" s="13">
        <f t="shared" si="8"/>
        <v>-505372.08</v>
      </c>
      <c r="W551" s="14">
        <f>Q551/totals!B$2</f>
        <v>0.000839805344</v>
      </c>
      <c r="X551" s="14">
        <f t="shared" si="9"/>
        <v>0.4102711402</v>
      </c>
      <c r="Y551" s="14">
        <f>T551/totals!B$5</f>
        <v>0.0003545872817</v>
      </c>
      <c r="Z551" s="14">
        <f t="shared" si="10"/>
        <v>0.4009337823</v>
      </c>
      <c r="AA551" s="14">
        <f>V551/totals!B$4</f>
        <v>-0.001007699737</v>
      </c>
      <c r="AB551" s="14">
        <f t="shared" si="11"/>
        <v>0.4146230533</v>
      </c>
    </row>
    <row r="552">
      <c r="A552" s="7">
        <v>7331.0</v>
      </c>
      <c r="B552" s="7" t="str">
        <f>VLOOKUP($A552,product_category,2, False)</f>
        <v>Baby Food</v>
      </c>
      <c r="C552" s="7">
        <v>4.67312324E8</v>
      </c>
      <c r="D552" s="9">
        <v>42439.0</v>
      </c>
      <c r="E552" s="10">
        <f t="shared" si="1"/>
        <v>3</v>
      </c>
      <c r="F552" s="10" t="str">
        <f t="shared" si="2"/>
        <v>Mar</v>
      </c>
      <c r="G552" s="11">
        <f t="shared" si="3"/>
        <v>10</v>
      </c>
      <c r="H552" s="7">
        <f t="shared" si="4"/>
        <v>2016</v>
      </c>
      <c r="I552" s="9">
        <v>42468.0</v>
      </c>
      <c r="J552" s="11">
        <f t="shared" si="5"/>
        <v>29</v>
      </c>
      <c r="K552" s="7" t="s">
        <v>198</v>
      </c>
      <c r="L552" s="7" t="s">
        <v>234</v>
      </c>
      <c r="M552" s="7" t="str">
        <f>VLOOKUP(L552,countries, 2,false)</f>
        <v>Czech Republic</v>
      </c>
      <c r="N552" s="7" t="str">
        <f>VLOOKUP(L552,countries, 4,false)</f>
        <v>Europe</v>
      </c>
      <c r="O552" s="7" t="str">
        <f>VLOOKUP(L552,countries, 5,false)</f>
        <v>Eastern Europe</v>
      </c>
      <c r="P552" s="7" t="s">
        <v>129</v>
      </c>
      <c r="Q552" s="7">
        <v>6956.0</v>
      </c>
      <c r="R552" s="12">
        <v>255.28</v>
      </c>
      <c r="S552" s="12">
        <v>159.42</v>
      </c>
      <c r="T552" s="13">
        <f t="shared" si="6"/>
        <v>1775727.68</v>
      </c>
      <c r="U552" s="13">
        <f t="shared" si="7"/>
        <v>4293647.84</v>
      </c>
      <c r="V552" s="13">
        <f t="shared" si="8"/>
        <v>-2517920.16</v>
      </c>
      <c r="W552" s="14">
        <f>Q552/totals!B$2</f>
        <v>0.001057701607</v>
      </c>
      <c r="X552" s="14">
        <f t="shared" si="9"/>
        <v>0.4113288418</v>
      </c>
      <c r="Y552" s="14">
        <f>T552/totals!B$5</f>
        <v>0.00104323894</v>
      </c>
      <c r="Z552" s="14">
        <f t="shared" si="10"/>
        <v>0.4019770212</v>
      </c>
      <c r="AA552" s="14">
        <f>V552/totals!B$4</f>
        <v>-0.005020672061</v>
      </c>
      <c r="AB552" s="14">
        <f t="shared" si="11"/>
        <v>0.4096023812</v>
      </c>
    </row>
    <row r="553">
      <c r="A553" s="7">
        <v>8681.0</v>
      </c>
      <c r="B553" s="7" t="str">
        <f>VLOOKUP($A553,product_category,2, False)</f>
        <v>Office Supplies</v>
      </c>
      <c r="C553" s="7">
        <v>4.67924726E8</v>
      </c>
      <c r="D553" s="9">
        <v>42265.0</v>
      </c>
      <c r="E553" s="10">
        <f t="shared" si="1"/>
        <v>9</v>
      </c>
      <c r="F553" s="10" t="str">
        <f t="shared" si="2"/>
        <v>Sep</v>
      </c>
      <c r="G553" s="11">
        <f t="shared" si="3"/>
        <v>18</v>
      </c>
      <c r="H553" s="7">
        <f t="shared" si="4"/>
        <v>2015</v>
      </c>
      <c r="I553" s="9">
        <v>42297.0</v>
      </c>
      <c r="J553" s="11">
        <f t="shared" si="5"/>
        <v>32</v>
      </c>
      <c r="K553" s="7" t="s">
        <v>198</v>
      </c>
      <c r="L553" s="7" t="s">
        <v>364</v>
      </c>
      <c r="M553" s="7" t="str">
        <f>VLOOKUP(L553,countries, 2,false)</f>
        <v>Hungary</v>
      </c>
      <c r="N553" s="7" t="str">
        <f>VLOOKUP(L553,countries, 4,false)</f>
        <v>Europe</v>
      </c>
      <c r="O553" s="7" t="str">
        <f>VLOOKUP(L553,countries, 5,false)</f>
        <v>Eastern Europe</v>
      </c>
      <c r="P553" s="7" t="s">
        <v>212</v>
      </c>
      <c r="Q553" s="7">
        <v>8179.0</v>
      </c>
      <c r="R553" s="12">
        <v>651.21</v>
      </c>
      <c r="S553" s="12">
        <v>524.96</v>
      </c>
      <c r="T553" s="13">
        <f t="shared" si="6"/>
        <v>5326246.59</v>
      </c>
      <c r="U553" s="13">
        <f t="shared" si="7"/>
        <v>490749.21</v>
      </c>
      <c r="V553" s="13">
        <f t="shared" si="8"/>
        <v>4835497.38</v>
      </c>
      <c r="W553" s="14">
        <f>Q553/totals!B$2</f>
        <v>0.001243666107</v>
      </c>
      <c r="X553" s="14">
        <f t="shared" si="9"/>
        <v>0.4125725079</v>
      </c>
      <c r="Y553" s="14">
        <f>T553/totals!B$5</f>
        <v>0.003129166657</v>
      </c>
      <c r="Z553" s="14">
        <f t="shared" si="10"/>
        <v>0.4051061879</v>
      </c>
      <c r="AA553" s="14">
        <f>V553/totals!B$4</f>
        <v>0.009641865133</v>
      </c>
      <c r="AB553" s="14">
        <f t="shared" si="11"/>
        <v>0.4192442464</v>
      </c>
    </row>
    <row r="554">
      <c r="A554" s="7">
        <v>5988.0</v>
      </c>
      <c r="B554" s="7" t="str">
        <f>VLOOKUP($A554,product_category,2, False)</f>
        <v>Vegetables</v>
      </c>
      <c r="C554" s="7">
        <v>4.68320834E8</v>
      </c>
      <c r="D554" s="9">
        <v>42686.0</v>
      </c>
      <c r="E554" s="10">
        <f t="shared" si="1"/>
        <v>11</v>
      </c>
      <c r="F554" s="10" t="str">
        <f t="shared" si="2"/>
        <v>Nov</v>
      </c>
      <c r="G554" s="11">
        <f t="shared" si="3"/>
        <v>12</v>
      </c>
      <c r="H554" s="7">
        <f t="shared" si="4"/>
        <v>2016</v>
      </c>
      <c r="I554" s="9">
        <v>42725.0</v>
      </c>
      <c r="J554" s="11">
        <f t="shared" si="5"/>
        <v>39</v>
      </c>
      <c r="K554" s="7" t="s">
        <v>110</v>
      </c>
      <c r="L554" s="7" t="s">
        <v>88</v>
      </c>
      <c r="M554" s="7" t="str">
        <f>VLOOKUP(L554,countries, 2,false)</f>
        <v>Austria</v>
      </c>
      <c r="N554" s="7" t="str">
        <f>VLOOKUP(L554,countries, 4,false)</f>
        <v>Europe</v>
      </c>
      <c r="O554" s="7" t="str">
        <f>VLOOKUP(L554,countries, 5,false)</f>
        <v>Western Europe</v>
      </c>
      <c r="P554" s="7" t="s">
        <v>212</v>
      </c>
      <c r="Q554" s="7">
        <v>5397.0</v>
      </c>
      <c r="R554" s="12">
        <v>154.06</v>
      </c>
      <c r="S554" s="12">
        <v>90.93</v>
      </c>
      <c r="T554" s="13">
        <f t="shared" si="6"/>
        <v>831461.82</v>
      </c>
      <c r="U554" s="13">
        <f t="shared" si="7"/>
        <v>57207.64</v>
      </c>
      <c r="V554" s="13">
        <f t="shared" si="8"/>
        <v>774254.18</v>
      </c>
      <c r="W554" s="14">
        <f>Q554/totals!B$2</f>
        <v>0.0008206462867</v>
      </c>
      <c r="X554" s="14">
        <f t="shared" si="9"/>
        <v>0.4133931542</v>
      </c>
      <c r="Y554" s="14">
        <f>T554/totals!B$5</f>
        <v>0.0004884833174</v>
      </c>
      <c r="Z554" s="14">
        <f t="shared" si="10"/>
        <v>0.4055946712</v>
      </c>
      <c r="AA554" s="14">
        <f>V554/totals!B$4</f>
        <v>0.001543844158</v>
      </c>
      <c r="AB554" s="14">
        <f t="shared" si="11"/>
        <v>0.4207880905</v>
      </c>
    </row>
    <row r="555">
      <c r="A555" s="7">
        <v>4594.0</v>
      </c>
      <c r="B555" s="7" t="str">
        <f>VLOOKUP($A555,product_category,2, False)</f>
        <v>Fruits</v>
      </c>
      <c r="C555" s="7">
        <v>4.68803632E8</v>
      </c>
      <c r="D555" s="9">
        <v>40421.0</v>
      </c>
      <c r="E555" s="10">
        <f t="shared" si="1"/>
        <v>8</v>
      </c>
      <c r="F555" s="10" t="str">
        <f t="shared" si="2"/>
        <v>Aug</v>
      </c>
      <c r="G555" s="11">
        <f t="shared" si="3"/>
        <v>31</v>
      </c>
      <c r="H555" s="7">
        <f t="shared" si="4"/>
        <v>2010</v>
      </c>
      <c r="I555" s="9">
        <v>40453.0</v>
      </c>
      <c r="J555" s="11">
        <f t="shared" si="5"/>
        <v>32</v>
      </c>
      <c r="K555" s="7" t="s">
        <v>322</v>
      </c>
      <c r="L555" s="7" t="s">
        <v>155</v>
      </c>
      <c r="M555" s="7" t="str">
        <f>VLOOKUP(L555,countries, 2,false)</f>
        <v>Bulgaria</v>
      </c>
      <c r="N555" s="7" t="str">
        <f>VLOOKUP(L555,countries, 4,false)</f>
        <v>Europe</v>
      </c>
      <c r="O555" s="7" t="str">
        <f>VLOOKUP(L555,countries, 5,false)</f>
        <v>Eastern Europe</v>
      </c>
      <c r="P555" s="7" t="s">
        <v>129</v>
      </c>
      <c r="Q555" s="7">
        <v>8267.0</v>
      </c>
      <c r="R555" s="12">
        <v>9.33</v>
      </c>
      <c r="S555" s="12">
        <v>6.92</v>
      </c>
      <c r="T555" s="13">
        <f t="shared" si="6"/>
        <v>77131.11</v>
      </c>
      <c r="U555" s="13">
        <f t="shared" si="7"/>
        <v>1698361.33</v>
      </c>
      <c r="V555" s="13">
        <f t="shared" si="8"/>
        <v>-1621230.22</v>
      </c>
      <c r="W555" s="14">
        <f>Q555/totals!B$2</f>
        <v>0.001257047036</v>
      </c>
      <c r="X555" s="14">
        <f t="shared" si="9"/>
        <v>0.4146502012</v>
      </c>
      <c r="Y555" s="14">
        <f>T555/totals!B$5</f>
        <v>0.00004531448057</v>
      </c>
      <c r="Z555" s="14">
        <f t="shared" si="10"/>
        <v>0.4056399857</v>
      </c>
      <c r="AA555" s="14">
        <f>V555/totals!B$4</f>
        <v>-0.003232693951</v>
      </c>
      <c r="AB555" s="14">
        <f t="shared" si="11"/>
        <v>0.4175553966</v>
      </c>
    </row>
    <row r="556">
      <c r="A556" s="7">
        <v>8875.0</v>
      </c>
      <c r="B556" s="7" t="str">
        <f>VLOOKUP($A556,product_category,2, False)</f>
        <v>Meat</v>
      </c>
      <c r="C556" s="7">
        <v>4.69129359E8</v>
      </c>
      <c r="D556" s="9">
        <v>40530.0</v>
      </c>
      <c r="E556" s="10">
        <f t="shared" si="1"/>
        <v>12</v>
      </c>
      <c r="F556" s="10" t="str">
        <f t="shared" si="2"/>
        <v>Dec</v>
      </c>
      <c r="G556" s="11">
        <f t="shared" si="3"/>
        <v>18</v>
      </c>
      <c r="H556" s="7">
        <f t="shared" si="4"/>
        <v>2010</v>
      </c>
      <c r="I556" s="9">
        <v>40569.0</v>
      </c>
      <c r="J556" s="11">
        <f t="shared" si="5"/>
        <v>39</v>
      </c>
      <c r="K556" s="7" t="s">
        <v>110</v>
      </c>
      <c r="L556" s="7" t="s">
        <v>454</v>
      </c>
      <c r="M556" s="7" t="str">
        <f>VLOOKUP(L556,countries, 2,false)</f>
        <v>Luxembourg</v>
      </c>
      <c r="N556" s="7" t="str">
        <f>VLOOKUP(L556,countries, 4,false)</f>
        <v>Europe</v>
      </c>
      <c r="O556" s="7" t="str">
        <f>VLOOKUP(L556,countries, 5,false)</f>
        <v>Western Europe</v>
      </c>
      <c r="P556" s="7" t="s">
        <v>212</v>
      </c>
      <c r="Q556" s="7">
        <v>4657.0</v>
      </c>
      <c r="R556" s="12">
        <v>421.89</v>
      </c>
      <c r="S556" s="12">
        <v>364.69</v>
      </c>
      <c r="T556" s="13">
        <f t="shared" si="6"/>
        <v>1964741.73</v>
      </c>
      <c r="U556" s="13">
        <f t="shared" si="7"/>
        <v>1080808.19</v>
      </c>
      <c r="V556" s="13">
        <f t="shared" si="8"/>
        <v>883933.54</v>
      </c>
      <c r="W556" s="14">
        <f>Q556/totals!B$2</f>
        <v>0.0007081248392</v>
      </c>
      <c r="X556" s="14">
        <f t="shared" si="9"/>
        <v>0.4153583261</v>
      </c>
      <c r="Y556" s="14">
        <f>T556/totals!B$5</f>
        <v>0.001154284581</v>
      </c>
      <c r="Z556" s="14">
        <f t="shared" si="10"/>
        <v>0.4067942703</v>
      </c>
      <c r="AA556" s="14">
        <f>V556/totals!B$4</f>
        <v>0.001762542156</v>
      </c>
      <c r="AB556" s="14">
        <f t="shared" si="11"/>
        <v>0.4193179387</v>
      </c>
    </row>
    <row r="557">
      <c r="A557" s="7">
        <v>2103.0</v>
      </c>
      <c r="B557" s="7" t="str">
        <f>VLOOKUP($A557,product_category,2, False)</f>
        <v>Cereal</v>
      </c>
      <c r="C557" s="7">
        <v>4.69144809E8</v>
      </c>
      <c r="D557" s="9">
        <v>41475.0</v>
      </c>
      <c r="E557" s="10">
        <f t="shared" si="1"/>
        <v>7</v>
      </c>
      <c r="F557" s="10" t="str">
        <f t="shared" si="2"/>
        <v>Jul</v>
      </c>
      <c r="G557" s="11">
        <f t="shared" si="3"/>
        <v>20</v>
      </c>
      <c r="H557" s="7">
        <f t="shared" si="4"/>
        <v>2013</v>
      </c>
      <c r="I557" s="9">
        <v>41510.0</v>
      </c>
      <c r="J557" s="11">
        <f t="shared" si="5"/>
        <v>35</v>
      </c>
      <c r="K557" s="7" t="s">
        <v>110</v>
      </c>
      <c r="L557" s="7" t="s">
        <v>478</v>
      </c>
      <c r="M557" s="7" t="str">
        <f>VLOOKUP(L557,countries, 2,false)</f>
        <v>Malta</v>
      </c>
      <c r="N557" s="7" t="str">
        <f>VLOOKUP(L557,countries, 4,false)</f>
        <v>Europe</v>
      </c>
      <c r="O557" s="7" t="str">
        <f>VLOOKUP(L557,countries, 5,false)</f>
        <v>Southern Europe</v>
      </c>
      <c r="P557" s="7" t="s">
        <v>212</v>
      </c>
      <c r="Q557" s="7">
        <v>9229.0</v>
      </c>
      <c r="R557" s="12">
        <v>205.7</v>
      </c>
      <c r="S557" s="12">
        <v>117.11</v>
      </c>
      <c r="T557" s="13">
        <f t="shared" si="6"/>
        <v>1898405.3</v>
      </c>
      <c r="U557" s="13">
        <f t="shared" si="7"/>
        <v>150144.17</v>
      </c>
      <c r="V557" s="13">
        <f t="shared" si="8"/>
        <v>1748261.13</v>
      </c>
      <c r="W557" s="14">
        <f>Q557/totals!B$2</f>
        <v>0.001403324918</v>
      </c>
      <c r="X557" s="14">
        <f t="shared" si="9"/>
        <v>0.416761651</v>
      </c>
      <c r="Y557" s="14">
        <f>T557/totals!B$5</f>
        <v>0.001115311968</v>
      </c>
      <c r="Z557" s="14">
        <f t="shared" si="10"/>
        <v>0.4079095822</v>
      </c>
      <c r="AA557" s="14">
        <f>V557/totals!B$4</f>
        <v>0.003485990521</v>
      </c>
      <c r="AB557" s="14">
        <f t="shared" si="11"/>
        <v>0.4228039293</v>
      </c>
    </row>
    <row r="558">
      <c r="A558" s="7">
        <v>1270.0</v>
      </c>
      <c r="B558" s="7" t="str">
        <f>VLOOKUP($A558,product_category,2, False)</f>
        <v>Beverages</v>
      </c>
      <c r="C558" s="7">
        <v>4.69197165E8</v>
      </c>
      <c r="D558" s="9">
        <v>41605.0</v>
      </c>
      <c r="E558" s="10">
        <f t="shared" si="1"/>
        <v>11</v>
      </c>
      <c r="F558" s="10" t="str">
        <f t="shared" si="2"/>
        <v>Nov</v>
      </c>
      <c r="G558" s="11">
        <f t="shared" si="3"/>
        <v>27</v>
      </c>
      <c r="H558" s="7">
        <f t="shared" si="4"/>
        <v>2013</v>
      </c>
      <c r="I558" s="9">
        <v>41619.0</v>
      </c>
      <c r="J558" s="11">
        <f t="shared" si="5"/>
        <v>14</v>
      </c>
      <c r="K558" s="7" t="s">
        <v>198</v>
      </c>
      <c r="L558" s="7" t="s">
        <v>432</v>
      </c>
      <c r="M558" s="7" t="str">
        <f>VLOOKUP(L558,countries, 2,false)</f>
        <v>Latvia</v>
      </c>
      <c r="N558" s="7" t="str">
        <f>VLOOKUP(L558,countries, 4,false)</f>
        <v>Europe</v>
      </c>
      <c r="O558" s="7" t="str">
        <f>VLOOKUP(L558,countries, 5,false)</f>
        <v>Northern Europe</v>
      </c>
      <c r="P558" s="7" t="s">
        <v>129</v>
      </c>
      <c r="Q558" s="7">
        <v>4723.0</v>
      </c>
      <c r="R558" s="12">
        <v>47.45</v>
      </c>
      <c r="S558" s="12">
        <v>31.79</v>
      </c>
      <c r="T558" s="13">
        <f t="shared" si="6"/>
        <v>224106.35</v>
      </c>
      <c r="U558" s="13">
        <f t="shared" si="7"/>
        <v>462833.7</v>
      </c>
      <c r="V558" s="13">
        <f t="shared" si="8"/>
        <v>-238727.35</v>
      </c>
      <c r="W558" s="14">
        <f>Q558/totals!B$2</f>
        <v>0.0007181605359</v>
      </c>
      <c r="X558" s="14">
        <f t="shared" si="9"/>
        <v>0.4174798115</v>
      </c>
      <c r="Y558" s="14">
        <f>T558/totals!B$5</f>
        <v>0.0001316623454</v>
      </c>
      <c r="Z558" s="14">
        <f t="shared" si="10"/>
        <v>0.4080412446</v>
      </c>
      <c r="AA558" s="14">
        <f>V558/totals!B$4</f>
        <v>-0.0004760165773</v>
      </c>
      <c r="AB558" s="14">
        <f t="shared" si="11"/>
        <v>0.4223279127</v>
      </c>
    </row>
    <row r="559">
      <c r="A559" s="7">
        <v>5988.0</v>
      </c>
      <c r="B559" s="7" t="str">
        <f>VLOOKUP($A559,product_category,2, False)</f>
        <v>Vegetables</v>
      </c>
      <c r="C559" s="7">
        <v>4.69840466E8</v>
      </c>
      <c r="D559" s="9">
        <v>40556.0</v>
      </c>
      <c r="E559" s="10">
        <f t="shared" si="1"/>
        <v>1</v>
      </c>
      <c r="F559" s="10" t="str">
        <f t="shared" si="2"/>
        <v>Jan</v>
      </c>
      <c r="G559" s="11">
        <f t="shared" si="3"/>
        <v>13</v>
      </c>
      <c r="H559" s="7">
        <f t="shared" si="4"/>
        <v>2011</v>
      </c>
      <c r="I559" s="9">
        <v>40565.0</v>
      </c>
      <c r="J559" s="11">
        <f t="shared" si="5"/>
        <v>9</v>
      </c>
      <c r="K559" s="7" t="s">
        <v>382</v>
      </c>
      <c r="L559" s="7" t="s">
        <v>594</v>
      </c>
      <c r="M559" s="7" t="str">
        <f>VLOOKUP(L559,countries, 2,false)</f>
        <v>Poland</v>
      </c>
      <c r="N559" s="7" t="str">
        <f>VLOOKUP(L559,countries, 4,false)</f>
        <v>Europe</v>
      </c>
      <c r="O559" s="7" t="str">
        <f>VLOOKUP(L559,countries, 5,false)</f>
        <v>Eastern Europe</v>
      </c>
      <c r="P559" s="7" t="s">
        <v>212</v>
      </c>
      <c r="Q559" s="7">
        <v>5090.0</v>
      </c>
      <c r="R559" s="12">
        <v>154.06</v>
      </c>
      <c r="S559" s="12">
        <v>90.93</v>
      </c>
      <c r="T559" s="13">
        <f t="shared" si="6"/>
        <v>784165.4</v>
      </c>
      <c r="U559" s="13">
        <f t="shared" si="7"/>
        <v>771592.8</v>
      </c>
      <c r="V559" s="13">
        <f t="shared" si="8"/>
        <v>12572.6</v>
      </c>
      <c r="W559" s="14">
        <f>Q559/totals!B$2</f>
        <v>0.0007739650916</v>
      </c>
      <c r="X559" s="14">
        <f t="shared" si="9"/>
        <v>0.4182537766</v>
      </c>
      <c r="Y559" s="14">
        <f>T559/totals!B$5</f>
        <v>0.0004606966992</v>
      </c>
      <c r="Z559" s="14">
        <f t="shared" si="10"/>
        <v>0.4085019413</v>
      </c>
      <c r="AA559" s="14">
        <f>V559/totals!B$4</f>
        <v>0.00002506946112</v>
      </c>
      <c r="AB559" s="14">
        <f t="shared" si="11"/>
        <v>0.4223529821</v>
      </c>
    </row>
    <row r="560">
      <c r="A560" s="7">
        <v>7331.0</v>
      </c>
      <c r="B560" s="7" t="str">
        <f>VLOOKUP($A560,product_category,2, False)</f>
        <v>Baby Food</v>
      </c>
      <c r="C560" s="7">
        <v>4.69974792E8</v>
      </c>
      <c r="D560" s="9">
        <v>40324.0</v>
      </c>
      <c r="E560" s="10">
        <f t="shared" si="1"/>
        <v>5</v>
      </c>
      <c r="F560" s="10" t="str">
        <f t="shared" si="2"/>
        <v>May</v>
      </c>
      <c r="G560" s="11">
        <f t="shared" si="3"/>
        <v>26</v>
      </c>
      <c r="H560" s="7">
        <f t="shared" si="4"/>
        <v>2010</v>
      </c>
      <c r="I560" s="9">
        <v>40346.0</v>
      </c>
      <c r="J560" s="11">
        <f t="shared" si="5"/>
        <v>22</v>
      </c>
      <c r="K560" s="7" t="s">
        <v>110</v>
      </c>
      <c r="L560" s="7" t="s">
        <v>702</v>
      </c>
      <c r="M560" s="7" t="str">
        <f>VLOOKUP(L560,countries, 2,false)</f>
        <v>Sweden</v>
      </c>
      <c r="N560" s="7" t="str">
        <f>VLOOKUP(L560,countries, 4,false)</f>
        <v>Europe</v>
      </c>
      <c r="O560" s="7" t="str">
        <f>VLOOKUP(L560,countries, 5,false)</f>
        <v>Northern Europe</v>
      </c>
      <c r="P560" s="7" t="s">
        <v>212</v>
      </c>
      <c r="Q560" s="7">
        <v>4840.0</v>
      </c>
      <c r="R560" s="12">
        <v>255.28</v>
      </c>
      <c r="S560" s="12">
        <v>159.42</v>
      </c>
      <c r="T560" s="13">
        <f t="shared" si="6"/>
        <v>1235555.2</v>
      </c>
      <c r="U560" s="13">
        <f t="shared" si="7"/>
        <v>42004.48</v>
      </c>
      <c r="V560" s="13">
        <f t="shared" si="8"/>
        <v>1193550.72</v>
      </c>
      <c r="W560" s="14">
        <f>Q560/totals!B$2</f>
        <v>0.0007359510891</v>
      </c>
      <c r="X560" s="14">
        <f t="shared" si="9"/>
        <v>0.4189897277</v>
      </c>
      <c r="Y560" s="14">
        <f>T560/totals!B$5</f>
        <v>0.0007258879343</v>
      </c>
      <c r="Z560" s="14">
        <f t="shared" si="10"/>
        <v>0.4092278292</v>
      </c>
      <c r="AA560" s="14">
        <f>V560/totals!B$4</f>
        <v>0.002379911345</v>
      </c>
      <c r="AB560" s="14">
        <f t="shared" si="11"/>
        <v>0.4247328935</v>
      </c>
    </row>
    <row r="561">
      <c r="A561" s="7">
        <v>2455.0</v>
      </c>
      <c r="B561" s="7" t="str">
        <f>VLOOKUP($A561,product_category,2, False)</f>
        <v>Clothes</v>
      </c>
      <c r="C561" s="7">
        <v>4.70503079E8</v>
      </c>
      <c r="D561" s="9">
        <v>42072.0</v>
      </c>
      <c r="E561" s="10">
        <f t="shared" si="1"/>
        <v>3</v>
      </c>
      <c r="F561" s="10" t="str">
        <f t="shared" si="2"/>
        <v>Mar</v>
      </c>
      <c r="G561" s="11">
        <f t="shared" si="3"/>
        <v>9</v>
      </c>
      <c r="H561" s="7">
        <f t="shared" si="4"/>
        <v>2015</v>
      </c>
      <c r="I561" s="9">
        <v>42084.0</v>
      </c>
      <c r="J561" s="11">
        <f t="shared" si="5"/>
        <v>12</v>
      </c>
      <c r="K561" s="7" t="s">
        <v>382</v>
      </c>
      <c r="L561" s="7" t="s">
        <v>28</v>
      </c>
      <c r="M561" s="7" t="str">
        <f>VLOOKUP(L561,countries, 2,false)</f>
        <v>Albania</v>
      </c>
      <c r="N561" s="7" t="str">
        <f>VLOOKUP(L561,countries, 4,false)</f>
        <v>Europe</v>
      </c>
      <c r="O561" s="7" t="str">
        <f>VLOOKUP(L561,countries, 5,false)</f>
        <v>Southern Europe</v>
      </c>
      <c r="P561" s="7" t="s">
        <v>212</v>
      </c>
      <c r="Q561" s="7">
        <v>1172.0</v>
      </c>
      <c r="R561" s="12">
        <v>109.28</v>
      </c>
      <c r="S561" s="12">
        <v>35.84</v>
      </c>
      <c r="T561" s="13">
        <f t="shared" si="6"/>
        <v>128076.16</v>
      </c>
      <c r="U561" s="13">
        <f t="shared" si="7"/>
        <v>9369.68</v>
      </c>
      <c r="V561" s="13">
        <f t="shared" si="8"/>
        <v>118706.48</v>
      </c>
      <c r="W561" s="14">
        <f>Q561/totals!B$2</f>
        <v>0.0001782096439</v>
      </c>
      <c r="X561" s="14">
        <f t="shared" si="9"/>
        <v>0.4191679373</v>
      </c>
      <c r="Y561" s="14">
        <f>T561/totals!B$5</f>
        <v>0.0000752446667</v>
      </c>
      <c r="Z561" s="14">
        <f t="shared" si="10"/>
        <v>0.4093030739</v>
      </c>
      <c r="AA561" s="14">
        <f>V561/totals!B$4</f>
        <v>0.0002366978577</v>
      </c>
      <c r="AB561" s="14">
        <f t="shared" si="11"/>
        <v>0.4249695913</v>
      </c>
    </row>
    <row r="562">
      <c r="A562" s="7">
        <v>4594.0</v>
      </c>
      <c r="B562" s="7" t="str">
        <f>VLOOKUP($A562,product_category,2, False)</f>
        <v>Fruits</v>
      </c>
      <c r="C562" s="7">
        <v>4.71348512E8</v>
      </c>
      <c r="D562" s="9">
        <v>41867.0</v>
      </c>
      <c r="E562" s="10">
        <f t="shared" si="1"/>
        <v>8</v>
      </c>
      <c r="F562" s="10" t="str">
        <f t="shared" si="2"/>
        <v>Aug</v>
      </c>
      <c r="G562" s="11">
        <f t="shared" si="3"/>
        <v>16</v>
      </c>
      <c r="H562" s="7">
        <f t="shared" si="4"/>
        <v>2014</v>
      </c>
      <c r="I562" s="9">
        <v>41913.0</v>
      </c>
      <c r="J562" s="11">
        <f t="shared" si="5"/>
        <v>46</v>
      </c>
      <c r="K562" s="7" t="s">
        <v>110</v>
      </c>
      <c r="L562" s="7" t="s">
        <v>316</v>
      </c>
      <c r="M562" s="7" t="str">
        <f>VLOOKUP(L562,countries, 2,false)</f>
        <v>Greece</v>
      </c>
      <c r="N562" s="7" t="str">
        <f>VLOOKUP(L562,countries, 4,false)</f>
        <v>Europe</v>
      </c>
      <c r="O562" s="7" t="str">
        <f>VLOOKUP(L562,countries, 5,false)</f>
        <v>Southern Europe</v>
      </c>
      <c r="P562" s="7" t="s">
        <v>129</v>
      </c>
      <c r="Q562" s="7">
        <v>1354.0</v>
      </c>
      <c r="R562" s="12">
        <v>9.33</v>
      </c>
      <c r="S562" s="12">
        <v>6.92</v>
      </c>
      <c r="T562" s="13">
        <f t="shared" si="6"/>
        <v>12632.82</v>
      </c>
      <c r="U562" s="13">
        <f t="shared" si="7"/>
        <v>236738.7</v>
      </c>
      <c r="V562" s="13">
        <f t="shared" si="8"/>
        <v>-224105.88</v>
      </c>
      <c r="W562" s="14">
        <f>Q562/totals!B$2</f>
        <v>0.0002058838377</v>
      </c>
      <c r="X562" s="14">
        <f t="shared" si="9"/>
        <v>0.4193738212</v>
      </c>
      <c r="Y562" s="14">
        <f>T562/totals!B$5</f>
        <v>0.000007421774125</v>
      </c>
      <c r="Z562" s="14">
        <f t="shared" si="10"/>
        <v>0.4093104957</v>
      </c>
      <c r="AA562" s="14">
        <f>V562/totals!B$4</f>
        <v>-0.0004468617188</v>
      </c>
      <c r="AB562" s="14">
        <f t="shared" si="11"/>
        <v>0.4245227296</v>
      </c>
    </row>
    <row r="563">
      <c r="A563" s="7">
        <v>7331.0</v>
      </c>
      <c r="B563" s="7" t="str">
        <f>VLOOKUP($A563,product_category,2, False)</f>
        <v>Baby Food</v>
      </c>
      <c r="C563" s="7">
        <v>4.71484124E8</v>
      </c>
      <c r="D563" s="9">
        <v>41252.0</v>
      </c>
      <c r="E563" s="10">
        <f t="shared" si="1"/>
        <v>12</v>
      </c>
      <c r="F563" s="10" t="str">
        <f t="shared" si="2"/>
        <v>Dec</v>
      </c>
      <c r="G563" s="11">
        <f t="shared" si="3"/>
        <v>9</v>
      </c>
      <c r="H563" s="7">
        <f t="shared" si="4"/>
        <v>2012</v>
      </c>
      <c r="I563" s="9">
        <v>41298.0</v>
      </c>
      <c r="J563" s="11">
        <f t="shared" si="5"/>
        <v>46</v>
      </c>
      <c r="K563" s="7" t="s">
        <v>110</v>
      </c>
      <c r="L563" s="7" t="s">
        <v>237</v>
      </c>
      <c r="M563" s="7" t="str">
        <f>VLOOKUP(L563,countries, 2,false)</f>
        <v>Denmark</v>
      </c>
      <c r="N563" s="7" t="str">
        <f>VLOOKUP(L563,countries, 4,false)</f>
        <v>Europe</v>
      </c>
      <c r="O563" s="7" t="str">
        <f>VLOOKUP(L563,countries, 5,false)</f>
        <v>Northern Europe</v>
      </c>
      <c r="P563" s="7" t="s">
        <v>129</v>
      </c>
      <c r="Q563" s="7">
        <v>1485.0</v>
      </c>
      <c r="R563" s="12">
        <v>255.28</v>
      </c>
      <c r="S563" s="12">
        <v>159.42</v>
      </c>
      <c r="T563" s="13">
        <f t="shared" si="6"/>
        <v>379090.8</v>
      </c>
      <c r="U563" s="13">
        <f t="shared" si="7"/>
        <v>19494.48</v>
      </c>
      <c r="V563" s="13">
        <f t="shared" si="8"/>
        <v>359596.32</v>
      </c>
      <c r="W563" s="14">
        <f>Q563/totals!B$2</f>
        <v>0.0002258031751</v>
      </c>
      <c r="X563" s="14">
        <f t="shared" si="9"/>
        <v>0.4195996244</v>
      </c>
      <c r="Y563" s="14">
        <f>T563/totals!B$5</f>
        <v>0.0002227156162</v>
      </c>
      <c r="Z563" s="14">
        <f t="shared" si="10"/>
        <v>0.4095332113</v>
      </c>
      <c r="AA563" s="14">
        <f>V563/totals!B$4</f>
        <v>0.0007170263878</v>
      </c>
      <c r="AB563" s="14">
        <f t="shared" si="11"/>
        <v>0.425239756</v>
      </c>
    </row>
    <row r="564">
      <c r="A564" s="7">
        <v>3127.0</v>
      </c>
      <c r="B564" s="7" t="str">
        <f>VLOOKUP($A564,product_category,2, False)</f>
        <v>Personal Care</v>
      </c>
      <c r="C564" s="7">
        <v>4.73845756E8</v>
      </c>
      <c r="D564" s="9">
        <v>40859.0</v>
      </c>
      <c r="E564" s="10">
        <f t="shared" si="1"/>
        <v>11</v>
      </c>
      <c r="F564" s="10" t="str">
        <f t="shared" si="2"/>
        <v>Nov</v>
      </c>
      <c r="G564" s="11">
        <f t="shared" si="3"/>
        <v>12</v>
      </c>
      <c r="H564" s="7">
        <f t="shared" si="4"/>
        <v>2011</v>
      </c>
      <c r="I564" s="9">
        <v>40893.0</v>
      </c>
      <c r="J564" s="11">
        <f t="shared" si="5"/>
        <v>34</v>
      </c>
      <c r="K564" s="7" t="s">
        <v>382</v>
      </c>
      <c r="L564" s="7" t="s">
        <v>612</v>
      </c>
      <c r="M564" s="7" t="str">
        <f>VLOOKUP(L564,countries, 2,false)</f>
        <v>Russia</v>
      </c>
      <c r="N564" s="7" t="str">
        <f>VLOOKUP(L564,countries, 4,false)</f>
        <v>Europe</v>
      </c>
      <c r="O564" s="7" t="str">
        <f>VLOOKUP(L564,countries, 5,false)</f>
        <v>Eastern Europe</v>
      </c>
      <c r="P564" s="7" t="s">
        <v>212</v>
      </c>
      <c r="Q564" s="7">
        <v>344.0</v>
      </c>
      <c r="R564" s="12">
        <v>81.73</v>
      </c>
      <c r="S564" s="12">
        <v>56.67</v>
      </c>
      <c r="T564" s="13">
        <f t="shared" si="6"/>
        <v>28115.12</v>
      </c>
      <c r="U564" s="13">
        <f t="shared" si="7"/>
        <v>28780.28</v>
      </c>
      <c r="V564" s="13">
        <f t="shared" si="8"/>
        <v>-665.16</v>
      </c>
      <c r="W564" s="14">
        <f>Q564/totals!B$2</f>
        <v>0.00005230726749</v>
      </c>
      <c r="X564" s="14">
        <f t="shared" si="9"/>
        <v>0.4196519316</v>
      </c>
      <c r="Y564" s="14">
        <f>T564/totals!B$5</f>
        <v>0.00001651761603</v>
      </c>
      <c r="Z564" s="14">
        <f t="shared" si="10"/>
        <v>0.4095497289</v>
      </c>
      <c r="AA564" s="14">
        <f>V564/totals!B$4</f>
        <v>-0.000001326312995</v>
      </c>
      <c r="AB564" s="14">
        <f t="shared" si="11"/>
        <v>0.4252384297</v>
      </c>
    </row>
    <row r="565">
      <c r="A565" s="7">
        <v>4594.0</v>
      </c>
      <c r="B565" s="7" t="str">
        <f>VLOOKUP($A565,product_category,2, False)</f>
        <v>Fruits</v>
      </c>
      <c r="C565" s="7">
        <v>4.7517656E8</v>
      </c>
      <c r="D565" s="9">
        <v>40390.0</v>
      </c>
      <c r="E565" s="10">
        <f t="shared" si="1"/>
        <v>7</v>
      </c>
      <c r="F565" s="10" t="str">
        <f t="shared" si="2"/>
        <v>Jul</v>
      </c>
      <c r="G565" s="11">
        <f t="shared" si="3"/>
        <v>31</v>
      </c>
      <c r="H565" s="7">
        <f t="shared" si="4"/>
        <v>2010</v>
      </c>
      <c r="I565" s="9">
        <v>40425.0</v>
      </c>
      <c r="J565" s="11">
        <f t="shared" si="5"/>
        <v>35</v>
      </c>
      <c r="K565" s="7" t="s">
        <v>322</v>
      </c>
      <c r="L565" s="7" t="s">
        <v>478</v>
      </c>
      <c r="M565" s="7" t="str">
        <f>VLOOKUP(L565,countries, 2,false)</f>
        <v>Malta</v>
      </c>
      <c r="N565" s="7" t="str">
        <f>VLOOKUP(L565,countries, 4,false)</f>
        <v>Europe</v>
      </c>
      <c r="O565" s="7" t="str">
        <f>VLOOKUP(L565,countries, 5,false)</f>
        <v>Southern Europe</v>
      </c>
      <c r="P565" s="7" t="s">
        <v>129</v>
      </c>
      <c r="Q565" s="7">
        <v>4159.0</v>
      </c>
      <c r="R565" s="12">
        <v>9.33</v>
      </c>
      <c r="S565" s="12">
        <v>6.92</v>
      </c>
      <c r="T565" s="13">
        <f t="shared" si="6"/>
        <v>38803.47</v>
      </c>
      <c r="U565" s="13">
        <f t="shared" si="7"/>
        <v>199915.52</v>
      </c>
      <c r="V565" s="13">
        <f t="shared" si="8"/>
        <v>-161112.05</v>
      </c>
      <c r="W565" s="14">
        <f>Q565/totals!B$2</f>
        <v>0.0006324009462</v>
      </c>
      <c r="X565" s="14">
        <f t="shared" si="9"/>
        <v>0.4202843326</v>
      </c>
      <c r="Y565" s="14">
        <f>T565/totals!B$5</f>
        <v>0.00002279701521</v>
      </c>
      <c r="Z565" s="14">
        <f t="shared" si="10"/>
        <v>0.4095725259</v>
      </c>
      <c r="AA565" s="14">
        <f>V565/totals!B$4</f>
        <v>-0.0003212535413</v>
      </c>
      <c r="AB565" s="14">
        <f t="shared" si="11"/>
        <v>0.4249171762</v>
      </c>
    </row>
    <row r="566">
      <c r="A566" s="7">
        <v>2455.0</v>
      </c>
      <c r="B566" s="7" t="str">
        <f>VLOOKUP($A566,product_category,2, False)</f>
        <v>Clothes</v>
      </c>
      <c r="C566" s="7">
        <v>4.75992381E8</v>
      </c>
      <c r="D566" s="9">
        <v>40677.0</v>
      </c>
      <c r="E566" s="10">
        <f t="shared" si="1"/>
        <v>5</v>
      </c>
      <c r="F566" s="10" t="str">
        <f t="shared" si="2"/>
        <v>May</v>
      </c>
      <c r="G566" s="11">
        <f t="shared" si="3"/>
        <v>14</v>
      </c>
      <c r="H566" s="7">
        <f t="shared" si="4"/>
        <v>2011</v>
      </c>
      <c r="I566" s="9">
        <v>40689.0</v>
      </c>
      <c r="J566" s="11">
        <f t="shared" si="5"/>
        <v>12</v>
      </c>
      <c r="K566" s="7" t="s">
        <v>382</v>
      </c>
      <c r="L566" s="7" t="s">
        <v>454</v>
      </c>
      <c r="M566" s="7" t="str">
        <f>VLOOKUP(L566,countries, 2,false)</f>
        <v>Luxembourg</v>
      </c>
      <c r="N566" s="7" t="str">
        <f>VLOOKUP(L566,countries, 4,false)</f>
        <v>Europe</v>
      </c>
      <c r="O566" s="7" t="str">
        <f>VLOOKUP(L566,countries, 5,false)</f>
        <v>Western Europe</v>
      </c>
      <c r="P566" s="7" t="s">
        <v>129</v>
      </c>
      <c r="Q566" s="7">
        <v>5578.0</v>
      </c>
      <c r="R566" s="12">
        <v>109.28</v>
      </c>
      <c r="S566" s="12">
        <v>35.84</v>
      </c>
      <c r="T566" s="13">
        <f t="shared" si="6"/>
        <v>609563.84</v>
      </c>
      <c r="U566" s="13">
        <f t="shared" si="7"/>
        <v>204526.56</v>
      </c>
      <c r="V566" s="13">
        <f t="shared" si="8"/>
        <v>405037.28</v>
      </c>
      <c r="W566" s="14">
        <f>Q566/totals!B$2</f>
        <v>0.0008481684245</v>
      </c>
      <c r="X566" s="14">
        <f t="shared" si="9"/>
        <v>0.421132501</v>
      </c>
      <c r="Y566" s="14">
        <f>T566/totals!B$5</f>
        <v>0.0003581183881</v>
      </c>
      <c r="Z566" s="14">
        <f t="shared" si="10"/>
        <v>0.4099306443</v>
      </c>
      <c r="AA566" s="14">
        <f>V566/totals!B$4</f>
        <v>0.0008076345659</v>
      </c>
      <c r="AB566" s="14">
        <f t="shared" si="11"/>
        <v>0.4257248107</v>
      </c>
    </row>
    <row r="567">
      <c r="A567" s="7">
        <v>8969.0</v>
      </c>
      <c r="B567" s="7" t="str">
        <f>VLOOKUP($A567,product_category,2, False)</f>
        <v>Snacks</v>
      </c>
      <c r="C567" s="7">
        <v>4.76453721E8</v>
      </c>
      <c r="D567" s="9">
        <v>42938.0</v>
      </c>
      <c r="E567" s="10">
        <f t="shared" si="1"/>
        <v>7</v>
      </c>
      <c r="F567" s="10" t="str">
        <f t="shared" si="2"/>
        <v>Jul</v>
      </c>
      <c r="G567" s="11">
        <f t="shared" si="3"/>
        <v>22</v>
      </c>
      <c r="H567" s="7">
        <f t="shared" si="4"/>
        <v>2017</v>
      </c>
      <c r="I567" s="9">
        <v>42957.0</v>
      </c>
      <c r="J567" s="11">
        <f t="shared" si="5"/>
        <v>19</v>
      </c>
      <c r="K567" s="7" t="s">
        <v>198</v>
      </c>
      <c r="L567" s="7" t="s">
        <v>642</v>
      </c>
      <c r="M567" s="7" t="str">
        <f>VLOOKUP(L567,countries, 2,false)</f>
        <v>San Marino</v>
      </c>
      <c r="N567" s="7" t="str">
        <f>VLOOKUP(L567,countries, 4,false)</f>
        <v>Europe</v>
      </c>
      <c r="O567" s="7" t="str">
        <f>VLOOKUP(L567,countries, 5,false)</f>
        <v>Southern Europe</v>
      </c>
      <c r="P567" s="7" t="s">
        <v>212</v>
      </c>
      <c r="Q567" s="7">
        <v>2099.0</v>
      </c>
      <c r="R567" s="12">
        <v>152.58</v>
      </c>
      <c r="S567" s="12">
        <v>97.44</v>
      </c>
      <c r="T567" s="13">
        <f t="shared" si="6"/>
        <v>320265.42</v>
      </c>
      <c r="U567" s="13">
        <f t="shared" si="7"/>
        <v>482838.3</v>
      </c>
      <c r="V567" s="13">
        <f t="shared" si="8"/>
        <v>-162572.88</v>
      </c>
      <c r="W567" s="14">
        <f>Q567/totals!B$2</f>
        <v>0.0003191655653</v>
      </c>
      <c r="X567" s="14">
        <f t="shared" si="9"/>
        <v>0.4214516666</v>
      </c>
      <c r="Y567" s="14">
        <f>T567/totals!B$5</f>
        <v>0.000188155741</v>
      </c>
      <c r="Z567" s="14">
        <f t="shared" si="10"/>
        <v>0.4101188</v>
      </c>
      <c r="AA567" s="14">
        <f>V567/totals!B$4</f>
        <v>-0.0003241664011</v>
      </c>
      <c r="AB567" s="14">
        <f t="shared" si="11"/>
        <v>0.4254006443</v>
      </c>
    </row>
    <row r="568">
      <c r="A568" s="7">
        <v>5988.0</v>
      </c>
      <c r="B568" s="7" t="str">
        <f>VLOOKUP($A568,product_category,2, False)</f>
        <v>Vegetables</v>
      </c>
      <c r="C568" s="7">
        <v>4.76633536E8</v>
      </c>
      <c r="D568" s="9">
        <v>41187.0</v>
      </c>
      <c r="E568" s="10">
        <f t="shared" si="1"/>
        <v>10</v>
      </c>
      <c r="F568" s="10" t="str">
        <f t="shared" si="2"/>
        <v>Oct</v>
      </c>
      <c r="G568" s="11">
        <f t="shared" si="3"/>
        <v>5</v>
      </c>
      <c r="H568" s="7">
        <f t="shared" si="4"/>
        <v>2012</v>
      </c>
      <c r="I568" s="9">
        <v>41216.0</v>
      </c>
      <c r="J568" s="11">
        <f t="shared" si="5"/>
        <v>29</v>
      </c>
      <c r="K568" s="7" t="s">
        <v>198</v>
      </c>
      <c r="L568" s="7" t="s">
        <v>28</v>
      </c>
      <c r="M568" s="7" t="str">
        <f>VLOOKUP(L568,countries, 2,false)</f>
        <v>Albania</v>
      </c>
      <c r="N568" s="7" t="str">
        <f>VLOOKUP(L568,countries, 4,false)</f>
        <v>Europe</v>
      </c>
      <c r="O568" s="7" t="str">
        <f>VLOOKUP(L568,countries, 5,false)</f>
        <v>Southern Europe</v>
      </c>
      <c r="P568" s="7" t="s">
        <v>129</v>
      </c>
      <c r="Q568" s="7">
        <v>5310.0</v>
      </c>
      <c r="R568" s="12">
        <v>154.06</v>
      </c>
      <c r="S568" s="12">
        <v>90.93</v>
      </c>
      <c r="T568" s="13">
        <f t="shared" si="6"/>
        <v>818058.6</v>
      </c>
      <c r="U568" s="13">
        <f t="shared" si="7"/>
        <v>89234.53</v>
      </c>
      <c r="V568" s="13">
        <f t="shared" si="8"/>
        <v>728824.07</v>
      </c>
      <c r="W568" s="14">
        <f>Q568/totals!B$2</f>
        <v>0.0008074174138</v>
      </c>
      <c r="X568" s="14">
        <f t="shared" si="9"/>
        <v>0.422259084</v>
      </c>
      <c r="Y568" s="14">
        <f>T568/totals!B$5</f>
        <v>0.0004806089338</v>
      </c>
      <c r="Z568" s="14">
        <f t="shared" si="10"/>
        <v>0.410599409</v>
      </c>
      <c r="AA568" s="14">
        <f>V568/totals!B$4</f>
        <v>0.001453257615</v>
      </c>
      <c r="AB568" s="14">
        <f t="shared" si="11"/>
        <v>0.4268539019</v>
      </c>
    </row>
    <row r="569">
      <c r="A569" s="7">
        <v>1270.0</v>
      </c>
      <c r="B569" s="7" t="str">
        <f>VLOOKUP($A569,product_category,2, False)</f>
        <v>Beverages</v>
      </c>
      <c r="C569" s="7">
        <v>4.7679404E8</v>
      </c>
      <c r="D569" s="9">
        <v>42404.0</v>
      </c>
      <c r="E569" s="10">
        <f t="shared" si="1"/>
        <v>2</v>
      </c>
      <c r="F569" s="10" t="str">
        <f t="shared" si="2"/>
        <v>Feb</v>
      </c>
      <c r="G569" s="11">
        <f t="shared" si="3"/>
        <v>4</v>
      </c>
      <c r="H569" s="7">
        <f t="shared" si="4"/>
        <v>2016</v>
      </c>
      <c r="I569" s="9">
        <v>42436.0</v>
      </c>
      <c r="J569" s="11">
        <f t="shared" si="5"/>
        <v>32</v>
      </c>
      <c r="K569" s="7" t="s">
        <v>382</v>
      </c>
      <c r="L569" s="7" t="s">
        <v>155</v>
      </c>
      <c r="M569" s="7" t="str">
        <f>VLOOKUP(L569,countries, 2,false)</f>
        <v>Bulgaria</v>
      </c>
      <c r="N569" s="7" t="str">
        <f>VLOOKUP(L569,countries, 4,false)</f>
        <v>Europe</v>
      </c>
      <c r="O569" s="7" t="str">
        <f>VLOOKUP(L569,countries, 5,false)</f>
        <v>Eastern Europe</v>
      </c>
      <c r="P569" s="7" t="s">
        <v>129</v>
      </c>
      <c r="Q569" s="7">
        <v>2807.0</v>
      </c>
      <c r="R569" s="12">
        <v>47.45</v>
      </c>
      <c r="S569" s="12">
        <v>31.79</v>
      </c>
      <c r="T569" s="13">
        <f t="shared" si="6"/>
        <v>133192.15</v>
      </c>
      <c r="U569" s="13">
        <f t="shared" si="7"/>
        <v>119364</v>
      </c>
      <c r="V569" s="13">
        <f t="shared" si="8"/>
        <v>13828.15</v>
      </c>
      <c r="W569" s="14">
        <f>Q569/totals!B$2</f>
        <v>0.0004268212205</v>
      </c>
      <c r="X569" s="14">
        <f t="shared" si="9"/>
        <v>0.4226859052</v>
      </c>
      <c r="Y569" s="14">
        <f>T569/totals!B$5</f>
        <v>0.00007825030774</v>
      </c>
      <c r="Z569" s="14">
        <f t="shared" si="10"/>
        <v>0.4106776593</v>
      </c>
      <c r="AA569" s="14">
        <f>V569/totals!B$4</f>
        <v>0.00002757299754</v>
      </c>
      <c r="AB569" s="14">
        <f t="shared" si="11"/>
        <v>0.4268814749</v>
      </c>
    </row>
    <row r="570">
      <c r="A570" s="7">
        <v>8969.0</v>
      </c>
      <c r="B570" s="7" t="str">
        <f>VLOOKUP($A570,product_category,2, False)</f>
        <v>Snacks</v>
      </c>
      <c r="C570" s="7">
        <v>4.7699145E8</v>
      </c>
      <c r="D570" s="9">
        <v>42805.0</v>
      </c>
      <c r="E570" s="10">
        <f t="shared" si="1"/>
        <v>3</v>
      </c>
      <c r="F570" s="10" t="str">
        <f t="shared" si="2"/>
        <v>Mar</v>
      </c>
      <c r="G570" s="11">
        <f t="shared" si="3"/>
        <v>11</v>
      </c>
      <c r="H570" s="7">
        <f t="shared" si="4"/>
        <v>2017</v>
      </c>
      <c r="I570" s="9">
        <v>42821.0</v>
      </c>
      <c r="J570" s="11">
        <f t="shared" si="5"/>
        <v>16</v>
      </c>
      <c r="K570" s="7" t="s">
        <v>322</v>
      </c>
      <c r="L570" s="7" t="s">
        <v>155</v>
      </c>
      <c r="M570" s="7" t="str">
        <f>VLOOKUP(L570,countries, 2,false)</f>
        <v>Bulgaria</v>
      </c>
      <c r="N570" s="7" t="str">
        <f>VLOOKUP(L570,countries, 4,false)</f>
        <v>Europe</v>
      </c>
      <c r="O570" s="7" t="str">
        <f>VLOOKUP(L570,countries, 5,false)</f>
        <v>Eastern Europe</v>
      </c>
      <c r="P570" s="7" t="s">
        <v>212</v>
      </c>
      <c r="Q570" s="7">
        <v>1225.0</v>
      </c>
      <c r="R570" s="12">
        <v>152.58</v>
      </c>
      <c r="S570" s="12">
        <v>97.44</v>
      </c>
      <c r="T570" s="13">
        <f t="shared" si="6"/>
        <v>186910.5</v>
      </c>
      <c r="U570" s="13">
        <f t="shared" si="7"/>
        <v>873055.05</v>
      </c>
      <c r="V570" s="13">
        <f t="shared" si="8"/>
        <v>-686144.55</v>
      </c>
      <c r="W570" s="14">
        <f>Q570/totals!B$2</f>
        <v>0.0001862686124</v>
      </c>
      <c r="X570" s="14">
        <f t="shared" si="9"/>
        <v>0.4228721738</v>
      </c>
      <c r="Y570" s="14">
        <f>T570/totals!B$5</f>
        <v>0.0001098098059</v>
      </c>
      <c r="Z570" s="14">
        <f t="shared" si="10"/>
        <v>0.4107874691</v>
      </c>
      <c r="AA570" s="14">
        <f>V570/totals!B$4</f>
        <v>-0.001368155681</v>
      </c>
      <c r="AB570" s="14">
        <f t="shared" si="11"/>
        <v>0.4255133193</v>
      </c>
    </row>
    <row r="571">
      <c r="A571" s="7">
        <v>2103.0</v>
      </c>
      <c r="B571" s="7" t="str">
        <f>VLOOKUP($A571,product_category,2, False)</f>
        <v>Cereal</v>
      </c>
      <c r="C571" s="7">
        <v>4.77282845E8</v>
      </c>
      <c r="D571" s="9">
        <v>40198.0</v>
      </c>
      <c r="E571" s="10">
        <f t="shared" si="1"/>
        <v>1</v>
      </c>
      <c r="F571" s="10" t="str">
        <f t="shared" si="2"/>
        <v>Jan</v>
      </c>
      <c r="G571" s="11">
        <f t="shared" si="3"/>
        <v>20</v>
      </c>
      <c r="H571" s="7">
        <f t="shared" si="4"/>
        <v>2010</v>
      </c>
      <c r="I571" s="9">
        <v>40213.0</v>
      </c>
      <c r="J571" s="11">
        <f t="shared" si="5"/>
        <v>15</v>
      </c>
      <c r="K571" s="7" t="s">
        <v>382</v>
      </c>
      <c r="L571" s="7" t="s">
        <v>77</v>
      </c>
      <c r="M571" s="7" t="str">
        <f>VLOOKUP(L571,countries, 2,false)</f>
        <v>Armenia</v>
      </c>
      <c r="N571" s="7" t="str">
        <f>VLOOKUP(L571,countries, 4,false)</f>
        <v>Asia</v>
      </c>
      <c r="O571" s="7" t="str">
        <f>VLOOKUP(L571,countries, 5,false)</f>
        <v>Western Asia</v>
      </c>
      <c r="P571" s="7" t="s">
        <v>212</v>
      </c>
      <c r="Q571" s="7">
        <v>7455.0</v>
      </c>
      <c r="R571" s="12">
        <v>205.7</v>
      </c>
      <c r="S571" s="12">
        <v>117.11</v>
      </c>
      <c r="T571" s="13">
        <f t="shared" si="6"/>
        <v>1533493.5</v>
      </c>
      <c r="U571" s="13">
        <f t="shared" si="7"/>
        <v>318892.63</v>
      </c>
      <c r="V571" s="13">
        <f t="shared" si="8"/>
        <v>1214600.87</v>
      </c>
      <c r="W571" s="14">
        <f>Q571/totals!B$2</f>
        <v>0.001133577556</v>
      </c>
      <c r="X571" s="14">
        <f t="shared" si="9"/>
        <v>0.4240057514</v>
      </c>
      <c r="Y571" s="14">
        <f>T571/totals!B$5</f>
        <v>0.0009009265057</v>
      </c>
      <c r="Z571" s="14">
        <f t="shared" si="10"/>
        <v>0.4116883956</v>
      </c>
      <c r="AA571" s="14">
        <f>V571/totals!B$4</f>
        <v>0.002421884836</v>
      </c>
      <c r="AB571" s="14">
        <f t="shared" si="11"/>
        <v>0.4279352041</v>
      </c>
    </row>
    <row r="572">
      <c r="A572" s="7">
        <v>8293.0</v>
      </c>
      <c r="B572" s="7" t="str">
        <f>VLOOKUP($A572,product_category,2, False)</f>
        <v>Cosmetics</v>
      </c>
      <c r="C572" s="7">
        <v>4.77633464E8</v>
      </c>
      <c r="D572" s="9">
        <v>42138.0</v>
      </c>
      <c r="E572" s="10">
        <f t="shared" si="1"/>
        <v>5</v>
      </c>
      <c r="F572" s="10" t="str">
        <f t="shared" si="2"/>
        <v>May</v>
      </c>
      <c r="G572" s="11">
        <f t="shared" si="3"/>
        <v>14</v>
      </c>
      <c r="H572" s="7">
        <f t="shared" si="4"/>
        <v>2015</v>
      </c>
      <c r="I572" s="9">
        <v>42162.0</v>
      </c>
      <c r="J572" s="11">
        <f t="shared" si="5"/>
        <v>24</v>
      </c>
      <c r="K572" s="7" t="s">
        <v>382</v>
      </c>
      <c r="L572" s="7" t="s">
        <v>111</v>
      </c>
      <c r="M572" s="7" t="str">
        <f>VLOOKUP(L572,countries, 2,false)</f>
        <v>Norway</v>
      </c>
      <c r="N572" s="7" t="str">
        <f>VLOOKUP(L572,countries, 4,false)</f>
        <v>Europe</v>
      </c>
      <c r="O572" s="7" t="str">
        <f>VLOOKUP(L572,countries, 5,false)</f>
        <v>Northern Europe</v>
      </c>
      <c r="P572" s="7" t="s">
        <v>129</v>
      </c>
      <c r="Q572" s="7">
        <v>1211.0</v>
      </c>
      <c r="R572" s="12">
        <v>437.2</v>
      </c>
      <c r="S572" s="12">
        <v>263.33</v>
      </c>
      <c r="T572" s="13">
        <f t="shared" si="6"/>
        <v>529449.2</v>
      </c>
      <c r="U572" s="13">
        <f t="shared" si="7"/>
        <v>151892.62</v>
      </c>
      <c r="V572" s="13">
        <f t="shared" si="8"/>
        <v>377556.58</v>
      </c>
      <c r="W572" s="14">
        <f>Q572/totals!B$2</f>
        <v>0.0001841398283</v>
      </c>
      <c r="X572" s="14">
        <f t="shared" si="9"/>
        <v>0.4241898912</v>
      </c>
      <c r="Y572" s="14">
        <f>T572/totals!B$5</f>
        <v>0.0003110510854</v>
      </c>
      <c r="Z572" s="14">
        <f t="shared" si="10"/>
        <v>0.4119994467</v>
      </c>
      <c r="AA572" s="14">
        <f>V572/totals!B$4</f>
        <v>0.000752838713</v>
      </c>
      <c r="AB572" s="14">
        <f t="shared" si="11"/>
        <v>0.4286880428</v>
      </c>
    </row>
    <row r="573">
      <c r="A573" s="7">
        <v>1270.0</v>
      </c>
      <c r="B573" s="7" t="str">
        <f>VLOOKUP($A573,product_category,2, False)</f>
        <v>Beverages</v>
      </c>
      <c r="C573" s="7">
        <v>4.7805103E8</v>
      </c>
      <c r="D573" s="9">
        <v>40798.0</v>
      </c>
      <c r="E573" s="10">
        <f t="shared" si="1"/>
        <v>9</v>
      </c>
      <c r="F573" s="10" t="str">
        <f t="shared" si="2"/>
        <v>Sep</v>
      </c>
      <c r="G573" s="11">
        <f t="shared" si="3"/>
        <v>12</v>
      </c>
      <c r="H573" s="7">
        <f t="shared" si="4"/>
        <v>2011</v>
      </c>
      <c r="I573" s="9">
        <v>40815.0</v>
      </c>
      <c r="J573" s="11">
        <f t="shared" si="5"/>
        <v>17</v>
      </c>
      <c r="K573" s="7" t="s">
        <v>198</v>
      </c>
      <c r="L573" s="7" t="s">
        <v>234</v>
      </c>
      <c r="M573" s="7" t="str">
        <f>VLOOKUP(L573,countries, 2,false)</f>
        <v>Czech Republic</v>
      </c>
      <c r="N573" s="7" t="str">
        <f>VLOOKUP(L573,countries, 4,false)</f>
        <v>Europe</v>
      </c>
      <c r="O573" s="7" t="str">
        <f>VLOOKUP(L573,countries, 5,false)</f>
        <v>Eastern Europe</v>
      </c>
      <c r="P573" s="7" t="s">
        <v>212</v>
      </c>
      <c r="Q573" s="7">
        <v>4778.0</v>
      </c>
      <c r="R573" s="12">
        <v>47.45</v>
      </c>
      <c r="S573" s="12">
        <v>31.79</v>
      </c>
      <c r="T573" s="13">
        <f t="shared" si="6"/>
        <v>226716.1</v>
      </c>
      <c r="U573" s="13">
        <f t="shared" si="7"/>
        <v>478918.17</v>
      </c>
      <c r="V573" s="13">
        <f t="shared" si="8"/>
        <v>-252202.07</v>
      </c>
      <c r="W573" s="14">
        <f>Q573/totals!B$2</f>
        <v>0.0007265236164</v>
      </c>
      <c r="X573" s="14">
        <f t="shared" si="9"/>
        <v>0.4249164148</v>
      </c>
      <c r="Y573" s="14">
        <f>T573/totals!B$5</f>
        <v>0.0001331955719</v>
      </c>
      <c r="Z573" s="14">
        <f t="shared" si="10"/>
        <v>0.4121326422</v>
      </c>
      <c r="AA573" s="14">
        <f>V573/totals!B$4</f>
        <v>-0.0005028848439</v>
      </c>
      <c r="AB573" s="14">
        <f t="shared" si="11"/>
        <v>0.428185158</v>
      </c>
    </row>
    <row r="574">
      <c r="A574" s="7">
        <v>3127.0</v>
      </c>
      <c r="B574" s="7" t="str">
        <f>VLOOKUP($A574,product_category,2, False)</f>
        <v>Personal Care</v>
      </c>
      <c r="C574" s="7">
        <v>4.78840672E8</v>
      </c>
      <c r="D574" s="9">
        <v>42404.0</v>
      </c>
      <c r="E574" s="10">
        <f t="shared" si="1"/>
        <v>2</v>
      </c>
      <c r="F574" s="10" t="str">
        <f t="shared" si="2"/>
        <v>Feb</v>
      </c>
      <c r="G574" s="11">
        <f t="shared" si="3"/>
        <v>4</v>
      </c>
      <c r="H574" s="7">
        <f t="shared" si="4"/>
        <v>2016</v>
      </c>
      <c r="I574" s="9">
        <v>42409.0</v>
      </c>
      <c r="J574" s="11">
        <f t="shared" si="5"/>
        <v>5</v>
      </c>
      <c r="K574" s="7" t="s">
        <v>322</v>
      </c>
      <c r="L574" s="7" t="s">
        <v>237</v>
      </c>
      <c r="M574" s="7" t="str">
        <f>VLOOKUP(L574,countries, 2,false)</f>
        <v>Denmark</v>
      </c>
      <c r="N574" s="7" t="str">
        <f>VLOOKUP(L574,countries, 4,false)</f>
        <v>Europe</v>
      </c>
      <c r="O574" s="7" t="str">
        <f>VLOOKUP(L574,countries, 5,false)</f>
        <v>Northern Europe</v>
      </c>
      <c r="P574" s="7" t="s">
        <v>129</v>
      </c>
      <c r="Q574" s="7">
        <v>8451.0</v>
      </c>
      <c r="R574" s="12">
        <v>81.73</v>
      </c>
      <c r="S574" s="12">
        <v>56.67</v>
      </c>
      <c r="T574" s="13">
        <f t="shared" si="6"/>
        <v>690700.23</v>
      </c>
      <c r="U574" s="13">
        <f t="shared" si="7"/>
        <v>994461.96</v>
      </c>
      <c r="V574" s="13">
        <f t="shared" si="8"/>
        <v>-303761.73</v>
      </c>
      <c r="W574" s="14">
        <f>Q574/totals!B$2</f>
        <v>0.001285025342</v>
      </c>
      <c r="X574" s="14">
        <f t="shared" si="9"/>
        <v>0.4262014402</v>
      </c>
      <c r="Y574" s="14">
        <f>T574/totals!B$5</f>
        <v>0.0004057859683</v>
      </c>
      <c r="Z574" s="14">
        <f t="shared" si="10"/>
        <v>0.4125384282</v>
      </c>
      <c r="AA574" s="14">
        <f>V574/totals!B$4</f>
        <v>-0.0006056935622</v>
      </c>
      <c r="AB574" s="14">
        <f t="shared" si="11"/>
        <v>0.4275794644</v>
      </c>
    </row>
    <row r="575">
      <c r="A575" s="7">
        <v>7331.0</v>
      </c>
      <c r="B575" s="7" t="str">
        <f>VLOOKUP($A575,product_category,2, False)</f>
        <v>Baby Food</v>
      </c>
      <c r="C575" s="7">
        <v>4.79171121E8</v>
      </c>
      <c r="D575" s="9">
        <v>40189.0</v>
      </c>
      <c r="E575" s="10">
        <f t="shared" si="1"/>
        <v>1</v>
      </c>
      <c r="F575" s="10" t="str">
        <f t="shared" si="2"/>
        <v>Jan</v>
      </c>
      <c r="G575" s="11">
        <f t="shared" si="3"/>
        <v>11</v>
      </c>
      <c r="H575" s="7">
        <f t="shared" si="4"/>
        <v>2010</v>
      </c>
      <c r="I575" s="9">
        <v>40205.0</v>
      </c>
      <c r="J575" s="11">
        <f t="shared" si="5"/>
        <v>16</v>
      </c>
      <c r="K575" s="7" t="s">
        <v>198</v>
      </c>
      <c r="L575" s="7" t="s">
        <v>597</v>
      </c>
      <c r="M575" s="7" t="str">
        <f>VLOOKUP(L575,countries, 2,false)</f>
        <v>Portugal</v>
      </c>
      <c r="N575" s="7" t="str">
        <f>VLOOKUP(L575,countries, 4,false)</f>
        <v>Europe</v>
      </c>
      <c r="O575" s="7" t="str">
        <f>VLOOKUP(L575,countries, 5,false)</f>
        <v>Southern Europe</v>
      </c>
      <c r="P575" s="7" t="s">
        <v>212</v>
      </c>
      <c r="Q575" s="7">
        <v>6238.0</v>
      </c>
      <c r="R575" s="12">
        <v>255.28</v>
      </c>
      <c r="S575" s="12">
        <v>159.42</v>
      </c>
      <c r="T575" s="13">
        <f t="shared" si="6"/>
        <v>1592436.64</v>
      </c>
      <c r="U575" s="13">
        <f t="shared" si="7"/>
        <v>33949.52</v>
      </c>
      <c r="V575" s="13">
        <f t="shared" si="8"/>
        <v>1558487.12</v>
      </c>
      <c r="W575" s="14">
        <f>Q575/totals!B$2</f>
        <v>0.0009485253912</v>
      </c>
      <c r="X575" s="14">
        <f t="shared" si="9"/>
        <v>0.4271499655</v>
      </c>
      <c r="Y575" s="14">
        <f>T575/totals!B$5</f>
        <v>0.0009355555649</v>
      </c>
      <c r="Z575" s="14">
        <f t="shared" si="10"/>
        <v>0.4134739838</v>
      </c>
      <c r="AA575" s="14">
        <f>V575/totals!B$4</f>
        <v>0.003107585723</v>
      </c>
      <c r="AB575" s="14">
        <f t="shared" si="11"/>
        <v>0.4306870501</v>
      </c>
    </row>
    <row r="576">
      <c r="A576" s="7">
        <v>4594.0</v>
      </c>
      <c r="B576" s="7" t="str">
        <f>VLOOKUP($A576,product_category,2, False)</f>
        <v>Fruits</v>
      </c>
      <c r="C576" s="7">
        <v>4.79234206E8</v>
      </c>
      <c r="D576" s="9">
        <v>40823.0</v>
      </c>
      <c r="E576" s="10">
        <f t="shared" si="1"/>
        <v>10</v>
      </c>
      <c r="F576" s="10" t="str">
        <f t="shared" si="2"/>
        <v>Oct</v>
      </c>
      <c r="G576" s="11">
        <f t="shared" si="3"/>
        <v>7</v>
      </c>
      <c r="H576" s="7">
        <f t="shared" si="4"/>
        <v>2011</v>
      </c>
      <c r="I576" s="9">
        <v>40861.0</v>
      </c>
      <c r="J576" s="11">
        <f t="shared" si="5"/>
        <v>38</v>
      </c>
      <c r="K576" s="7" t="s">
        <v>382</v>
      </c>
      <c r="L576" s="7" t="s">
        <v>454</v>
      </c>
      <c r="M576" s="7" t="str">
        <f>VLOOKUP(L576,countries, 2,false)</f>
        <v>Luxembourg</v>
      </c>
      <c r="N576" s="7" t="str">
        <f>VLOOKUP(L576,countries, 4,false)</f>
        <v>Europe</v>
      </c>
      <c r="O576" s="7" t="str">
        <f>VLOOKUP(L576,countries, 5,false)</f>
        <v>Western Europe</v>
      </c>
      <c r="P576" s="7" t="s">
        <v>129</v>
      </c>
      <c r="Q576" s="7">
        <v>4906.0</v>
      </c>
      <c r="R576" s="12">
        <v>9.33</v>
      </c>
      <c r="S576" s="12">
        <v>6.92</v>
      </c>
      <c r="T576" s="13">
        <f t="shared" si="6"/>
        <v>45772.98</v>
      </c>
      <c r="U576" s="13">
        <f t="shared" si="7"/>
        <v>758042.1</v>
      </c>
      <c r="V576" s="13">
        <f t="shared" si="8"/>
        <v>-712269.12</v>
      </c>
      <c r="W576" s="14">
        <f>Q576/totals!B$2</f>
        <v>0.0007459867857</v>
      </c>
      <c r="X576" s="14">
        <f t="shared" si="9"/>
        <v>0.4278959523</v>
      </c>
      <c r="Y576" s="14">
        <f>T576/totals!B$5</f>
        <v>0.00002689159812</v>
      </c>
      <c r="Z576" s="14">
        <f t="shared" si="10"/>
        <v>0.4135008754</v>
      </c>
      <c r="AA576" s="14">
        <f>V576/totals!B$4</f>
        <v>-0.001420247444</v>
      </c>
      <c r="AB576" s="14">
        <f t="shared" si="11"/>
        <v>0.4292668027</v>
      </c>
    </row>
    <row r="577">
      <c r="A577" s="7">
        <v>7331.0</v>
      </c>
      <c r="B577" s="7" t="str">
        <f>VLOOKUP($A577,product_category,2, False)</f>
        <v>Baby Food</v>
      </c>
      <c r="C577" s="7">
        <v>4.80652987E8</v>
      </c>
      <c r="D577" s="9">
        <v>42817.0</v>
      </c>
      <c r="E577" s="10">
        <f t="shared" si="1"/>
        <v>3</v>
      </c>
      <c r="F577" s="10" t="str">
        <f t="shared" si="2"/>
        <v>Mar</v>
      </c>
      <c r="G577" s="11">
        <f t="shared" si="3"/>
        <v>23</v>
      </c>
      <c r="H577" s="7">
        <f t="shared" si="4"/>
        <v>2017</v>
      </c>
      <c r="I577" s="9">
        <v>42830.0</v>
      </c>
      <c r="J577" s="11">
        <f t="shared" si="5"/>
        <v>13</v>
      </c>
      <c r="K577" s="7" t="s">
        <v>322</v>
      </c>
      <c r="L577" s="7" t="s">
        <v>392</v>
      </c>
      <c r="M577" s="7" t="str">
        <f>VLOOKUP(L577,countries, 2,false)</f>
        <v>Italy</v>
      </c>
      <c r="N577" s="7" t="str">
        <f>VLOOKUP(L577,countries, 4,false)</f>
        <v>Europe</v>
      </c>
      <c r="O577" s="7" t="str">
        <f>VLOOKUP(L577,countries, 5,false)</f>
        <v>Southern Europe</v>
      </c>
      <c r="P577" s="7" t="s">
        <v>212</v>
      </c>
      <c r="Q577" s="7">
        <v>4755.0</v>
      </c>
      <c r="R577" s="12">
        <v>255.28</v>
      </c>
      <c r="S577" s="12">
        <v>159.42</v>
      </c>
      <c r="T577" s="13">
        <f t="shared" si="6"/>
        <v>1213856.4</v>
      </c>
      <c r="U577" s="13">
        <f t="shared" si="7"/>
        <v>881637.12</v>
      </c>
      <c r="V577" s="13">
        <f t="shared" si="8"/>
        <v>332219.28</v>
      </c>
      <c r="W577" s="14">
        <f>Q577/totals!B$2</f>
        <v>0.0007230263282</v>
      </c>
      <c r="X577" s="14">
        <f t="shared" si="9"/>
        <v>0.4286189787</v>
      </c>
      <c r="Y577" s="14">
        <f>T577/totals!B$5</f>
        <v>0.0007131399024</v>
      </c>
      <c r="Z577" s="14">
        <f t="shared" si="10"/>
        <v>0.4142140153</v>
      </c>
      <c r="AA577" s="14">
        <f>V577/totals!B$4</f>
        <v>0.0006624372305</v>
      </c>
      <c r="AB577" s="14">
        <f t="shared" si="11"/>
        <v>0.4299292399</v>
      </c>
    </row>
    <row r="578">
      <c r="A578" s="7">
        <v>8969.0</v>
      </c>
      <c r="B578" s="7" t="str">
        <f>VLOOKUP($A578,product_category,2, False)</f>
        <v>Snacks</v>
      </c>
      <c r="C578" s="7">
        <v>4.80904042E8</v>
      </c>
      <c r="D578" s="9">
        <v>40201.0</v>
      </c>
      <c r="E578" s="10">
        <f t="shared" si="1"/>
        <v>1</v>
      </c>
      <c r="F578" s="10" t="str">
        <f t="shared" si="2"/>
        <v>Jan</v>
      </c>
      <c r="G578" s="11">
        <f t="shared" si="3"/>
        <v>23</v>
      </c>
      <c r="H578" s="7">
        <f t="shared" si="4"/>
        <v>2010</v>
      </c>
      <c r="I578" s="9">
        <v>40214.0</v>
      </c>
      <c r="J578" s="11">
        <f t="shared" si="5"/>
        <v>13</v>
      </c>
      <c r="K578" s="7" t="s">
        <v>198</v>
      </c>
      <c r="L578" s="7" t="s">
        <v>56</v>
      </c>
      <c r="M578" s="7" t="str">
        <f>VLOOKUP(L578,countries, 2,false)</f>
        <v>Andorra</v>
      </c>
      <c r="N578" s="7" t="str">
        <f>VLOOKUP(L578,countries, 4,false)</f>
        <v>Europe</v>
      </c>
      <c r="O578" s="7" t="str">
        <f>VLOOKUP(L578,countries, 5,false)</f>
        <v>Southern Europe</v>
      </c>
      <c r="P578" s="7" t="s">
        <v>212</v>
      </c>
      <c r="Q578" s="7">
        <v>9048.0</v>
      </c>
      <c r="R578" s="12">
        <v>152.58</v>
      </c>
      <c r="S578" s="12">
        <v>97.44</v>
      </c>
      <c r="T578" s="13">
        <f t="shared" si="6"/>
        <v>1380543.84</v>
      </c>
      <c r="U578" s="13">
        <f t="shared" si="7"/>
        <v>149432.36</v>
      </c>
      <c r="V578" s="13">
        <f t="shared" si="8"/>
        <v>1231111.48</v>
      </c>
      <c r="W578" s="14">
        <f>Q578/totals!B$2</f>
        <v>0.00137580278</v>
      </c>
      <c r="X578" s="14">
        <f t="shared" si="9"/>
        <v>0.4299947814</v>
      </c>
      <c r="Y578" s="14">
        <f>T578/totals!B$5</f>
        <v>0.0008110686728</v>
      </c>
      <c r="Z578" s="14">
        <f t="shared" si="10"/>
        <v>0.415025084</v>
      </c>
      <c r="AA578" s="14">
        <f>V578/totals!B$4</f>
        <v>0.002454806594</v>
      </c>
      <c r="AB578" s="14">
        <f t="shared" si="11"/>
        <v>0.4323840465</v>
      </c>
    </row>
    <row r="579">
      <c r="A579" s="7">
        <v>2103.0</v>
      </c>
      <c r="B579" s="7" t="str">
        <f>VLOOKUP($A579,product_category,2, False)</f>
        <v>Cereal</v>
      </c>
      <c r="C579" s="7">
        <v>4.81114327E8</v>
      </c>
      <c r="D579" s="9">
        <v>42312.0</v>
      </c>
      <c r="E579" s="10">
        <f t="shared" si="1"/>
        <v>11</v>
      </c>
      <c r="F579" s="10" t="str">
        <f t="shared" si="2"/>
        <v>Nov</v>
      </c>
      <c r="G579" s="11">
        <f t="shared" si="3"/>
        <v>4</v>
      </c>
      <c r="H579" s="7">
        <f t="shared" si="4"/>
        <v>2015</v>
      </c>
      <c r="I579" s="9">
        <v>42332.0</v>
      </c>
      <c r="J579" s="11">
        <f t="shared" si="5"/>
        <v>20</v>
      </c>
      <c r="K579" s="7" t="s">
        <v>110</v>
      </c>
      <c r="L579" s="7" t="s">
        <v>111</v>
      </c>
      <c r="M579" s="7" t="str">
        <f>VLOOKUP(L579,countries, 2,false)</f>
        <v>Norway</v>
      </c>
      <c r="N579" s="7" t="str">
        <f>VLOOKUP(L579,countries, 4,false)</f>
        <v>Europe</v>
      </c>
      <c r="O579" s="7" t="str">
        <f>VLOOKUP(L579,countries, 5,false)</f>
        <v>Northern Europe</v>
      </c>
      <c r="P579" s="7" t="s">
        <v>129</v>
      </c>
      <c r="Q579" s="7">
        <v>1276.0</v>
      </c>
      <c r="R579" s="12">
        <v>205.7</v>
      </c>
      <c r="S579" s="12">
        <v>117.11</v>
      </c>
      <c r="T579" s="13">
        <f t="shared" si="6"/>
        <v>262473.2</v>
      </c>
      <c r="U579" s="13">
        <f t="shared" si="7"/>
        <v>1383446.76</v>
      </c>
      <c r="V579" s="13">
        <f t="shared" si="8"/>
        <v>-1120973.56</v>
      </c>
      <c r="W579" s="14">
        <f>Q579/totals!B$2</f>
        <v>0.0001940234689</v>
      </c>
      <c r="X579" s="14">
        <f t="shared" si="9"/>
        <v>0.4301888049</v>
      </c>
      <c r="Y579" s="14">
        <f>T579/totals!B$5</f>
        <v>0.0001542028466</v>
      </c>
      <c r="Z579" s="14">
        <f t="shared" si="10"/>
        <v>0.4151792868</v>
      </c>
      <c r="AA579" s="14">
        <f>V579/totals!B$4</f>
        <v>-0.002235194238</v>
      </c>
      <c r="AB579" s="14">
        <f t="shared" si="11"/>
        <v>0.4301488523</v>
      </c>
    </row>
    <row r="580">
      <c r="A580" s="7">
        <v>7331.0</v>
      </c>
      <c r="B580" s="7" t="str">
        <f>VLOOKUP($A580,product_category,2, False)</f>
        <v>Baby Food</v>
      </c>
      <c r="C580" s="7">
        <v>4.81308305E8</v>
      </c>
      <c r="D580" s="9">
        <v>41889.0</v>
      </c>
      <c r="E580" s="10">
        <f t="shared" si="1"/>
        <v>9</v>
      </c>
      <c r="F580" s="10" t="str">
        <f t="shared" si="2"/>
        <v>Sep</v>
      </c>
      <c r="G580" s="11">
        <f t="shared" si="3"/>
        <v>7</v>
      </c>
      <c r="H580" s="7">
        <f t="shared" si="4"/>
        <v>2014</v>
      </c>
      <c r="I580" s="9">
        <v>41928.0</v>
      </c>
      <c r="J580" s="11">
        <f t="shared" si="5"/>
        <v>39</v>
      </c>
      <c r="K580" s="7" t="s">
        <v>198</v>
      </c>
      <c r="L580" s="7" t="s">
        <v>283</v>
      </c>
      <c r="M580" s="7" t="str">
        <f>VLOOKUP(L580,countries, 2,false)</f>
        <v>Finland</v>
      </c>
      <c r="N580" s="7" t="str">
        <f>VLOOKUP(L580,countries, 4,false)</f>
        <v>Europe</v>
      </c>
      <c r="O580" s="7" t="str">
        <f>VLOOKUP(L580,countries, 5,false)</f>
        <v>Northern Europe</v>
      </c>
      <c r="P580" s="7" t="s">
        <v>212</v>
      </c>
      <c r="Q580" s="7">
        <v>8678.0</v>
      </c>
      <c r="R580" s="12">
        <v>255.28</v>
      </c>
      <c r="S580" s="12">
        <v>159.42</v>
      </c>
      <c r="T580" s="13">
        <f t="shared" si="6"/>
        <v>2215319.84</v>
      </c>
      <c r="U580" s="13">
        <f t="shared" si="7"/>
        <v>44364.12</v>
      </c>
      <c r="V580" s="13">
        <f t="shared" si="8"/>
        <v>2170955.72</v>
      </c>
      <c r="W580" s="14">
        <f>Q580/totals!B$2</f>
        <v>0.001319542056</v>
      </c>
      <c r="X580" s="14">
        <f t="shared" si="9"/>
        <v>0.431508347</v>
      </c>
      <c r="Y580" s="14">
        <f>T580/totals!B$5</f>
        <v>0.001301499069</v>
      </c>
      <c r="Z580" s="14">
        <f t="shared" si="10"/>
        <v>0.4164807859</v>
      </c>
      <c r="AA580" s="14">
        <f>V580/totals!B$4</f>
        <v>0.004328833338</v>
      </c>
      <c r="AB580" s="14">
        <f t="shared" si="11"/>
        <v>0.4344776856</v>
      </c>
    </row>
    <row r="581">
      <c r="A581" s="7">
        <v>4594.0</v>
      </c>
      <c r="B581" s="7" t="str">
        <f>VLOOKUP($A581,product_category,2, False)</f>
        <v>Fruits</v>
      </c>
      <c r="C581" s="7">
        <v>4.81976497E8</v>
      </c>
      <c r="D581" s="9">
        <v>42670.0</v>
      </c>
      <c r="E581" s="10">
        <f t="shared" si="1"/>
        <v>10</v>
      </c>
      <c r="F581" s="10" t="str">
        <f t="shared" si="2"/>
        <v>Oct</v>
      </c>
      <c r="G581" s="11">
        <f t="shared" si="3"/>
        <v>27</v>
      </c>
      <c r="H581" s="7">
        <f t="shared" si="4"/>
        <v>2016</v>
      </c>
      <c r="I581" s="9">
        <v>42707.0</v>
      </c>
      <c r="J581" s="11">
        <f t="shared" si="5"/>
        <v>37</v>
      </c>
      <c r="K581" s="7" t="s">
        <v>382</v>
      </c>
      <c r="L581" s="7" t="s">
        <v>609</v>
      </c>
      <c r="M581" s="7" t="str">
        <f>VLOOKUP(L581,countries, 2,false)</f>
        <v>Romania</v>
      </c>
      <c r="N581" s="7" t="str">
        <f>VLOOKUP(L581,countries, 4,false)</f>
        <v>Europe</v>
      </c>
      <c r="O581" s="7" t="str">
        <f>VLOOKUP(L581,countries, 5,false)</f>
        <v>Eastern Europe</v>
      </c>
      <c r="P581" s="7" t="s">
        <v>129</v>
      </c>
      <c r="Q581" s="7">
        <v>6411.0</v>
      </c>
      <c r="R581" s="12">
        <v>9.33</v>
      </c>
      <c r="S581" s="12">
        <v>6.92</v>
      </c>
      <c r="T581" s="13">
        <f t="shared" si="6"/>
        <v>59814.63</v>
      </c>
      <c r="U581" s="13">
        <f t="shared" si="7"/>
        <v>3267257.71</v>
      </c>
      <c r="V581" s="13">
        <f t="shared" si="8"/>
        <v>-3207443.08</v>
      </c>
      <c r="W581" s="14">
        <f>Q581/totals!B$2</f>
        <v>0.000974831081</v>
      </c>
      <c r="X581" s="14">
        <f t="shared" si="9"/>
        <v>0.432483178</v>
      </c>
      <c r="Y581" s="14">
        <f>T581/totals!B$5</f>
        <v>0.00003514105902</v>
      </c>
      <c r="Z581" s="14">
        <f t="shared" si="10"/>
        <v>0.4165159269</v>
      </c>
      <c r="AA581" s="14">
        <f>V581/totals!B$4</f>
        <v>-0.006395564131</v>
      </c>
      <c r="AB581" s="14">
        <f t="shared" si="11"/>
        <v>0.4280821215</v>
      </c>
    </row>
    <row r="582">
      <c r="A582" s="7">
        <v>8875.0</v>
      </c>
      <c r="B582" s="7" t="str">
        <f>VLOOKUP($A582,product_category,2, False)</f>
        <v>Meat</v>
      </c>
      <c r="C582" s="7">
        <v>4.83438193E8</v>
      </c>
      <c r="D582" s="9">
        <v>41144.0</v>
      </c>
      <c r="E582" s="10">
        <f t="shared" si="1"/>
        <v>8</v>
      </c>
      <c r="F582" s="10" t="str">
        <f t="shared" si="2"/>
        <v>Aug</v>
      </c>
      <c r="G582" s="11">
        <f t="shared" si="3"/>
        <v>23</v>
      </c>
      <c r="H582" s="7">
        <f t="shared" si="4"/>
        <v>2012</v>
      </c>
      <c r="I582" s="9">
        <v>41178.0</v>
      </c>
      <c r="J582" s="11">
        <f t="shared" si="5"/>
        <v>34</v>
      </c>
      <c r="K582" s="7" t="s">
        <v>382</v>
      </c>
      <c r="L582" s="7" t="s">
        <v>304</v>
      </c>
      <c r="M582" s="7" t="str">
        <f>VLOOKUP(L582,countries, 2,false)</f>
        <v>Georgia</v>
      </c>
      <c r="N582" s="7" t="str">
        <f>VLOOKUP(L582,countries, 4,false)</f>
        <v>Asia</v>
      </c>
      <c r="O582" s="7" t="str">
        <f>VLOOKUP(L582,countries, 5,false)</f>
        <v>Western Asia</v>
      </c>
      <c r="P582" s="7" t="s">
        <v>129</v>
      </c>
      <c r="Q582" s="7">
        <v>8959.0</v>
      </c>
      <c r="R582" s="12">
        <v>421.89</v>
      </c>
      <c r="S582" s="12">
        <v>364.69</v>
      </c>
      <c r="T582" s="13">
        <f t="shared" si="6"/>
        <v>3779712.51</v>
      </c>
      <c r="U582" s="13">
        <f t="shared" si="7"/>
        <v>391850.06</v>
      </c>
      <c r="V582" s="13">
        <f t="shared" si="8"/>
        <v>3387862.45</v>
      </c>
      <c r="W582" s="14">
        <f>Q582/totals!B$2</f>
        <v>0.001362269795</v>
      </c>
      <c r="X582" s="14">
        <f t="shared" si="9"/>
        <v>0.4338454478</v>
      </c>
      <c r="Y582" s="14">
        <f>T582/totals!B$5</f>
        <v>0.002220578818</v>
      </c>
      <c r="Z582" s="14">
        <f t="shared" si="10"/>
        <v>0.4187365057</v>
      </c>
      <c r="AA582" s="14">
        <f>V582/totals!B$4</f>
        <v>0.006755316003</v>
      </c>
      <c r="AB582" s="14">
        <f t="shared" si="11"/>
        <v>0.4348374375</v>
      </c>
    </row>
    <row r="583">
      <c r="A583" s="7">
        <v>2103.0</v>
      </c>
      <c r="B583" s="7" t="str">
        <f>VLOOKUP($A583,product_category,2, False)</f>
        <v>Cereal</v>
      </c>
      <c r="C583" s="7">
        <v>4.83655774E8</v>
      </c>
      <c r="D583" s="9">
        <v>42934.0</v>
      </c>
      <c r="E583" s="10">
        <f t="shared" si="1"/>
        <v>7</v>
      </c>
      <c r="F583" s="10" t="str">
        <f t="shared" si="2"/>
        <v>Jul</v>
      </c>
      <c r="G583" s="11">
        <f t="shared" si="3"/>
        <v>18</v>
      </c>
      <c r="H583" s="7">
        <f t="shared" si="4"/>
        <v>2017</v>
      </c>
      <c r="I583" s="9">
        <v>42952.0</v>
      </c>
      <c r="J583" s="11">
        <f t="shared" si="5"/>
        <v>18</v>
      </c>
      <c r="K583" s="7" t="s">
        <v>382</v>
      </c>
      <c r="L583" s="7" t="e">
        <v>#N/A</v>
      </c>
      <c r="M583" s="7"/>
      <c r="N583" s="7"/>
      <c r="O583" s="7"/>
      <c r="P583" s="7" t="s">
        <v>212</v>
      </c>
      <c r="Q583" s="7">
        <v>3346.0</v>
      </c>
      <c r="R583" s="12">
        <v>205.7</v>
      </c>
      <c r="S583" s="12">
        <v>117.11</v>
      </c>
      <c r="T583" s="13">
        <f t="shared" si="6"/>
        <v>688272.2</v>
      </c>
      <c r="U583" s="13">
        <f t="shared" si="7"/>
        <v>5111010.56</v>
      </c>
      <c r="V583" s="13">
        <f t="shared" si="8"/>
        <v>-4422738.36</v>
      </c>
      <c r="W583" s="14">
        <f>Q583/totals!B$2</f>
        <v>0.0005087794099</v>
      </c>
      <c r="X583" s="14">
        <f t="shared" si="9"/>
        <v>0.4343542272</v>
      </c>
      <c r="Y583" s="14">
        <f>T583/totals!B$5</f>
        <v>0.0004043595021</v>
      </c>
      <c r="Z583" s="14">
        <f t="shared" si="10"/>
        <v>0.4191408652</v>
      </c>
      <c r="AA583" s="14">
        <f>V583/totals!B$4</f>
        <v>-0.008818833604</v>
      </c>
      <c r="AB583" s="14">
        <f t="shared" si="11"/>
        <v>0.4260186039</v>
      </c>
    </row>
    <row r="584">
      <c r="A584" s="7">
        <v>8681.0</v>
      </c>
      <c r="B584" s="7" t="str">
        <f>VLOOKUP($A584,product_category,2, False)</f>
        <v>Office Supplies</v>
      </c>
      <c r="C584" s="7">
        <v>4.83981502E8</v>
      </c>
      <c r="D584" s="9">
        <v>40277.0</v>
      </c>
      <c r="E584" s="10">
        <f t="shared" si="1"/>
        <v>4</v>
      </c>
      <c r="F584" s="10" t="str">
        <f t="shared" si="2"/>
        <v>Apr</v>
      </c>
      <c r="G584" s="11">
        <f t="shared" si="3"/>
        <v>9</v>
      </c>
      <c r="H584" s="7">
        <f t="shared" si="4"/>
        <v>2010</v>
      </c>
      <c r="I584" s="9">
        <v>40302.0</v>
      </c>
      <c r="J584" s="11">
        <f t="shared" si="5"/>
        <v>25</v>
      </c>
      <c r="K584" s="7" t="s">
        <v>382</v>
      </c>
      <c r="L584" s="7" t="s">
        <v>670</v>
      </c>
      <c r="M584" s="7" t="str">
        <f>VLOOKUP(L584,countries, 2,false)</f>
        <v>Slovenia</v>
      </c>
      <c r="N584" s="7" t="str">
        <f>VLOOKUP(L584,countries, 4,false)</f>
        <v>Europe</v>
      </c>
      <c r="O584" s="7" t="str">
        <f>VLOOKUP(L584,countries, 5,false)</f>
        <v>Southern Europe</v>
      </c>
      <c r="P584" s="7" t="s">
        <v>129</v>
      </c>
      <c r="Q584" s="7">
        <v>9736.0</v>
      </c>
      <c r="R584" s="12">
        <v>651.21</v>
      </c>
      <c r="S584" s="12">
        <v>524.96</v>
      </c>
      <c r="T584" s="13">
        <f t="shared" si="6"/>
        <v>6340180.56</v>
      </c>
      <c r="U584" s="13">
        <f t="shared" si="7"/>
        <v>23872.8</v>
      </c>
      <c r="V584" s="13">
        <f t="shared" si="8"/>
        <v>6316307.76</v>
      </c>
      <c r="W584" s="14">
        <f>Q584/totals!B$2</f>
        <v>0.001480417315</v>
      </c>
      <c r="X584" s="14">
        <f t="shared" si="9"/>
        <v>0.4358346446</v>
      </c>
      <c r="Y584" s="14">
        <f>T584/totals!B$5</f>
        <v>0.003724852252</v>
      </c>
      <c r="Z584" s="14">
        <f t="shared" si="10"/>
        <v>0.4228657175</v>
      </c>
      <c r="AA584" s="14">
        <f>V584/totals!B$4</f>
        <v>0.01259456531</v>
      </c>
      <c r="AB584" s="14">
        <f t="shared" si="11"/>
        <v>0.4386131692</v>
      </c>
    </row>
    <row r="585">
      <c r="A585" s="7">
        <v>8969.0</v>
      </c>
      <c r="B585" s="7" t="str">
        <f>VLOOKUP($A585,product_category,2, False)</f>
        <v>Snacks</v>
      </c>
      <c r="C585" s="7">
        <v>4.85165965E8</v>
      </c>
      <c r="D585" s="9">
        <v>42685.0</v>
      </c>
      <c r="E585" s="10">
        <f t="shared" si="1"/>
        <v>11</v>
      </c>
      <c r="F585" s="10" t="str">
        <f t="shared" si="2"/>
        <v>Nov</v>
      </c>
      <c r="G585" s="11">
        <f t="shared" si="3"/>
        <v>11</v>
      </c>
      <c r="H585" s="7">
        <f t="shared" si="4"/>
        <v>2016</v>
      </c>
      <c r="I585" s="9">
        <v>42718.0</v>
      </c>
      <c r="J585" s="11">
        <f t="shared" si="5"/>
        <v>33</v>
      </c>
      <c r="K585" s="7" t="s">
        <v>198</v>
      </c>
      <c r="L585" s="7" t="s">
        <v>540</v>
      </c>
      <c r="M585" s="7" t="str">
        <f>VLOOKUP(L585,countries, 2,false)</f>
        <v>Spain</v>
      </c>
      <c r="N585" s="7" t="str">
        <f>VLOOKUP(L585,countries, 4,false)</f>
        <v>Europe</v>
      </c>
      <c r="O585" s="7" t="str">
        <f>VLOOKUP(L585,countries, 5,false)</f>
        <v>Southern Europe</v>
      </c>
      <c r="P585" s="7" t="s">
        <v>129</v>
      </c>
      <c r="Q585" s="7">
        <v>245.0</v>
      </c>
      <c r="R585" s="12">
        <v>152.58</v>
      </c>
      <c r="S585" s="12">
        <v>97.44</v>
      </c>
      <c r="T585" s="13">
        <f t="shared" si="6"/>
        <v>37382.1</v>
      </c>
      <c r="U585" s="13">
        <f t="shared" si="7"/>
        <v>349710.57</v>
      </c>
      <c r="V585" s="13">
        <f t="shared" si="8"/>
        <v>-312328.47</v>
      </c>
      <c r="W585" s="14">
        <f>Q585/totals!B$2</f>
        <v>0.00003725372248</v>
      </c>
      <c r="X585" s="14">
        <f t="shared" si="9"/>
        <v>0.4358718983</v>
      </c>
      <c r="Y585" s="14">
        <f>T585/totals!B$5</f>
        <v>0.00002196196119</v>
      </c>
      <c r="Z585" s="14">
        <f t="shared" si="10"/>
        <v>0.4228876795</v>
      </c>
      <c r="AA585" s="14">
        <f>V585/totals!B$4</f>
        <v>-0.0006227754351</v>
      </c>
      <c r="AB585" s="14">
        <f t="shared" si="11"/>
        <v>0.4379903937</v>
      </c>
    </row>
    <row r="586">
      <c r="A586" s="7">
        <v>3127.0</v>
      </c>
      <c r="B586" s="7" t="str">
        <f>VLOOKUP($A586,product_category,2, False)</f>
        <v>Personal Care</v>
      </c>
      <c r="C586" s="7">
        <v>4.85929429E8</v>
      </c>
      <c r="D586" s="9">
        <v>42842.0</v>
      </c>
      <c r="E586" s="10">
        <f t="shared" si="1"/>
        <v>4</v>
      </c>
      <c r="F586" s="10" t="str">
        <f t="shared" si="2"/>
        <v>Apr</v>
      </c>
      <c r="G586" s="11">
        <f t="shared" si="3"/>
        <v>17</v>
      </c>
      <c r="H586" s="7">
        <f t="shared" si="4"/>
        <v>2017</v>
      </c>
      <c r="I586" s="9">
        <v>42874.0</v>
      </c>
      <c r="J586" s="11">
        <f t="shared" si="5"/>
        <v>32</v>
      </c>
      <c r="K586" s="7" t="s">
        <v>198</v>
      </c>
      <c r="L586" s="7" t="s">
        <v>756</v>
      </c>
      <c r="M586" s="7" t="str">
        <f>VLOOKUP(L586,countries, 2,false)</f>
        <v>Ukraine</v>
      </c>
      <c r="N586" s="7" t="str">
        <f>VLOOKUP(L586,countries, 4,false)</f>
        <v>Europe</v>
      </c>
      <c r="O586" s="7" t="str">
        <f>VLOOKUP(L586,countries, 5,false)</f>
        <v>Eastern Europe</v>
      </c>
      <c r="P586" s="7" t="s">
        <v>212</v>
      </c>
      <c r="Q586" s="7">
        <v>6171.0</v>
      </c>
      <c r="R586" s="12">
        <v>81.73</v>
      </c>
      <c r="S586" s="12">
        <v>56.67</v>
      </c>
      <c r="T586" s="13">
        <f t="shared" si="6"/>
        <v>504355.83</v>
      </c>
      <c r="U586" s="13">
        <f t="shared" si="7"/>
        <v>2463978.81</v>
      </c>
      <c r="V586" s="13">
        <f t="shared" si="8"/>
        <v>-1959622.98</v>
      </c>
      <c r="W586" s="14">
        <f>Q586/totals!B$2</f>
        <v>0.0009383376385</v>
      </c>
      <c r="X586" s="14">
        <f t="shared" si="9"/>
        <v>0.4368102359</v>
      </c>
      <c r="Y586" s="14">
        <f>T586/totals!B$5</f>
        <v>0.0002963087457</v>
      </c>
      <c r="Z586" s="14">
        <f t="shared" si="10"/>
        <v>0.4231839882</v>
      </c>
      <c r="AA586" s="14">
        <f>V586/totals!B$4</f>
        <v>-0.003907440952</v>
      </c>
      <c r="AB586" s="14">
        <f t="shared" si="11"/>
        <v>0.4340829528</v>
      </c>
    </row>
    <row r="587">
      <c r="A587" s="7">
        <v>8293.0</v>
      </c>
      <c r="B587" s="7" t="str">
        <f>VLOOKUP($A587,product_category,2, False)</f>
        <v>Cosmetics</v>
      </c>
      <c r="C587" s="7">
        <v>4.86345708E8</v>
      </c>
      <c r="D587" s="9">
        <v>41885.0</v>
      </c>
      <c r="E587" s="10">
        <f t="shared" si="1"/>
        <v>9</v>
      </c>
      <c r="F587" s="10" t="str">
        <f t="shared" si="2"/>
        <v>Sep</v>
      </c>
      <c r="G587" s="11">
        <f t="shared" si="3"/>
        <v>3</v>
      </c>
      <c r="H587" s="7">
        <f t="shared" si="4"/>
        <v>2014</v>
      </c>
      <c r="I587" s="9">
        <v>41923.0</v>
      </c>
      <c r="J587" s="11">
        <f t="shared" si="5"/>
        <v>38</v>
      </c>
      <c r="K587" s="7" t="s">
        <v>382</v>
      </c>
      <c r="L587" s="7" t="s">
        <v>612</v>
      </c>
      <c r="M587" s="7" t="str">
        <f>VLOOKUP(L587,countries, 2,false)</f>
        <v>Russia</v>
      </c>
      <c r="N587" s="7" t="str">
        <f>VLOOKUP(L587,countries, 4,false)</f>
        <v>Europe</v>
      </c>
      <c r="O587" s="7" t="str">
        <f>VLOOKUP(L587,countries, 5,false)</f>
        <v>Eastern Europe</v>
      </c>
      <c r="P587" s="7" t="s">
        <v>212</v>
      </c>
      <c r="Q587" s="7">
        <v>9357.0</v>
      </c>
      <c r="R587" s="12">
        <v>437.2</v>
      </c>
      <c r="S587" s="12">
        <v>263.33</v>
      </c>
      <c r="T587" s="13">
        <f t="shared" si="6"/>
        <v>4090880.4</v>
      </c>
      <c r="U587" s="13">
        <f t="shared" si="7"/>
        <v>319982.67</v>
      </c>
      <c r="V587" s="13">
        <f t="shared" si="8"/>
        <v>3770897.73</v>
      </c>
      <c r="W587" s="14">
        <f>Q587/totals!B$2</f>
        <v>0.001422788087</v>
      </c>
      <c r="X587" s="14">
        <f t="shared" si="9"/>
        <v>0.438233024</v>
      </c>
      <c r="Y587" s="14">
        <f>T587/totals!B$5</f>
        <v>0.002403389766</v>
      </c>
      <c r="Z587" s="14">
        <f t="shared" si="10"/>
        <v>0.425587378</v>
      </c>
      <c r="AA587" s="14">
        <f>V587/totals!B$4</f>
        <v>0.007519079111</v>
      </c>
      <c r="AB587" s="14">
        <f t="shared" si="11"/>
        <v>0.4416020319</v>
      </c>
    </row>
    <row r="588">
      <c r="A588" s="7">
        <v>5988.0</v>
      </c>
      <c r="B588" s="7" t="str">
        <f>VLOOKUP($A588,product_category,2, False)</f>
        <v>Vegetables</v>
      </c>
      <c r="C588" s="7">
        <v>4.8646115E8</v>
      </c>
      <c r="D588" s="9">
        <v>42648.0</v>
      </c>
      <c r="E588" s="10">
        <f t="shared" si="1"/>
        <v>10</v>
      </c>
      <c r="F588" s="10" t="str">
        <f t="shared" si="2"/>
        <v>Oct</v>
      </c>
      <c r="G588" s="11">
        <f t="shared" si="3"/>
        <v>5</v>
      </c>
      <c r="H588" s="7">
        <f t="shared" si="4"/>
        <v>2016</v>
      </c>
      <c r="I588" s="9">
        <v>42687.0</v>
      </c>
      <c r="J588" s="11">
        <f t="shared" si="5"/>
        <v>39</v>
      </c>
      <c r="K588" s="7" t="s">
        <v>110</v>
      </c>
      <c r="L588" s="7" t="s">
        <v>432</v>
      </c>
      <c r="M588" s="7" t="str">
        <f>VLOOKUP(L588,countries, 2,false)</f>
        <v>Latvia</v>
      </c>
      <c r="N588" s="7" t="str">
        <f>VLOOKUP(L588,countries, 4,false)</f>
        <v>Europe</v>
      </c>
      <c r="O588" s="7" t="str">
        <f>VLOOKUP(L588,countries, 5,false)</f>
        <v>Northern Europe</v>
      </c>
      <c r="P588" s="7" t="s">
        <v>212</v>
      </c>
      <c r="Q588" s="7">
        <v>3519.0</v>
      </c>
      <c r="R588" s="12">
        <v>154.06</v>
      </c>
      <c r="S588" s="12">
        <v>90.93</v>
      </c>
      <c r="T588" s="13">
        <f t="shared" si="6"/>
        <v>542137.14</v>
      </c>
      <c r="U588" s="13">
        <f t="shared" si="7"/>
        <v>17459.16</v>
      </c>
      <c r="V588" s="13">
        <f t="shared" si="8"/>
        <v>524677.98</v>
      </c>
      <c r="W588" s="14">
        <f>Q588/totals!B$2</f>
        <v>0.0005350850997</v>
      </c>
      <c r="X588" s="14">
        <f t="shared" si="9"/>
        <v>0.4387681091</v>
      </c>
      <c r="Y588" s="14">
        <f>T588/totals!B$5</f>
        <v>0.0003185052425</v>
      </c>
      <c r="Z588" s="14">
        <f t="shared" si="10"/>
        <v>0.4259058832</v>
      </c>
      <c r="AA588" s="14">
        <f>V588/totals!B$4</f>
        <v>0.001046195236</v>
      </c>
      <c r="AB588" s="14">
        <f t="shared" si="11"/>
        <v>0.4426482271</v>
      </c>
    </row>
    <row r="589">
      <c r="A589" s="7">
        <v>4594.0</v>
      </c>
      <c r="B589" s="7" t="str">
        <f>VLOOKUP($A589,product_category,2, False)</f>
        <v>Fruits</v>
      </c>
      <c r="C589" s="7">
        <v>4.8831638E8</v>
      </c>
      <c r="D589" s="9">
        <v>42308.0</v>
      </c>
      <c r="E589" s="10">
        <f t="shared" si="1"/>
        <v>10</v>
      </c>
      <c r="F589" s="10" t="str">
        <f t="shared" si="2"/>
        <v>Oct</v>
      </c>
      <c r="G589" s="11">
        <f t="shared" si="3"/>
        <v>31</v>
      </c>
      <c r="H589" s="7">
        <f t="shared" si="4"/>
        <v>2015</v>
      </c>
      <c r="I589" s="9">
        <v>42326.0</v>
      </c>
      <c r="J589" s="11">
        <f t="shared" si="5"/>
        <v>18</v>
      </c>
      <c r="K589" s="7" t="s">
        <v>322</v>
      </c>
      <c r="L589" s="7" t="s">
        <v>316</v>
      </c>
      <c r="M589" s="7" t="str">
        <f>VLOOKUP(L589,countries, 2,false)</f>
        <v>Greece</v>
      </c>
      <c r="N589" s="7" t="str">
        <f>VLOOKUP(L589,countries, 4,false)</f>
        <v>Europe</v>
      </c>
      <c r="O589" s="7" t="str">
        <f>VLOOKUP(L589,countries, 5,false)</f>
        <v>Southern Europe</v>
      </c>
      <c r="P589" s="7" t="s">
        <v>129</v>
      </c>
      <c r="Q589" s="7">
        <v>2523.0</v>
      </c>
      <c r="R589" s="12">
        <v>9.33</v>
      </c>
      <c r="S589" s="12">
        <v>6.92</v>
      </c>
      <c r="T589" s="13">
        <f t="shared" si="6"/>
        <v>23539.59</v>
      </c>
      <c r="U589" s="13">
        <f t="shared" si="7"/>
        <v>33811.68</v>
      </c>
      <c r="V589" s="13">
        <f t="shared" si="8"/>
        <v>-10272.09</v>
      </c>
      <c r="W589" s="14">
        <f>Q589/totals!B$2</f>
        <v>0.0003836373136</v>
      </c>
      <c r="X589" s="14">
        <f t="shared" si="9"/>
        <v>0.4391517464</v>
      </c>
      <c r="Y589" s="14">
        <f>T589/totals!B$5</f>
        <v>0.00001382949492</v>
      </c>
      <c r="Z589" s="14">
        <f t="shared" si="10"/>
        <v>0.4259197127</v>
      </c>
      <c r="AA589" s="14">
        <f>V589/totals!B$4</f>
        <v>-0.00002048229968</v>
      </c>
      <c r="AB589" s="14">
        <f t="shared" si="11"/>
        <v>0.4426277448</v>
      </c>
    </row>
    <row r="590">
      <c r="A590" s="7">
        <v>8969.0</v>
      </c>
      <c r="B590" s="7" t="str">
        <f>VLOOKUP($A590,product_category,2, False)</f>
        <v>Snacks</v>
      </c>
      <c r="C590" s="7">
        <v>4.88815915E8</v>
      </c>
      <c r="D590" s="9">
        <v>40605.0</v>
      </c>
      <c r="E590" s="10">
        <f t="shared" si="1"/>
        <v>3</v>
      </c>
      <c r="F590" s="10" t="str">
        <f t="shared" si="2"/>
        <v>Mar</v>
      </c>
      <c r="G590" s="11">
        <f t="shared" si="3"/>
        <v>3</v>
      </c>
      <c r="H590" s="7">
        <f t="shared" si="4"/>
        <v>2011</v>
      </c>
      <c r="I590" s="9">
        <v>40650.0</v>
      </c>
      <c r="J590" s="11">
        <f t="shared" si="5"/>
        <v>45</v>
      </c>
      <c r="K590" s="7" t="s">
        <v>110</v>
      </c>
      <c r="L590" s="7" t="s">
        <v>222</v>
      </c>
      <c r="M590" s="7" t="str">
        <f>VLOOKUP(L590,countries, 2,false)</f>
        <v>Croatia</v>
      </c>
      <c r="N590" s="7" t="str">
        <f>VLOOKUP(L590,countries, 4,false)</f>
        <v>Europe</v>
      </c>
      <c r="O590" s="7" t="str">
        <f>VLOOKUP(L590,countries, 5,false)</f>
        <v>Southern Europe</v>
      </c>
      <c r="P590" s="7" t="s">
        <v>212</v>
      </c>
      <c r="Q590" s="7">
        <v>347.0</v>
      </c>
      <c r="R590" s="12">
        <v>152.58</v>
      </c>
      <c r="S590" s="12">
        <v>97.44</v>
      </c>
      <c r="T590" s="13">
        <f t="shared" si="6"/>
        <v>52945.26</v>
      </c>
      <c r="U590" s="13">
        <f t="shared" si="7"/>
        <v>238418.46</v>
      </c>
      <c r="V590" s="13">
        <f t="shared" si="8"/>
        <v>-185473.2</v>
      </c>
      <c r="W590" s="14">
        <f>Q590/totals!B$2</f>
        <v>0.00005276343552</v>
      </c>
      <c r="X590" s="14">
        <f t="shared" si="9"/>
        <v>0.4392045099</v>
      </c>
      <c r="Y590" s="14">
        <f>T590/totals!B$5</f>
        <v>0.00003110530829</v>
      </c>
      <c r="Z590" s="14">
        <f t="shared" si="10"/>
        <v>0.425950818</v>
      </c>
      <c r="AA590" s="14">
        <f>V590/totals!B$4</f>
        <v>-0.0003698290868</v>
      </c>
      <c r="AB590" s="14">
        <f t="shared" si="11"/>
        <v>0.4422579158</v>
      </c>
    </row>
    <row r="591">
      <c r="A591" s="7">
        <v>5988.0</v>
      </c>
      <c r="B591" s="7" t="str">
        <f>VLOOKUP($A591,product_category,2, False)</f>
        <v>Vegetables</v>
      </c>
      <c r="C591" s="7">
        <v>4.89600837E8</v>
      </c>
      <c r="D591" s="9">
        <v>41768.0</v>
      </c>
      <c r="E591" s="10">
        <f t="shared" si="1"/>
        <v>5</v>
      </c>
      <c r="F591" s="10" t="str">
        <f t="shared" si="2"/>
        <v>May</v>
      </c>
      <c r="G591" s="11">
        <f t="shared" si="3"/>
        <v>9</v>
      </c>
      <c r="H591" s="7">
        <f t="shared" si="4"/>
        <v>2014</v>
      </c>
      <c r="I591" s="9">
        <v>41799.0</v>
      </c>
      <c r="J591" s="11">
        <f t="shared" si="5"/>
        <v>31</v>
      </c>
      <c r="K591" s="7" t="s">
        <v>198</v>
      </c>
      <c r="L591" s="7" t="s">
        <v>88</v>
      </c>
      <c r="M591" s="7" t="str">
        <f>VLOOKUP(L591,countries, 2,false)</f>
        <v>Austria</v>
      </c>
      <c r="N591" s="7" t="str">
        <f>VLOOKUP(L591,countries, 4,false)</f>
        <v>Europe</v>
      </c>
      <c r="O591" s="7" t="str">
        <f>VLOOKUP(L591,countries, 5,false)</f>
        <v>Western Europe</v>
      </c>
      <c r="P591" s="7" t="s">
        <v>212</v>
      </c>
      <c r="Q591" s="7">
        <v>2622.0</v>
      </c>
      <c r="R591" s="12">
        <v>154.06</v>
      </c>
      <c r="S591" s="12">
        <v>90.93</v>
      </c>
      <c r="T591" s="13">
        <f t="shared" si="6"/>
        <v>403945.32</v>
      </c>
      <c r="U591" s="13">
        <f t="shared" si="7"/>
        <v>562423.68</v>
      </c>
      <c r="V591" s="13">
        <f t="shared" si="8"/>
        <v>-158478.36</v>
      </c>
      <c r="W591" s="14">
        <f>Q591/totals!B$2</f>
        <v>0.0003986908586</v>
      </c>
      <c r="X591" s="14">
        <f t="shared" si="9"/>
        <v>0.4396032007</v>
      </c>
      <c r="Y591" s="14">
        <f>T591/totals!B$5</f>
        <v>0.0002373176317</v>
      </c>
      <c r="Z591" s="14">
        <f t="shared" si="10"/>
        <v>0.4261881356</v>
      </c>
      <c r="AA591" s="14">
        <f>V591/totals!B$4</f>
        <v>-0.000316002027</v>
      </c>
      <c r="AB591" s="14">
        <f t="shared" si="11"/>
        <v>0.4419419137</v>
      </c>
    </row>
    <row r="592">
      <c r="A592" s="7">
        <v>8969.0</v>
      </c>
      <c r="B592" s="7" t="str">
        <f>VLOOKUP($A592,product_category,2, False)</f>
        <v>Snacks</v>
      </c>
      <c r="C592" s="7">
        <v>4.89848029E8</v>
      </c>
      <c r="D592" s="9">
        <v>40299.0</v>
      </c>
      <c r="E592" s="10">
        <f t="shared" si="1"/>
        <v>5</v>
      </c>
      <c r="F592" s="10" t="str">
        <f t="shared" si="2"/>
        <v>May</v>
      </c>
      <c r="G592" s="11">
        <f t="shared" si="3"/>
        <v>1</v>
      </c>
      <c r="H592" s="7">
        <f t="shared" si="4"/>
        <v>2010</v>
      </c>
      <c r="I592" s="9">
        <v>40318.0</v>
      </c>
      <c r="J592" s="11">
        <f t="shared" si="5"/>
        <v>19</v>
      </c>
      <c r="K592" s="7" t="s">
        <v>110</v>
      </c>
      <c r="L592" s="7" t="e">
        <v>#N/A</v>
      </c>
      <c r="M592" s="7"/>
      <c r="N592" s="7"/>
      <c r="O592" s="7"/>
      <c r="P592" s="7" t="s">
        <v>212</v>
      </c>
      <c r="Q592" s="7">
        <v>5772.0</v>
      </c>
      <c r="R592" s="12">
        <v>152.58</v>
      </c>
      <c r="S592" s="12">
        <v>97.44</v>
      </c>
      <c r="T592" s="13">
        <f t="shared" si="6"/>
        <v>880691.76</v>
      </c>
      <c r="U592" s="13">
        <f t="shared" si="7"/>
        <v>788908.68</v>
      </c>
      <c r="V592" s="13">
        <f t="shared" si="8"/>
        <v>91783.08</v>
      </c>
      <c r="W592" s="14">
        <f>Q592/totals!B$2</f>
        <v>0.0008776672905</v>
      </c>
      <c r="X592" s="14">
        <f t="shared" si="9"/>
        <v>0.440480868</v>
      </c>
      <c r="Y592" s="14">
        <f>T592/totals!B$5</f>
        <v>0.0005174058775</v>
      </c>
      <c r="Z592" s="14">
        <f t="shared" si="10"/>
        <v>0.4267055415</v>
      </c>
      <c r="AA592" s="14">
        <f>V592/totals!B$4</f>
        <v>0.0001830132475</v>
      </c>
      <c r="AB592" s="14">
        <f t="shared" si="11"/>
        <v>0.442124927</v>
      </c>
    </row>
    <row r="593">
      <c r="A593" s="7">
        <v>5988.0</v>
      </c>
      <c r="B593" s="7" t="str">
        <f>VLOOKUP($A593,product_category,2, False)</f>
        <v>Vegetables</v>
      </c>
      <c r="C593" s="7">
        <v>4.91547477E8</v>
      </c>
      <c r="D593" s="9">
        <v>41950.0</v>
      </c>
      <c r="E593" s="10">
        <f t="shared" si="1"/>
        <v>11</v>
      </c>
      <c r="F593" s="10" t="str">
        <f t="shared" si="2"/>
        <v>Nov</v>
      </c>
      <c r="G593" s="11">
        <f t="shared" si="3"/>
        <v>7</v>
      </c>
      <c r="H593" s="7">
        <f t="shared" si="4"/>
        <v>2014</v>
      </c>
      <c r="I593" s="9">
        <v>41950.0</v>
      </c>
      <c r="J593" s="11">
        <f t="shared" si="5"/>
        <v>0</v>
      </c>
      <c r="K593" s="7" t="s">
        <v>382</v>
      </c>
      <c r="L593" s="7" t="e">
        <v>#N/A</v>
      </c>
      <c r="M593" s="7"/>
      <c r="N593" s="7"/>
      <c r="O593" s="7"/>
      <c r="P593" s="7" t="s">
        <v>129</v>
      </c>
      <c r="Q593" s="7">
        <v>8676.0</v>
      </c>
      <c r="R593" s="12">
        <v>154.06</v>
      </c>
      <c r="S593" s="12">
        <v>90.93</v>
      </c>
      <c r="T593" s="13">
        <f t="shared" si="6"/>
        <v>1336624.56</v>
      </c>
      <c r="U593" s="13">
        <f t="shared" si="7"/>
        <v>3669547.08</v>
      </c>
      <c r="V593" s="13">
        <f t="shared" si="8"/>
        <v>-2332922.52</v>
      </c>
      <c r="W593" s="14">
        <f>Q593/totals!B$2</f>
        <v>0.001319237944</v>
      </c>
      <c r="X593" s="14">
        <f t="shared" si="9"/>
        <v>0.441800106</v>
      </c>
      <c r="Y593" s="14">
        <f>T593/totals!B$5</f>
        <v>0.0007852661223</v>
      </c>
      <c r="Z593" s="14">
        <f t="shared" si="10"/>
        <v>0.4274908076</v>
      </c>
      <c r="AA593" s="14">
        <f>V593/totals!B$4</f>
        <v>-0.00465179123</v>
      </c>
      <c r="AB593" s="14">
        <f t="shared" si="11"/>
        <v>0.4374731357</v>
      </c>
    </row>
    <row r="594">
      <c r="A594" s="7">
        <v>7940.0</v>
      </c>
      <c r="B594" s="7" t="str">
        <f>VLOOKUP($A594,product_category,2, False)</f>
        <v>Household</v>
      </c>
      <c r="C594" s="7">
        <v>4.92353856E8</v>
      </c>
      <c r="D594" s="9">
        <v>41353.0</v>
      </c>
      <c r="E594" s="10">
        <f t="shared" si="1"/>
        <v>3</v>
      </c>
      <c r="F594" s="10" t="str">
        <f t="shared" si="2"/>
        <v>Mar</v>
      </c>
      <c r="G594" s="11">
        <f t="shared" si="3"/>
        <v>20</v>
      </c>
      <c r="H594" s="7">
        <f t="shared" si="4"/>
        <v>2013</v>
      </c>
      <c r="I594" s="9">
        <v>41375.0</v>
      </c>
      <c r="J594" s="11">
        <f t="shared" si="5"/>
        <v>22</v>
      </c>
      <c r="K594" s="7" t="s">
        <v>322</v>
      </c>
      <c r="L594" s="7" t="s">
        <v>231</v>
      </c>
      <c r="M594" s="7" t="str">
        <f>VLOOKUP(L594,countries, 2,false)</f>
        <v>Cyprus</v>
      </c>
      <c r="N594" s="7" t="str">
        <f>VLOOKUP(L594,countries, 4,false)</f>
        <v>Asia</v>
      </c>
      <c r="O594" s="7" t="str">
        <f>VLOOKUP(L594,countries, 5,false)</f>
        <v>Western Asia</v>
      </c>
      <c r="P594" s="7" t="s">
        <v>129</v>
      </c>
      <c r="Q594" s="7">
        <v>7302.0</v>
      </c>
      <c r="R594" s="12">
        <v>668.27</v>
      </c>
      <c r="S594" s="12">
        <v>502.54</v>
      </c>
      <c r="T594" s="13">
        <f t="shared" si="6"/>
        <v>4879707.54</v>
      </c>
      <c r="U594" s="13">
        <f t="shared" si="7"/>
        <v>433892.55</v>
      </c>
      <c r="V594" s="13">
        <f t="shared" si="8"/>
        <v>4445814.99</v>
      </c>
      <c r="W594" s="14">
        <f>Q594/totals!B$2</f>
        <v>0.001110312986</v>
      </c>
      <c r="X594" s="14">
        <f t="shared" si="9"/>
        <v>0.4429104189</v>
      </c>
      <c r="Y594" s="14">
        <f>T594/totals!B$5</f>
        <v>0.002866825235</v>
      </c>
      <c r="Z594" s="14">
        <f t="shared" si="10"/>
        <v>0.4303576329</v>
      </c>
      <c r="AA594" s="14">
        <f>V594/totals!B$4</f>
        <v>0.008864847847</v>
      </c>
      <c r="AB594" s="14">
        <f t="shared" si="11"/>
        <v>0.4463379836</v>
      </c>
    </row>
    <row r="595">
      <c r="A595" s="7">
        <v>2103.0</v>
      </c>
      <c r="B595" s="7" t="str">
        <f>VLOOKUP($A595,product_category,2, False)</f>
        <v>Cereal</v>
      </c>
      <c r="C595" s="7">
        <v>4.95450627E8</v>
      </c>
      <c r="D595" s="9">
        <v>41227.0</v>
      </c>
      <c r="E595" s="10">
        <f t="shared" si="1"/>
        <v>11</v>
      </c>
      <c r="F595" s="10" t="str">
        <f t="shared" si="2"/>
        <v>Nov</v>
      </c>
      <c r="G595" s="11">
        <f t="shared" si="3"/>
        <v>14</v>
      </c>
      <c r="H595" s="7">
        <f t="shared" si="4"/>
        <v>2012</v>
      </c>
      <c r="I595" s="9">
        <v>41269.0</v>
      </c>
      <c r="J595" s="11">
        <f t="shared" si="5"/>
        <v>42</v>
      </c>
      <c r="K595" s="7" t="s">
        <v>322</v>
      </c>
      <c r="L595" s="7" t="s">
        <v>113</v>
      </c>
      <c r="M595" s="7" t="str">
        <f>VLOOKUP(L595,countries, 2,false)</f>
        <v>Belgium</v>
      </c>
      <c r="N595" s="7" t="str">
        <f>VLOOKUP(L595,countries, 4,false)</f>
        <v>Europe</v>
      </c>
      <c r="O595" s="7" t="str">
        <f>VLOOKUP(L595,countries, 5,false)</f>
        <v>Western Europe</v>
      </c>
      <c r="P595" s="7" t="s">
        <v>212</v>
      </c>
      <c r="Q595" s="7">
        <v>3705.0</v>
      </c>
      <c r="R595" s="12">
        <v>205.7</v>
      </c>
      <c r="S595" s="12">
        <v>117.11</v>
      </c>
      <c r="T595" s="13">
        <f t="shared" si="6"/>
        <v>762118.5</v>
      </c>
      <c r="U595" s="13">
        <f t="shared" si="7"/>
        <v>186543.72</v>
      </c>
      <c r="V595" s="13">
        <f t="shared" si="8"/>
        <v>575574.78</v>
      </c>
      <c r="W595" s="14">
        <f>Q595/totals!B$2</f>
        <v>0.0005633675176</v>
      </c>
      <c r="X595" s="14">
        <f t="shared" si="9"/>
        <v>0.4434737865</v>
      </c>
      <c r="Y595" s="14">
        <f>T595/totals!B$5</f>
        <v>0.0004477441588</v>
      </c>
      <c r="Z595" s="14">
        <f t="shared" si="10"/>
        <v>0.430805377</v>
      </c>
      <c r="AA595" s="14">
        <f>V595/totals!B$4</f>
        <v>0.001147682227</v>
      </c>
      <c r="AB595" s="14">
        <f t="shared" si="11"/>
        <v>0.4474856658</v>
      </c>
    </row>
    <row r="596">
      <c r="A596" s="7">
        <v>1270.0</v>
      </c>
      <c r="B596" s="7" t="str">
        <f>VLOOKUP($A596,product_category,2, False)</f>
        <v>Beverages</v>
      </c>
      <c r="C596" s="7">
        <v>4.95593106E8</v>
      </c>
      <c r="D596" s="9">
        <v>42262.0</v>
      </c>
      <c r="E596" s="10">
        <f t="shared" si="1"/>
        <v>9</v>
      </c>
      <c r="F596" s="10" t="str">
        <f t="shared" si="2"/>
        <v>Sep</v>
      </c>
      <c r="G596" s="11">
        <f t="shared" si="3"/>
        <v>15</v>
      </c>
      <c r="H596" s="7">
        <f t="shared" si="4"/>
        <v>2015</v>
      </c>
      <c r="I596" s="9">
        <v>42285.0</v>
      </c>
      <c r="J596" s="11">
        <f t="shared" si="5"/>
        <v>23</v>
      </c>
      <c r="K596" s="7" t="s">
        <v>110</v>
      </c>
      <c r="L596" s="7" t="s">
        <v>439</v>
      </c>
      <c r="M596" s="7" t="str">
        <f>VLOOKUP(L596,countries, 2,false)</f>
        <v>Slovakia</v>
      </c>
      <c r="N596" s="7" t="str">
        <f>VLOOKUP(L596,countries, 4,false)</f>
        <v>Europe</v>
      </c>
      <c r="O596" s="7" t="str">
        <f>VLOOKUP(L596,countries, 5,false)</f>
        <v>Eastern Europe</v>
      </c>
      <c r="P596" s="7" t="s">
        <v>212</v>
      </c>
      <c r="Q596" s="7">
        <v>5868.0</v>
      </c>
      <c r="R596" s="12">
        <v>47.45</v>
      </c>
      <c r="S596" s="12">
        <v>31.79</v>
      </c>
      <c r="T596" s="13">
        <f t="shared" si="6"/>
        <v>278436.6</v>
      </c>
      <c r="U596" s="13">
        <f t="shared" si="7"/>
        <v>652059.03</v>
      </c>
      <c r="V596" s="13">
        <f t="shared" si="8"/>
        <v>-373622.43</v>
      </c>
      <c r="W596" s="14">
        <f>Q596/totals!B$2</f>
        <v>0.0008922646675</v>
      </c>
      <c r="X596" s="14">
        <f t="shared" si="9"/>
        <v>0.4443660511</v>
      </c>
      <c r="Y596" s="14">
        <f>T596/totals!B$5</f>
        <v>0.0001635813344</v>
      </c>
      <c r="Z596" s="14">
        <f t="shared" si="10"/>
        <v>0.4309689584</v>
      </c>
      <c r="AA596" s="14">
        <f>V596/totals!B$4</f>
        <v>-0.0007449941128</v>
      </c>
      <c r="AB596" s="14">
        <f t="shared" si="11"/>
        <v>0.4467406717</v>
      </c>
    </row>
    <row r="597">
      <c r="A597" s="7">
        <v>5988.0</v>
      </c>
      <c r="B597" s="7" t="str">
        <f>VLOOKUP($A597,product_category,2, False)</f>
        <v>Vegetables</v>
      </c>
      <c r="C597" s="7">
        <v>4.95631301E8</v>
      </c>
      <c r="D597" s="9">
        <v>41065.0</v>
      </c>
      <c r="E597" s="10">
        <f t="shared" si="1"/>
        <v>6</v>
      </c>
      <c r="F597" s="10" t="str">
        <f t="shared" si="2"/>
        <v>Jun</v>
      </c>
      <c r="G597" s="11">
        <f t="shared" si="3"/>
        <v>5</v>
      </c>
      <c r="H597" s="7">
        <f t="shared" si="4"/>
        <v>2012</v>
      </c>
      <c r="I597" s="9">
        <v>41108.0</v>
      </c>
      <c r="J597" s="11">
        <f t="shared" si="5"/>
        <v>43</v>
      </c>
      <c r="K597" s="7" t="s">
        <v>110</v>
      </c>
      <c r="L597" s="7" t="s">
        <v>364</v>
      </c>
      <c r="M597" s="7" t="str">
        <f>VLOOKUP(L597,countries, 2,false)</f>
        <v>Hungary</v>
      </c>
      <c r="N597" s="7" t="str">
        <f>VLOOKUP(L597,countries, 4,false)</f>
        <v>Europe</v>
      </c>
      <c r="O597" s="7" t="str">
        <f>VLOOKUP(L597,countries, 5,false)</f>
        <v>Eastern Europe</v>
      </c>
      <c r="P597" s="7" t="s">
        <v>129</v>
      </c>
      <c r="Q597" s="7">
        <v>7171.0</v>
      </c>
      <c r="R597" s="12">
        <v>154.06</v>
      </c>
      <c r="S597" s="12">
        <v>90.93</v>
      </c>
      <c r="T597" s="13">
        <f t="shared" si="6"/>
        <v>1104764.26</v>
      </c>
      <c r="U597" s="13">
        <f t="shared" si="7"/>
        <v>5916.6</v>
      </c>
      <c r="V597" s="13">
        <f t="shared" si="8"/>
        <v>1098847.66</v>
      </c>
      <c r="W597" s="14">
        <f>Q597/totals!B$2</f>
        <v>0.001090393649</v>
      </c>
      <c r="X597" s="14">
        <f t="shared" si="9"/>
        <v>0.4454564448</v>
      </c>
      <c r="Y597" s="14">
        <f>T597/totals!B$5</f>
        <v>0.000649048336</v>
      </c>
      <c r="Z597" s="14">
        <f t="shared" si="10"/>
        <v>0.4316180067</v>
      </c>
      <c r="AA597" s="14">
        <f>V597/totals!B$4</f>
        <v>0.002191075727</v>
      </c>
      <c r="AB597" s="14">
        <f t="shared" si="11"/>
        <v>0.4489317474</v>
      </c>
    </row>
    <row r="598">
      <c r="A598" s="7">
        <v>4594.0</v>
      </c>
      <c r="B598" s="7" t="str">
        <f>VLOOKUP($A598,product_category,2, False)</f>
        <v>Fruits</v>
      </c>
      <c r="C598" s="7">
        <v>4.96826493E8</v>
      </c>
      <c r="D598" s="9">
        <v>41210.0</v>
      </c>
      <c r="E598" s="10">
        <f t="shared" si="1"/>
        <v>10</v>
      </c>
      <c r="F598" s="10" t="str">
        <f t="shared" si="2"/>
        <v>Oct</v>
      </c>
      <c r="G598" s="11">
        <f t="shared" si="3"/>
        <v>28</v>
      </c>
      <c r="H598" s="7">
        <f t="shared" si="4"/>
        <v>2012</v>
      </c>
      <c r="I598" s="9">
        <v>41254.0</v>
      </c>
      <c r="J598" s="11">
        <f t="shared" si="5"/>
        <v>44</v>
      </c>
      <c r="K598" s="7" t="s">
        <v>322</v>
      </c>
      <c r="L598" s="7" t="s">
        <v>304</v>
      </c>
      <c r="M598" s="7" t="str">
        <f>VLOOKUP(L598,countries, 2,false)</f>
        <v>Georgia</v>
      </c>
      <c r="N598" s="7" t="str">
        <f>VLOOKUP(L598,countries, 4,false)</f>
        <v>Asia</v>
      </c>
      <c r="O598" s="7" t="str">
        <f>VLOOKUP(L598,countries, 5,false)</f>
        <v>Western Asia</v>
      </c>
      <c r="P598" s="7" t="s">
        <v>129</v>
      </c>
      <c r="Q598" s="7">
        <v>855.0</v>
      </c>
      <c r="R598" s="12">
        <v>9.33</v>
      </c>
      <c r="S598" s="12">
        <v>6.92</v>
      </c>
      <c r="T598" s="13">
        <f t="shared" si="6"/>
        <v>7977.15</v>
      </c>
      <c r="U598" s="13">
        <f t="shared" si="7"/>
        <v>103523.24</v>
      </c>
      <c r="V598" s="13">
        <f t="shared" si="8"/>
        <v>-95546.09</v>
      </c>
      <c r="W598" s="14">
        <f>Q598/totals!B$2</f>
        <v>0.0001300078887</v>
      </c>
      <c r="X598" s="14">
        <f t="shared" si="9"/>
        <v>0.4455864527</v>
      </c>
      <c r="Y598" s="14">
        <f>T598/totals!B$5</f>
        <v>0.00000468657081</v>
      </c>
      <c r="Z598" s="14">
        <f t="shared" si="10"/>
        <v>0.4316226933</v>
      </c>
      <c r="AA598" s="14">
        <f>V598/totals!B$4</f>
        <v>-0.0001905165987</v>
      </c>
      <c r="AB598" s="14">
        <f t="shared" si="11"/>
        <v>0.4487412308</v>
      </c>
    </row>
    <row r="599">
      <c r="A599" s="7">
        <v>7940.0</v>
      </c>
      <c r="B599" s="7" t="str">
        <f>VLOOKUP($A599,product_category,2, False)</f>
        <v>Household</v>
      </c>
      <c r="C599" s="7">
        <v>4.97466361E8</v>
      </c>
      <c r="D599" s="9">
        <v>42102.0</v>
      </c>
      <c r="E599" s="10">
        <f t="shared" si="1"/>
        <v>4</v>
      </c>
      <c r="F599" s="10" t="str">
        <f t="shared" si="2"/>
        <v>Apr</v>
      </c>
      <c r="G599" s="11">
        <f t="shared" si="3"/>
        <v>8</v>
      </c>
      <c r="H599" s="7">
        <f t="shared" si="4"/>
        <v>2015</v>
      </c>
      <c r="I599" s="9">
        <v>42125.0</v>
      </c>
      <c r="J599" s="11">
        <f t="shared" si="5"/>
        <v>23</v>
      </c>
      <c r="K599" s="7" t="s">
        <v>198</v>
      </c>
      <c r="L599" s="7" t="s">
        <v>113</v>
      </c>
      <c r="M599" s="7" t="str">
        <f>VLOOKUP(L599,countries, 2,false)</f>
        <v>Belgium</v>
      </c>
      <c r="N599" s="7" t="str">
        <f>VLOOKUP(L599,countries, 4,false)</f>
        <v>Europe</v>
      </c>
      <c r="O599" s="7" t="str">
        <f>VLOOKUP(L599,countries, 5,false)</f>
        <v>Western Europe</v>
      </c>
      <c r="P599" s="7" t="s">
        <v>212</v>
      </c>
      <c r="Q599" s="7">
        <v>206.0</v>
      </c>
      <c r="R599" s="12">
        <v>668.27</v>
      </c>
      <c r="S599" s="12">
        <v>502.54</v>
      </c>
      <c r="T599" s="13">
        <f t="shared" si="6"/>
        <v>137663.62</v>
      </c>
      <c r="U599" s="13">
        <f t="shared" si="7"/>
        <v>341796.48</v>
      </c>
      <c r="V599" s="13">
        <f t="shared" si="8"/>
        <v>-204132.86</v>
      </c>
      <c r="W599" s="14">
        <f>Q599/totals!B$2</f>
        <v>0.00003132353809</v>
      </c>
      <c r="X599" s="14">
        <f t="shared" si="9"/>
        <v>0.4456177762</v>
      </c>
      <c r="Y599" s="14">
        <f>T599/totals!B$5</f>
        <v>0.00008087729366</v>
      </c>
      <c r="Z599" s="14">
        <f t="shared" si="10"/>
        <v>0.4317035706</v>
      </c>
      <c r="AA599" s="14">
        <f>V599/totals!B$4</f>
        <v>-0.0004070359987</v>
      </c>
      <c r="AB599" s="14">
        <f t="shared" si="11"/>
        <v>0.4483341948</v>
      </c>
    </row>
    <row r="600">
      <c r="A600" s="7">
        <v>7331.0</v>
      </c>
      <c r="B600" s="7" t="str">
        <f>VLOOKUP($A600,product_category,2, False)</f>
        <v>Baby Food</v>
      </c>
      <c r="C600" s="7">
        <v>4.97506701E8</v>
      </c>
      <c r="D600" s="9">
        <v>42112.0</v>
      </c>
      <c r="E600" s="10">
        <f t="shared" si="1"/>
        <v>4</v>
      </c>
      <c r="F600" s="10" t="str">
        <f t="shared" si="2"/>
        <v>Apr</v>
      </c>
      <c r="G600" s="11">
        <f t="shared" si="3"/>
        <v>18</v>
      </c>
      <c r="H600" s="7">
        <f t="shared" si="4"/>
        <v>2015</v>
      </c>
      <c r="I600" s="9">
        <v>42134.0</v>
      </c>
      <c r="J600" s="11">
        <f t="shared" si="5"/>
        <v>22</v>
      </c>
      <c r="K600" s="7" t="s">
        <v>382</v>
      </c>
      <c r="L600" s="7" t="s">
        <v>383</v>
      </c>
      <c r="M600" s="7" t="str">
        <f>VLOOKUP(L600,countries, 2,false)</f>
        <v>Ireland</v>
      </c>
      <c r="N600" s="7" t="str">
        <f>VLOOKUP(L600,countries, 4,false)</f>
        <v>Europe</v>
      </c>
      <c r="O600" s="7" t="str">
        <f>VLOOKUP(L600,countries, 5,false)</f>
        <v>Northern Europe</v>
      </c>
      <c r="P600" s="7" t="s">
        <v>129</v>
      </c>
      <c r="Q600" s="7">
        <v>2144.0</v>
      </c>
      <c r="R600" s="12">
        <v>255.28</v>
      </c>
      <c r="S600" s="12">
        <v>159.42</v>
      </c>
      <c r="T600" s="13">
        <f t="shared" si="6"/>
        <v>547320.32</v>
      </c>
      <c r="U600" s="13">
        <f t="shared" si="7"/>
        <v>223641.6</v>
      </c>
      <c r="V600" s="13">
        <f t="shared" si="8"/>
        <v>323678.72</v>
      </c>
      <c r="W600" s="14">
        <f>Q600/totals!B$2</f>
        <v>0.0003260080857</v>
      </c>
      <c r="X600" s="14">
        <f t="shared" si="9"/>
        <v>0.4459437843</v>
      </c>
      <c r="Y600" s="14">
        <f>T600/totals!B$5</f>
        <v>0.0003215503577</v>
      </c>
      <c r="Z600" s="14">
        <f t="shared" si="10"/>
        <v>0.4320251209</v>
      </c>
      <c r="AA600" s="14">
        <f>V600/totals!B$4</f>
        <v>0.0006454075599</v>
      </c>
      <c r="AB600" s="14">
        <f t="shared" si="11"/>
        <v>0.4489796024</v>
      </c>
    </row>
    <row r="601">
      <c r="A601" s="7">
        <v>2455.0</v>
      </c>
      <c r="B601" s="7" t="str">
        <f>VLOOKUP($A601,product_category,2, False)</f>
        <v>Clothes</v>
      </c>
      <c r="C601" s="7">
        <v>4.97554337E8</v>
      </c>
      <c r="D601" s="9">
        <v>41800.0</v>
      </c>
      <c r="E601" s="10">
        <f t="shared" si="1"/>
        <v>6</v>
      </c>
      <c r="F601" s="10" t="str">
        <f t="shared" si="2"/>
        <v>Jun</v>
      </c>
      <c r="G601" s="11">
        <f t="shared" si="3"/>
        <v>10</v>
      </c>
      <c r="H601" s="7">
        <f t="shared" si="4"/>
        <v>2014</v>
      </c>
      <c r="I601" s="9">
        <v>41848.0</v>
      </c>
      <c r="J601" s="11">
        <f t="shared" si="5"/>
        <v>48</v>
      </c>
      <c r="K601" s="7" t="s">
        <v>382</v>
      </c>
      <c r="L601" s="7" t="s">
        <v>231</v>
      </c>
      <c r="M601" s="7" t="str">
        <f>VLOOKUP(L601,countries, 2,false)</f>
        <v>Cyprus</v>
      </c>
      <c r="N601" s="7" t="str">
        <f>VLOOKUP(L601,countries, 4,false)</f>
        <v>Asia</v>
      </c>
      <c r="O601" s="7" t="str">
        <f>VLOOKUP(L601,countries, 5,false)</f>
        <v>Western Asia</v>
      </c>
      <c r="P601" s="7" t="s">
        <v>129</v>
      </c>
      <c r="Q601" s="7">
        <v>6240.0</v>
      </c>
      <c r="R601" s="12">
        <v>109.28</v>
      </c>
      <c r="S601" s="12">
        <v>35.84</v>
      </c>
      <c r="T601" s="13">
        <f t="shared" si="6"/>
        <v>681907.2</v>
      </c>
      <c r="U601" s="13">
        <f t="shared" si="7"/>
        <v>1679032.76</v>
      </c>
      <c r="V601" s="13">
        <f t="shared" si="8"/>
        <v>-997125.56</v>
      </c>
      <c r="W601" s="14">
        <f>Q601/totals!B$2</f>
        <v>0.0009488295032</v>
      </c>
      <c r="X601" s="14">
        <f t="shared" si="9"/>
        <v>0.4468926138</v>
      </c>
      <c r="Y601" s="14">
        <f>T601/totals!B$5</f>
        <v>0.0004006200684</v>
      </c>
      <c r="Z601" s="14">
        <f t="shared" si="10"/>
        <v>0.432425741</v>
      </c>
      <c r="AA601" s="14">
        <f>V601/totals!B$4</f>
        <v>-0.001988244314</v>
      </c>
      <c r="AB601" s="14">
        <f t="shared" si="11"/>
        <v>0.4469913581</v>
      </c>
    </row>
    <row r="602">
      <c r="A602" s="7">
        <v>8875.0</v>
      </c>
      <c r="B602" s="7" t="str">
        <f>VLOOKUP($A602,product_category,2, False)</f>
        <v>Meat</v>
      </c>
      <c r="C602" s="7">
        <v>4.98089492E8</v>
      </c>
      <c r="D602" s="9">
        <v>42431.0</v>
      </c>
      <c r="E602" s="10">
        <f t="shared" si="1"/>
        <v>3</v>
      </c>
      <c r="F602" s="10" t="str">
        <f t="shared" si="2"/>
        <v>Mar</v>
      </c>
      <c r="G602" s="11">
        <f t="shared" si="3"/>
        <v>2</v>
      </c>
      <c r="H602" s="7">
        <f t="shared" si="4"/>
        <v>2016</v>
      </c>
      <c r="I602" s="9">
        <v>42451.0</v>
      </c>
      <c r="J602" s="11">
        <f t="shared" si="5"/>
        <v>20</v>
      </c>
      <c r="K602" s="7" t="s">
        <v>322</v>
      </c>
      <c r="L602" s="7" t="s">
        <v>231</v>
      </c>
      <c r="M602" s="7" t="str">
        <f>VLOOKUP(L602,countries, 2,false)</f>
        <v>Cyprus</v>
      </c>
      <c r="N602" s="7" t="str">
        <f>VLOOKUP(L602,countries, 4,false)</f>
        <v>Asia</v>
      </c>
      <c r="O602" s="7" t="str">
        <f>VLOOKUP(L602,countries, 5,false)</f>
        <v>Western Asia</v>
      </c>
      <c r="P602" s="7" t="s">
        <v>129</v>
      </c>
      <c r="Q602" s="7">
        <v>4604.0</v>
      </c>
      <c r="R602" s="12">
        <v>421.89</v>
      </c>
      <c r="S602" s="12">
        <v>364.69</v>
      </c>
      <c r="T602" s="13">
        <f t="shared" si="6"/>
        <v>1942381.56</v>
      </c>
      <c r="U602" s="13">
        <f t="shared" si="7"/>
        <v>2007364.59</v>
      </c>
      <c r="V602" s="13">
        <f t="shared" si="8"/>
        <v>-64983.03</v>
      </c>
      <c r="W602" s="14">
        <f>Q602/totals!B$2</f>
        <v>0.0007000658707</v>
      </c>
      <c r="X602" s="14">
        <f t="shared" si="9"/>
        <v>0.4475926797</v>
      </c>
      <c r="Y602" s="14">
        <f>T602/totals!B$5</f>
        <v>0.001141147994</v>
      </c>
      <c r="Z602" s="14">
        <f t="shared" si="10"/>
        <v>0.433566889</v>
      </c>
      <c r="AA602" s="14">
        <f>V602/totals!B$4</f>
        <v>-0.0001295745943</v>
      </c>
      <c r="AB602" s="14">
        <f t="shared" si="11"/>
        <v>0.4468617835</v>
      </c>
    </row>
    <row r="603">
      <c r="A603" s="7">
        <v>8293.0</v>
      </c>
      <c r="B603" s="7" t="str">
        <f>VLOOKUP($A603,product_category,2, False)</f>
        <v>Cosmetics</v>
      </c>
      <c r="C603" s="7">
        <v>4.98201072E8</v>
      </c>
      <c r="D603" s="9">
        <v>41576.0</v>
      </c>
      <c r="E603" s="10">
        <f t="shared" si="1"/>
        <v>10</v>
      </c>
      <c r="F603" s="10" t="str">
        <f t="shared" si="2"/>
        <v>Oct</v>
      </c>
      <c r="G603" s="11">
        <f t="shared" si="3"/>
        <v>29</v>
      </c>
      <c r="H603" s="7">
        <f t="shared" si="4"/>
        <v>2013</v>
      </c>
      <c r="I603" s="9">
        <v>41585.0</v>
      </c>
      <c r="J603" s="11">
        <f t="shared" si="5"/>
        <v>9</v>
      </c>
      <c r="K603" s="7" t="s">
        <v>382</v>
      </c>
      <c r="L603" s="7" t="s">
        <v>670</v>
      </c>
      <c r="M603" s="7" t="str">
        <f>VLOOKUP(L603,countries, 2,false)</f>
        <v>Slovenia</v>
      </c>
      <c r="N603" s="7" t="str">
        <f>VLOOKUP(L603,countries, 4,false)</f>
        <v>Europe</v>
      </c>
      <c r="O603" s="7" t="str">
        <f>VLOOKUP(L603,countries, 5,false)</f>
        <v>Southern Europe</v>
      </c>
      <c r="P603" s="7" t="s">
        <v>129</v>
      </c>
      <c r="Q603" s="7">
        <v>7623.0</v>
      </c>
      <c r="R603" s="12">
        <v>437.2</v>
      </c>
      <c r="S603" s="12">
        <v>263.33</v>
      </c>
      <c r="T603" s="13">
        <f t="shared" si="6"/>
        <v>3332775.6</v>
      </c>
      <c r="U603" s="13">
        <f t="shared" si="7"/>
        <v>3042243.98</v>
      </c>
      <c r="V603" s="13">
        <f t="shared" si="8"/>
        <v>290531.62</v>
      </c>
      <c r="W603" s="14">
        <f>Q603/totals!B$2</f>
        <v>0.001159122965</v>
      </c>
      <c r="X603" s="14">
        <f t="shared" si="9"/>
        <v>0.4487518026</v>
      </c>
      <c r="Y603" s="14">
        <f>T603/totals!B$5</f>
        <v>0.001958003653</v>
      </c>
      <c r="Z603" s="14">
        <f t="shared" si="10"/>
        <v>0.4355248927</v>
      </c>
      <c r="AA603" s="14">
        <f>V603/totals!B$4</f>
        <v>0.000579313042</v>
      </c>
      <c r="AB603" s="14">
        <f t="shared" si="11"/>
        <v>0.4474410965</v>
      </c>
    </row>
    <row r="604">
      <c r="A604" s="7">
        <v>8875.0</v>
      </c>
      <c r="B604" s="7" t="str">
        <f>VLOOKUP($A604,product_category,2, False)</f>
        <v>Meat</v>
      </c>
      <c r="C604" s="7">
        <v>4.9894694E8</v>
      </c>
      <c r="D604" s="9">
        <v>42347.0</v>
      </c>
      <c r="E604" s="10">
        <f t="shared" si="1"/>
        <v>12</v>
      </c>
      <c r="F604" s="10" t="str">
        <f t="shared" si="2"/>
        <v>Dec</v>
      </c>
      <c r="G604" s="11">
        <f t="shared" si="3"/>
        <v>9</v>
      </c>
      <c r="H604" s="7">
        <f t="shared" si="4"/>
        <v>2015</v>
      </c>
      <c r="I604" s="9">
        <v>42380.0</v>
      </c>
      <c r="J604" s="11">
        <f t="shared" si="5"/>
        <v>33</v>
      </c>
      <c r="K604" s="7" t="s">
        <v>198</v>
      </c>
      <c r="L604" s="7" t="s">
        <v>136</v>
      </c>
      <c r="M604" s="7" t="str">
        <f>VLOOKUP(L604,countries, 2,false)</f>
        <v>Bosnia and Herzegovina</v>
      </c>
      <c r="N604" s="7" t="str">
        <f>VLOOKUP(L604,countries, 4,false)</f>
        <v>Europe</v>
      </c>
      <c r="O604" s="7" t="str">
        <f>VLOOKUP(L604,countries, 5,false)</f>
        <v>Southern Europe</v>
      </c>
      <c r="P604" s="7" t="s">
        <v>212</v>
      </c>
      <c r="Q604" s="7">
        <v>8342.0</v>
      </c>
      <c r="R604" s="12">
        <v>421.89</v>
      </c>
      <c r="S604" s="12">
        <v>364.69</v>
      </c>
      <c r="T604" s="13">
        <f t="shared" si="6"/>
        <v>3519406.38</v>
      </c>
      <c r="U604" s="13">
        <f t="shared" si="7"/>
        <v>395703.84</v>
      </c>
      <c r="V604" s="13">
        <f t="shared" si="8"/>
        <v>3123702.54</v>
      </c>
      <c r="W604" s="14">
        <f>Q604/totals!B$2</f>
        <v>0.001268451237</v>
      </c>
      <c r="X604" s="14">
        <f t="shared" si="9"/>
        <v>0.4500202539</v>
      </c>
      <c r="Y604" s="14">
        <f>T604/totals!B$5</f>
        <v>0.002067649124</v>
      </c>
      <c r="Z604" s="14">
        <f t="shared" si="10"/>
        <v>0.4375925418</v>
      </c>
      <c r="AA604" s="14">
        <f>V604/totals!B$4</f>
        <v>0.006228587514</v>
      </c>
      <c r="AB604" s="14">
        <f t="shared" si="11"/>
        <v>0.453669684</v>
      </c>
    </row>
    <row r="605">
      <c r="A605" s="7">
        <v>8969.0</v>
      </c>
      <c r="B605" s="7" t="str">
        <f>VLOOKUP($A605,product_category,2, False)</f>
        <v>Snacks</v>
      </c>
      <c r="C605" s="7">
        <v>4.99101436E8</v>
      </c>
      <c r="D605" s="9">
        <v>40737.0</v>
      </c>
      <c r="E605" s="10">
        <f t="shared" si="1"/>
        <v>7</v>
      </c>
      <c r="F605" s="10" t="str">
        <f t="shared" si="2"/>
        <v>Jul</v>
      </c>
      <c r="G605" s="11">
        <f t="shared" si="3"/>
        <v>13</v>
      </c>
      <c r="H605" s="7">
        <f t="shared" si="4"/>
        <v>2011</v>
      </c>
      <c r="I605" s="9">
        <v>40783.0</v>
      </c>
      <c r="J605" s="11">
        <f t="shared" si="5"/>
        <v>46</v>
      </c>
      <c r="K605" s="7" t="s">
        <v>198</v>
      </c>
      <c r="L605" s="7" t="e">
        <v>#N/A</v>
      </c>
      <c r="M605" s="7"/>
      <c r="N605" s="7"/>
      <c r="O605" s="7"/>
      <c r="P605" s="7" t="s">
        <v>212</v>
      </c>
      <c r="Q605" s="7">
        <v>4061.0</v>
      </c>
      <c r="R605" s="12">
        <v>152.58</v>
      </c>
      <c r="S605" s="12">
        <v>97.44</v>
      </c>
      <c r="T605" s="13">
        <f t="shared" si="6"/>
        <v>619627.38</v>
      </c>
      <c r="U605" s="13">
        <f t="shared" si="7"/>
        <v>112308.49</v>
      </c>
      <c r="V605" s="13">
        <f t="shared" si="8"/>
        <v>507318.89</v>
      </c>
      <c r="W605" s="14">
        <f>Q605/totals!B$2</f>
        <v>0.0006174994572</v>
      </c>
      <c r="X605" s="14">
        <f t="shared" si="9"/>
        <v>0.4506377533</v>
      </c>
      <c r="Y605" s="14">
        <f>T605/totals!B$5</f>
        <v>0.0003640307118</v>
      </c>
      <c r="Z605" s="14">
        <f t="shared" si="10"/>
        <v>0.4379565725</v>
      </c>
      <c r="AA605" s="14">
        <f>V605/totals!B$4</f>
        <v>0.001011581629</v>
      </c>
      <c r="AB605" s="14">
        <f t="shared" si="11"/>
        <v>0.4546812657</v>
      </c>
    </row>
    <row r="606">
      <c r="A606" s="7">
        <v>2103.0</v>
      </c>
      <c r="B606" s="7" t="str">
        <f>VLOOKUP($A606,product_category,2, False)</f>
        <v>Cereal</v>
      </c>
      <c r="C606" s="7">
        <v>5.04024684E8</v>
      </c>
      <c r="D606" s="9">
        <v>42352.0</v>
      </c>
      <c r="E606" s="10">
        <f t="shared" si="1"/>
        <v>12</v>
      </c>
      <c r="F606" s="10" t="str">
        <f t="shared" si="2"/>
        <v>Dec</v>
      </c>
      <c r="G606" s="11">
        <f t="shared" si="3"/>
        <v>14</v>
      </c>
      <c r="H606" s="7">
        <f t="shared" si="4"/>
        <v>2015</v>
      </c>
      <c r="I606" s="9">
        <v>42383.0</v>
      </c>
      <c r="J606" s="11">
        <f t="shared" si="5"/>
        <v>31</v>
      </c>
      <c r="K606" s="7" t="s">
        <v>382</v>
      </c>
      <c r="L606" s="7" t="s">
        <v>756</v>
      </c>
      <c r="M606" s="7" t="str">
        <f>VLOOKUP(L606,countries, 2,false)</f>
        <v>Ukraine</v>
      </c>
      <c r="N606" s="7" t="str">
        <f>VLOOKUP(L606,countries, 4,false)</f>
        <v>Europe</v>
      </c>
      <c r="O606" s="7" t="str">
        <f>VLOOKUP(L606,countries, 5,false)</f>
        <v>Eastern Europe</v>
      </c>
      <c r="P606" s="7" t="s">
        <v>129</v>
      </c>
      <c r="Q606" s="7">
        <v>959.0</v>
      </c>
      <c r="R606" s="12">
        <v>205.7</v>
      </c>
      <c r="S606" s="12">
        <v>117.11</v>
      </c>
      <c r="T606" s="13">
        <f t="shared" si="6"/>
        <v>197266.3</v>
      </c>
      <c r="U606" s="13">
        <f t="shared" si="7"/>
        <v>683793.75</v>
      </c>
      <c r="V606" s="13">
        <f t="shared" si="8"/>
        <v>-486527.45</v>
      </c>
      <c r="W606" s="14">
        <f>Q606/totals!B$2</f>
        <v>0.0001458217137</v>
      </c>
      <c r="X606" s="14">
        <f t="shared" si="9"/>
        <v>0.450783575</v>
      </c>
      <c r="Y606" s="14">
        <f>T606/totals!B$5</f>
        <v>0.0001158938322</v>
      </c>
      <c r="Z606" s="14">
        <f t="shared" si="10"/>
        <v>0.4380724663</v>
      </c>
      <c r="AA606" s="14">
        <f>V606/totals!B$4</f>
        <v>-0.0009701239992</v>
      </c>
      <c r="AB606" s="14">
        <f t="shared" si="11"/>
        <v>0.4537111417</v>
      </c>
    </row>
    <row r="607">
      <c r="A607" s="7">
        <v>8875.0</v>
      </c>
      <c r="B607" s="7" t="str">
        <f>VLOOKUP($A607,product_category,2, False)</f>
        <v>Meat</v>
      </c>
      <c r="C607" s="7">
        <v>5.04973971E8</v>
      </c>
      <c r="D607" s="9">
        <v>40819.0</v>
      </c>
      <c r="E607" s="10">
        <f t="shared" si="1"/>
        <v>10</v>
      </c>
      <c r="F607" s="10" t="str">
        <f t="shared" si="2"/>
        <v>Oct</v>
      </c>
      <c r="G607" s="11">
        <f t="shared" si="3"/>
        <v>3</v>
      </c>
      <c r="H607" s="7">
        <f t="shared" si="4"/>
        <v>2011</v>
      </c>
      <c r="I607" s="9">
        <v>40849.0</v>
      </c>
      <c r="J607" s="11">
        <f t="shared" si="5"/>
        <v>30</v>
      </c>
      <c r="K607" s="7" t="s">
        <v>110</v>
      </c>
      <c r="L607" s="7" t="s">
        <v>56</v>
      </c>
      <c r="M607" s="7" t="str">
        <f>VLOOKUP(L607,countries, 2,false)</f>
        <v>Andorra</v>
      </c>
      <c r="N607" s="7" t="str">
        <f>VLOOKUP(L607,countries, 4,false)</f>
        <v>Europe</v>
      </c>
      <c r="O607" s="7" t="str">
        <f>VLOOKUP(L607,countries, 5,false)</f>
        <v>Southern Europe</v>
      </c>
      <c r="P607" s="7" t="s">
        <v>129</v>
      </c>
      <c r="Q607" s="7">
        <v>1875.0</v>
      </c>
      <c r="R607" s="12">
        <v>421.89</v>
      </c>
      <c r="S607" s="12">
        <v>364.69</v>
      </c>
      <c r="T607" s="13">
        <f t="shared" si="6"/>
        <v>791043.75</v>
      </c>
      <c r="U607" s="13">
        <f t="shared" si="7"/>
        <v>220523.52</v>
      </c>
      <c r="V607" s="13">
        <f t="shared" si="8"/>
        <v>570520.23</v>
      </c>
      <c r="W607" s="14">
        <f>Q607/totals!B$2</f>
        <v>0.000285105019</v>
      </c>
      <c r="X607" s="14">
        <f t="shared" si="9"/>
        <v>0.4510686801</v>
      </c>
      <c r="Y607" s="14">
        <f>T607/totals!B$5</f>
        <v>0.0004647377257</v>
      </c>
      <c r="Z607" s="14">
        <f t="shared" si="10"/>
        <v>0.438537204</v>
      </c>
      <c r="AA607" s="14">
        <f>V607/totals!B$4</f>
        <v>0.001137603576</v>
      </c>
      <c r="AB607" s="14">
        <f t="shared" si="11"/>
        <v>0.4548487452</v>
      </c>
    </row>
    <row r="608">
      <c r="A608" s="7">
        <v>2455.0</v>
      </c>
      <c r="B608" s="7" t="str">
        <f>VLOOKUP($A608,product_category,2, False)</f>
        <v>Clothes</v>
      </c>
      <c r="C608" s="7">
        <v>5.0586704E8</v>
      </c>
      <c r="D608" s="9">
        <v>40302.0</v>
      </c>
      <c r="E608" s="10">
        <f t="shared" si="1"/>
        <v>5</v>
      </c>
      <c r="F608" s="10" t="str">
        <f t="shared" si="2"/>
        <v>May</v>
      </c>
      <c r="G608" s="11">
        <f t="shared" si="3"/>
        <v>4</v>
      </c>
      <c r="H608" s="7">
        <f t="shared" si="4"/>
        <v>2010</v>
      </c>
      <c r="I608" s="9">
        <v>40341.0</v>
      </c>
      <c r="J608" s="11">
        <f t="shared" si="5"/>
        <v>39</v>
      </c>
      <c r="K608" s="7" t="s">
        <v>322</v>
      </c>
      <c r="L608" s="7" t="s">
        <v>155</v>
      </c>
      <c r="M608" s="7" t="str">
        <f>VLOOKUP(L608,countries, 2,false)</f>
        <v>Bulgaria</v>
      </c>
      <c r="N608" s="7" t="str">
        <f>VLOOKUP(L608,countries, 4,false)</f>
        <v>Europe</v>
      </c>
      <c r="O608" s="7" t="str">
        <f>VLOOKUP(L608,countries, 5,false)</f>
        <v>Eastern Europe</v>
      </c>
      <c r="P608" s="7" t="s">
        <v>212</v>
      </c>
      <c r="Q608" s="7">
        <v>6153.0</v>
      </c>
      <c r="R608" s="12">
        <v>109.28</v>
      </c>
      <c r="S608" s="12">
        <v>35.84</v>
      </c>
      <c r="T608" s="13">
        <f t="shared" si="6"/>
        <v>672399.84</v>
      </c>
      <c r="U608" s="13">
        <f t="shared" si="7"/>
        <v>339870.72</v>
      </c>
      <c r="V608" s="13">
        <f t="shared" si="8"/>
        <v>332529.12</v>
      </c>
      <c r="W608" s="14">
        <f>Q608/totals!B$2</f>
        <v>0.0009356006304</v>
      </c>
      <c r="X608" s="14">
        <f t="shared" si="9"/>
        <v>0.4520042807</v>
      </c>
      <c r="Y608" s="14">
        <f>T608/totals!B$5</f>
        <v>0.0003950345002</v>
      </c>
      <c r="Z608" s="14">
        <f t="shared" si="10"/>
        <v>0.4389322385</v>
      </c>
      <c r="AA608" s="14">
        <f>V608/totals!B$4</f>
        <v>0.000663055044</v>
      </c>
      <c r="AB608" s="14">
        <f t="shared" si="11"/>
        <v>0.4555118003</v>
      </c>
    </row>
    <row r="609">
      <c r="A609" s="7">
        <v>8969.0</v>
      </c>
      <c r="B609" s="7" t="str">
        <f>VLOOKUP($A609,product_category,2, False)</f>
        <v>Snacks</v>
      </c>
      <c r="C609" s="7">
        <v>5.07040774E8</v>
      </c>
      <c r="D609" s="9">
        <v>42207.0</v>
      </c>
      <c r="E609" s="10">
        <f t="shared" si="1"/>
        <v>7</v>
      </c>
      <c r="F609" s="10" t="str">
        <f t="shared" si="2"/>
        <v>Jul</v>
      </c>
      <c r="G609" s="11">
        <f t="shared" si="3"/>
        <v>22</v>
      </c>
      <c r="H609" s="7">
        <f t="shared" si="4"/>
        <v>2015</v>
      </c>
      <c r="I609" s="9">
        <v>42210.0</v>
      </c>
      <c r="J609" s="11">
        <f t="shared" si="5"/>
        <v>3</v>
      </c>
      <c r="K609" s="7" t="s">
        <v>322</v>
      </c>
      <c r="L609" s="7" t="s">
        <v>264</v>
      </c>
      <c r="M609" s="7" t="str">
        <f>VLOOKUP(L609,countries, 2,false)</f>
        <v>Estonia</v>
      </c>
      <c r="N609" s="7" t="str">
        <f>VLOOKUP(L609,countries, 4,false)</f>
        <v>Europe</v>
      </c>
      <c r="O609" s="7" t="str">
        <f>VLOOKUP(L609,countries, 5,false)</f>
        <v>Northern Europe</v>
      </c>
      <c r="P609" s="7" t="s">
        <v>129</v>
      </c>
      <c r="Q609" s="7">
        <v>3488.0</v>
      </c>
      <c r="R609" s="12">
        <v>152.58</v>
      </c>
      <c r="S609" s="12">
        <v>97.44</v>
      </c>
      <c r="T609" s="13">
        <f t="shared" si="6"/>
        <v>532199.04</v>
      </c>
      <c r="U609" s="13">
        <f t="shared" si="7"/>
        <v>854646.24</v>
      </c>
      <c r="V609" s="13">
        <f t="shared" si="8"/>
        <v>-322447.2</v>
      </c>
      <c r="W609" s="14">
        <f>Q609/totals!B$2</f>
        <v>0.0005303713634</v>
      </c>
      <c r="X609" s="14">
        <f t="shared" si="9"/>
        <v>0.452534652</v>
      </c>
      <c r="Y609" s="14">
        <f>T609/totals!B$5</f>
        <v>0.0003126666148</v>
      </c>
      <c r="Z609" s="14">
        <f t="shared" si="10"/>
        <v>0.4392449052</v>
      </c>
      <c r="AA609" s="14">
        <f>V609/totals!B$4</f>
        <v>-0.0006429519387</v>
      </c>
      <c r="AB609" s="14">
        <f t="shared" si="11"/>
        <v>0.4548688484</v>
      </c>
    </row>
    <row r="610">
      <c r="A610" s="7">
        <v>8969.0</v>
      </c>
      <c r="B610" s="7" t="str">
        <f>VLOOKUP($A610,product_category,2, False)</f>
        <v>Snacks</v>
      </c>
      <c r="C610" s="7">
        <v>5.07531726E8</v>
      </c>
      <c r="D610" s="9">
        <v>41209.0</v>
      </c>
      <c r="E610" s="10">
        <f t="shared" si="1"/>
        <v>10</v>
      </c>
      <c r="F610" s="10" t="str">
        <f t="shared" si="2"/>
        <v>Oct</v>
      </c>
      <c r="G610" s="11">
        <f t="shared" si="3"/>
        <v>27</v>
      </c>
      <c r="H610" s="7">
        <f t="shared" si="4"/>
        <v>2012</v>
      </c>
      <c r="I610" s="9">
        <v>41224.0</v>
      </c>
      <c r="J610" s="11">
        <f t="shared" si="5"/>
        <v>15</v>
      </c>
      <c r="K610" s="7" t="s">
        <v>382</v>
      </c>
      <c r="L610" s="7" t="s">
        <v>702</v>
      </c>
      <c r="M610" s="7" t="str">
        <f>VLOOKUP(L610,countries, 2,false)</f>
        <v>Sweden</v>
      </c>
      <c r="N610" s="7" t="str">
        <f>VLOOKUP(L610,countries, 4,false)</f>
        <v>Europe</v>
      </c>
      <c r="O610" s="7" t="str">
        <f>VLOOKUP(L610,countries, 5,false)</f>
        <v>Northern Europe</v>
      </c>
      <c r="P610" s="7" t="s">
        <v>212</v>
      </c>
      <c r="Q610" s="7">
        <v>8771.0</v>
      </c>
      <c r="R610" s="12">
        <v>152.58</v>
      </c>
      <c r="S610" s="12">
        <v>97.44</v>
      </c>
      <c r="T610" s="13">
        <f t="shared" si="6"/>
        <v>1338279.18</v>
      </c>
      <c r="U610" s="13">
        <f t="shared" si="7"/>
        <v>58849.28</v>
      </c>
      <c r="V610" s="13">
        <f t="shared" si="8"/>
        <v>1279429.9</v>
      </c>
      <c r="W610" s="14">
        <f>Q610/totals!B$2</f>
        <v>0.001333683265</v>
      </c>
      <c r="X610" s="14">
        <f t="shared" si="9"/>
        <v>0.4538683353</v>
      </c>
      <c r="Y610" s="14">
        <f>T610/totals!B$5</f>
        <v>0.0007862382105</v>
      </c>
      <c r="Z610" s="14">
        <f t="shared" si="10"/>
        <v>0.4400311434</v>
      </c>
      <c r="AA610" s="14">
        <f>V610/totals!B$4</f>
        <v>0.002551152358</v>
      </c>
      <c r="AB610" s="14">
        <f t="shared" si="11"/>
        <v>0.4574200007</v>
      </c>
    </row>
    <row r="611">
      <c r="A611" s="7">
        <v>2455.0</v>
      </c>
      <c r="B611" s="7" t="str">
        <f>VLOOKUP($A611,product_category,2, False)</f>
        <v>Clothes</v>
      </c>
      <c r="C611" s="7">
        <v>5.08014523E8</v>
      </c>
      <c r="D611" s="9">
        <v>41709.0</v>
      </c>
      <c r="E611" s="10">
        <f t="shared" si="1"/>
        <v>3</v>
      </c>
      <c r="F611" s="10" t="str">
        <f t="shared" si="2"/>
        <v>Mar</v>
      </c>
      <c r="G611" s="11">
        <f t="shared" si="3"/>
        <v>11</v>
      </c>
      <c r="H611" s="7">
        <f t="shared" si="4"/>
        <v>2014</v>
      </c>
      <c r="I611" s="9">
        <v>41718.0</v>
      </c>
      <c r="J611" s="11">
        <f t="shared" si="5"/>
        <v>9</v>
      </c>
      <c r="K611" s="7" t="s">
        <v>382</v>
      </c>
      <c r="L611" s="7" t="e">
        <v>#N/A</v>
      </c>
      <c r="M611" s="7"/>
      <c r="N611" s="7"/>
      <c r="O611" s="7"/>
      <c r="P611" s="7" t="s">
        <v>212</v>
      </c>
      <c r="Q611" s="7">
        <v>1642.0</v>
      </c>
      <c r="R611" s="12">
        <v>109.28</v>
      </c>
      <c r="S611" s="12">
        <v>35.84</v>
      </c>
      <c r="T611" s="13">
        <f t="shared" si="6"/>
        <v>179437.76</v>
      </c>
      <c r="U611" s="13">
        <f t="shared" si="7"/>
        <v>309335.04</v>
      </c>
      <c r="V611" s="13">
        <f t="shared" si="8"/>
        <v>-129897.28</v>
      </c>
      <c r="W611" s="14">
        <f>Q611/totals!B$2</f>
        <v>0.0002496759686</v>
      </c>
      <c r="X611" s="14">
        <f t="shared" si="9"/>
        <v>0.4541180113</v>
      </c>
      <c r="Y611" s="14">
        <f>T611/totals!B$5</f>
        <v>0.0001054195757</v>
      </c>
      <c r="Z611" s="14">
        <f t="shared" si="10"/>
        <v>0.4401365629</v>
      </c>
      <c r="AA611" s="14">
        <f>V611/totals!B$4</f>
        <v>-0.0002590120429</v>
      </c>
      <c r="AB611" s="14">
        <f t="shared" si="11"/>
        <v>0.4571609887</v>
      </c>
    </row>
    <row r="612">
      <c r="A612" s="7">
        <v>2455.0</v>
      </c>
      <c r="B612" s="7" t="str">
        <f>VLOOKUP($A612,product_category,2, False)</f>
        <v>Clothes</v>
      </c>
      <c r="C612" s="7">
        <v>5.09356057E8</v>
      </c>
      <c r="D612" s="9">
        <v>41743.0</v>
      </c>
      <c r="E612" s="10">
        <f t="shared" si="1"/>
        <v>4</v>
      </c>
      <c r="F612" s="10" t="str">
        <f t="shared" si="2"/>
        <v>Apr</v>
      </c>
      <c r="G612" s="11">
        <f t="shared" si="3"/>
        <v>14</v>
      </c>
      <c r="H612" s="7">
        <f t="shared" si="4"/>
        <v>2014</v>
      </c>
      <c r="I612" s="9">
        <v>41746.0</v>
      </c>
      <c r="J612" s="11">
        <f t="shared" si="5"/>
        <v>3</v>
      </c>
      <c r="K612" s="7" t="s">
        <v>382</v>
      </c>
      <c r="L612" s="7" t="s">
        <v>111</v>
      </c>
      <c r="M612" s="7" t="str">
        <f>VLOOKUP(L612,countries, 2,false)</f>
        <v>Norway</v>
      </c>
      <c r="N612" s="7" t="str">
        <f>VLOOKUP(L612,countries, 4,false)</f>
        <v>Europe</v>
      </c>
      <c r="O612" s="7" t="str">
        <f>VLOOKUP(L612,countries, 5,false)</f>
        <v>Northern Europe</v>
      </c>
      <c r="P612" s="7" t="s">
        <v>129</v>
      </c>
      <c r="Q612" s="7">
        <v>8631.0</v>
      </c>
      <c r="R612" s="12">
        <v>109.28</v>
      </c>
      <c r="S612" s="12">
        <v>35.84</v>
      </c>
      <c r="T612" s="13">
        <f t="shared" si="6"/>
        <v>943195.68</v>
      </c>
      <c r="U612" s="13">
        <f t="shared" si="7"/>
        <v>339849.99</v>
      </c>
      <c r="V612" s="13">
        <f t="shared" si="8"/>
        <v>603345.69</v>
      </c>
      <c r="W612" s="14">
        <f>Q612/totals!B$2</f>
        <v>0.001312395423</v>
      </c>
      <c r="X612" s="14">
        <f t="shared" si="9"/>
        <v>0.4554304067</v>
      </c>
      <c r="Y612" s="14">
        <f>T612/totals!B$5</f>
        <v>0.0005541268927</v>
      </c>
      <c r="Z612" s="14">
        <f t="shared" si="10"/>
        <v>0.4406906898</v>
      </c>
      <c r="AA612" s="14">
        <f>V612/totals!B$4</f>
        <v>0.001203056752</v>
      </c>
      <c r="AB612" s="14">
        <f t="shared" si="11"/>
        <v>0.4583640454</v>
      </c>
    </row>
    <row r="613">
      <c r="A613" s="7">
        <v>3127.0</v>
      </c>
      <c r="B613" s="7" t="str">
        <f>VLOOKUP($A613,product_category,2, False)</f>
        <v>Personal Care</v>
      </c>
      <c r="C613" s="7">
        <v>5.09380948E8</v>
      </c>
      <c r="D613" s="9">
        <v>40808.0</v>
      </c>
      <c r="E613" s="10">
        <f t="shared" si="1"/>
        <v>9</v>
      </c>
      <c r="F613" s="10" t="str">
        <f t="shared" si="2"/>
        <v>Sep</v>
      </c>
      <c r="G613" s="11">
        <f t="shared" si="3"/>
        <v>22</v>
      </c>
      <c r="H613" s="7">
        <f t="shared" si="4"/>
        <v>2011</v>
      </c>
      <c r="I613" s="9">
        <v>40813.0</v>
      </c>
      <c r="J613" s="11">
        <f t="shared" si="5"/>
        <v>5</v>
      </c>
      <c r="K613" s="7" t="s">
        <v>110</v>
      </c>
      <c r="L613" s="7" t="s">
        <v>762</v>
      </c>
      <c r="M613" s="7" t="str">
        <f>VLOOKUP(L613,countries, 2,false)</f>
        <v>United Kingdom</v>
      </c>
      <c r="N613" s="7" t="str">
        <f>VLOOKUP(L613,countries, 4,false)</f>
        <v>Europe</v>
      </c>
      <c r="O613" s="7" t="str">
        <f>VLOOKUP(L613,countries, 5,false)</f>
        <v>Northern Europe</v>
      </c>
      <c r="P613" s="7" t="s">
        <v>212</v>
      </c>
      <c r="Q613" s="7">
        <v>5997.0</v>
      </c>
      <c r="R613" s="12">
        <v>81.73</v>
      </c>
      <c r="S613" s="12">
        <v>56.67</v>
      </c>
      <c r="T613" s="13">
        <f t="shared" si="6"/>
        <v>490134.81</v>
      </c>
      <c r="U613" s="13">
        <f t="shared" si="7"/>
        <v>156533.96</v>
      </c>
      <c r="V613" s="13">
        <f t="shared" si="8"/>
        <v>333600.85</v>
      </c>
      <c r="W613" s="14">
        <f>Q613/totals!B$2</f>
        <v>0.0009118798928</v>
      </c>
      <c r="X613" s="14">
        <f t="shared" si="9"/>
        <v>0.4563422866</v>
      </c>
      <c r="Y613" s="14">
        <f>T613/totals!B$5</f>
        <v>0.0002879539051</v>
      </c>
      <c r="Z613" s="14">
        <f t="shared" si="10"/>
        <v>0.4409786437</v>
      </c>
      <c r="AA613" s="14">
        <f>V613/totals!B$4</f>
        <v>0.0006651920477</v>
      </c>
      <c r="AB613" s="14">
        <f t="shared" si="11"/>
        <v>0.4590292375</v>
      </c>
    </row>
    <row r="614">
      <c r="A614" s="7">
        <v>1270.0</v>
      </c>
      <c r="B614" s="7" t="str">
        <f>VLOOKUP($A614,product_category,2, False)</f>
        <v>Beverages</v>
      </c>
      <c r="C614" s="7">
        <v>5.10762822E8</v>
      </c>
      <c r="D614" s="9">
        <v>40851.0</v>
      </c>
      <c r="E614" s="10">
        <f t="shared" si="1"/>
        <v>11</v>
      </c>
      <c r="F614" s="10" t="str">
        <f t="shared" si="2"/>
        <v>Nov</v>
      </c>
      <c r="G614" s="11">
        <f t="shared" si="3"/>
        <v>4</v>
      </c>
      <c r="H614" s="7">
        <f t="shared" si="4"/>
        <v>2011</v>
      </c>
      <c r="I614" s="9">
        <v>40899.0</v>
      </c>
      <c r="J614" s="11">
        <f t="shared" si="5"/>
        <v>48</v>
      </c>
      <c r="K614" s="7" t="s">
        <v>322</v>
      </c>
      <c r="L614" s="7" t="e">
        <v>#N/A</v>
      </c>
      <c r="M614" s="7"/>
      <c r="N614" s="7"/>
      <c r="O614" s="7"/>
      <c r="P614" s="7" t="s">
        <v>212</v>
      </c>
      <c r="Q614" s="7">
        <v>4924.0</v>
      </c>
      <c r="R614" s="12">
        <v>47.45</v>
      </c>
      <c r="S614" s="12">
        <v>31.79</v>
      </c>
      <c r="T614" s="13">
        <f t="shared" si="6"/>
        <v>233643.8</v>
      </c>
      <c r="U614" s="13">
        <f t="shared" si="7"/>
        <v>226645.44</v>
      </c>
      <c r="V614" s="13">
        <f t="shared" si="8"/>
        <v>6998.36</v>
      </c>
      <c r="W614" s="14">
        <f>Q614/totals!B$2</f>
        <v>0.0007487237939</v>
      </c>
      <c r="X614" s="14">
        <f t="shared" si="9"/>
        <v>0.4570910104</v>
      </c>
      <c r="Y614" s="14">
        <f>T614/totals!B$5</f>
        <v>0.0001372655915</v>
      </c>
      <c r="Z614" s="14">
        <f t="shared" si="10"/>
        <v>0.4411159093</v>
      </c>
      <c r="AA614" s="14">
        <f>V614/totals!B$4</f>
        <v>0.00001395456102</v>
      </c>
      <c r="AB614" s="14">
        <f t="shared" si="11"/>
        <v>0.459043192</v>
      </c>
    </row>
    <row r="615">
      <c r="A615" s="7">
        <v>8969.0</v>
      </c>
      <c r="B615" s="7" t="str">
        <f>VLOOKUP($A615,product_category,2, False)</f>
        <v>Snacks</v>
      </c>
      <c r="C615" s="7">
        <v>5.10956799E8</v>
      </c>
      <c r="D615" s="9">
        <v>40428.0</v>
      </c>
      <c r="E615" s="10">
        <f t="shared" si="1"/>
        <v>9</v>
      </c>
      <c r="F615" s="10" t="str">
        <f t="shared" si="2"/>
        <v>Sep</v>
      </c>
      <c r="G615" s="11">
        <f t="shared" si="3"/>
        <v>7</v>
      </c>
      <c r="H615" s="7">
        <f t="shared" si="4"/>
        <v>2010</v>
      </c>
      <c r="I615" s="9">
        <v>40444.0</v>
      </c>
      <c r="J615" s="11">
        <f t="shared" si="5"/>
        <v>16</v>
      </c>
      <c r="K615" s="7" t="s">
        <v>382</v>
      </c>
      <c r="L615" s="7" t="s">
        <v>454</v>
      </c>
      <c r="M615" s="7" t="str">
        <f>VLOOKUP(L615,countries, 2,false)</f>
        <v>Luxembourg</v>
      </c>
      <c r="N615" s="7" t="str">
        <f>VLOOKUP(L615,countries, 4,false)</f>
        <v>Europe</v>
      </c>
      <c r="O615" s="7" t="str">
        <f>VLOOKUP(L615,countries, 5,false)</f>
        <v>Western Europe</v>
      </c>
      <c r="P615" s="7" t="s">
        <v>129</v>
      </c>
      <c r="Q615" s="7">
        <v>2326.0</v>
      </c>
      <c r="R615" s="12">
        <v>152.58</v>
      </c>
      <c r="S615" s="12">
        <v>97.44</v>
      </c>
      <c r="T615" s="13">
        <f t="shared" si="6"/>
        <v>354901.08</v>
      </c>
      <c r="U615" s="13">
        <f t="shared" si="7"/>
        <v>35795.54</v>
      </c>
      <c r="V615" s="13">
        <f t="shared" si="8"/>
        <v>319105.54</v>
      </c>
      <c r="W615" s="14">
        <f>Q615/totals!B$2</f>
        <v>0.0003536822796</v>
      </c>
      <c r="X615" s="14">
        <f t="shared" si="9"/>
        <v>0.4574446927</v>
      </c>
      <c r="Y615" s="14">
        <f>T615/totals!B$5</f>
        <v>0.0002085041703</v>
      </c>
      <c r="Z615" s="14">
        <f t="shared" si="10"/>
        <v>0.4413244135</v>
      </c>
      <c r="AA615" s="14">
        <f>V615/totals!B$4</f>
        <v>0.0006362887492</v>
      </c>
      <c r="AB615" s="14">
        <f t="shared" si="11"/>
        <v>0.4596794808</v>
      </c>
    </row>
    <row r="616">
      <c r="A616" s="7">
        <v>1270.0</v>
      </c>
      <c r="B616" s="7" t="str">
        <f>VLOOKUP($A616,product_category,2, False)</f>
        <v>Beverages</v>
      </c>
      <c r="C616" s="7">
        <v>5.11155498E8</v>
      </c>
      <c r="D616" s="9">
        <v>40447.0</v>
      </c>
      <c r="E616" s="10">
        <f t="shared" si="1"/>
        <v>9</v>
      </c>
      <c r="F616" s="10" t="str">
        <f t="shared" si="2"/>
        <v>Sep</v>
      </c>
      <c r="G616" s="11">
        <f t="shared" si="3"/>
        <v>26</v>
      </c>
      <c r="H616" s="7">
        <f t="shared" si="4"/>
        <v>2010</v>
      </c>
      <c r="I616" s="9">
        <v>40486.0</v>
      </c>
      <c r="J616" s="11">
        <f t="shared" si="5"/>
        <v>39</v>
      </c>
      <c r="K616" s="7" t="s">
        <v>382</v>
      </c>
      <c r="L616" s="7" t="s">
        <v>237</v>
      </c>
      <c r="M616" s="7" t="str">
        <f>VLOOKUP(L616,countries, 2,false)</f>
        <v>Denmark</v>
      </c>
      <c r="N616" s="7" t="str">
        <f>VLOOKUP(L616,countries, 4,false)</f>
        <v>Europe</v>
      </c>
      <c r="O616" s="7" t="str">
        <f>VLOOKUP(L616,countries, 5,false)</f>
        <v>Northern Europe</v>
      </c>
      <c r="P616" s="7" t="s">
        <v>212</v>
      </c>
      <c r="Q616" s="7">
        <v>1126.0</v>
      </c>
      <c r="R616" s="12">
        <v>47.45</v>
      </c>
      <c r="S616" s="12">
        <v>31.79</v>
      </c>
      <c r="T616" s="13">
        <f t="shared" si="6"/>
        <v>53428.7</v>
      </c>
      <c r="U616" s="13">
        <f t="shared" si="7"/>
        <v>3065241.44</v>
      </c>
      <c r="V616" s="13">
        <f t="shared" si="8"/>
        <v>-3011812.74</v>
      </c>
      <c r="W616" s="14">
        <f>Q616/totals!B$2</f>
        <v>0.0001712150674</v>
      </c>
      <c r="X616" s="14">
        <f t="shared" si="9"/>
        <v>0.4576159077</v>
      </c>
      <c r="Y616" s="14">
        <f>T616/totals!B$5</f>
        <v>0.000031389329</v>
      </c>
      <c r="Z616" s="14">
        <f t="shared" si="10"/>
        <v>0.4413558028</v>
      </c>
      <c r="AA616" s="14">
        <f>V616/totals!B$4</f>
        <v>-0.006005481952</v>
      </c>
      <c r="AB616" s="14">
        <f t="shared" si="11"/>
        <v>0.4536739988</v>
      </c>
    </row>
    <row r="617">
      <c r="A617" s="7">
        <v>8681.0</v>
      </c>
      <c r="B617" s="7" t="str">
        <f>VLOOKUP($A617,product_category,2, False)</f>
        <v>Office Supplies</v>
      </c>
      <c r="C617" s="7">
        <v>5.1171211E8</v>
      </c>
      <c r="D617" s="9">
        <v>42084.0</v>
      </c>
      <c r="E617" s="10">
        <f t="shared" si="1"/>
        <v>3</v>
      </c>
      <c r="F617" s="10" t="str">
        <f t="shared" si="2"/>
        <v>Mar</v>
      </c>
      <c r="G617" s="11">
        <f t="shared" si="3"/>
        <v>21</v>
      </c>
      <c r="H617" s="7">
        <f t="shared" si="4"/>
        <v>2015</v>
      </c>
      <c r="I617" s="9">
        <v>42131.0</v>
      </c>
      <c r="J617" s="11">
        <f t="shared" si="5"/>
        <v>47</v>
      </c>
      <c r="K617" s="7" t="s">
        <v>198</v>
      </c>
      <c r="L617" s="7" t="s">
        <v>88</v>
      </c>
      <c r="M617" s="7" t="str">
        <f>VLOOKUP(L617,countries, 2,false)</f>
        <v>Austria</v>
      </c>
      <c r="N617" s="7" t="str">
        <f>VLOOKUP(L617,countries, 4,false)</f>
        <v>Europe</v>
      </c>
      <c r="O617" s="7" t="str">
        <f>VLOOKUP(L617,countries, 5,false)</f>
        <v>Western Europe</v>
      </c>
      <c r="P617" s="7" t="s">
        <v>212</v>
      </c>
      <c r="Q617" s="7">
        <v>5839.0</v>
      </c>
      <c r="R617" s="12">
        <v>651.21</v>
      </c>
      <c r="S617" s="12">
        <v>524.96</v>
      </c>
      <c r="T617" s="13">
        <f t="shared" si="6"/>
        <v>3802415.19</v>
      </c>
      <c r="U617" s="13">
        <f t="shared" si="7"/>
        <v>3522302.86</v>
      </c>
      <c r="V617" s="13">
        <f t="shared" si="8"/>
        <v>280112.33</v>
      </c>
      <c r="W617" s="14">
        <f>Q617/totals!B$2</f>
        <v>0.0008878550432</v>
      </c>
      <c r="X617" s="14">
        <f t="shared" si="9"/>
        <v>0.4585037628</v>
      </c>
      <c r="Y617" s="14">
        <f>T617/totals!B$5</f>
        <v>0.002233916629</v>
      </c>
      <c r="Z617" s="14">
        <f t="shared" si="10"/>
        <v>0.4435897195</v>
      </c>
      <c r="AA617" s="14">
        <f>V617/totals!B$4</f>
        <v>0.0005585372291</v>
      </c>
      <c r="AB617" s="14">
        <f t="shared" si="11"/>
        <v>0.4542325361</v>
      </c>
    </row>
    <row r="618">
      <c r="A618" s="7">
        <v>7940.0</v>
      </c>
      <c r="B618" s="7" t="str">
        <f>VLOOKUP($A618,product_category,2, False)</f>
        <v>Household</v>
      </c>
      <c r="C618" s="7">
        <v>5.12662255E8</v>
      </c>
      <c r="D618" s="9">
        <v>42139.0</v>
      </c>
      <c r="E618" s="10">
        <f t="shared" si="1"/>
        <v>5</v>
      </c>
      <c r="F618" s="10" t="str">
        <f t="shared" si="2"/>
        <v>May</v>
      </c>
      <c r="G618" s="11">
        <f t="shared" si="3"/>
        <v>15</v>
      </c>
      <c r="H618" s="7">
        <f t="shared" si="4"/>
        <v>2015</v>
      </c>
      <c r="I618" s="9">
        <v>42177.0</v>
      </c>
      <c r="J618" s="11">
        <f t="shared" si="5"/>
        <v>38</v>
      </c>
      <c r="K618" s="7" t="s">
        <v>322</v>
      </c>
      <c r="L618" s="7" t="s">
        <v>234</v>
      </c>
      <c r="M618" s="7" t="str">
        <f>VLOOKUP(L618,countries, 2,false)</f>
        <v>Czech Republic</v>
      </c>
      <c r="N618" s="7" t="str">
        <f>VLOOKUP(L618,countries, 4,false)</f>
        <v>Europe</v>
      </c>
      <c r="O618" s="7" t="str">
        <f>VLOOKUP(L618,countries, 5,false)</f>
        <v>Eastern Europe</v>
      </c>
      <c r="P618" s="7" t="s">
        <v>212</v>
      </c>
      <c r="Q618" s="7">
        <v>7009.0</v>
      </c>
      <c r="R618" s="12">
        <v>668.27</v>
      </c>
      <c r="S618" s="12">
        <v>502.54</v>
      </c>
      <c r="T618" s="13">
        <f t="shared" si="6"/>
        <v>4683904.43</v>
      </c>
      <c r="U618" s="13">
        <f t="shared" si="7"/>
        <v>912454.38</v>
      </c>
      <c r="V618" s="13">
        <f t="shared" si="8"/>
        <v>3771450.05</v>
      </c>
      <c r="W618" s="14">
        <f>Q618/totals!B$2</f>
        <v>0.001065760575</v>
      </c>
      <c r="X618" s="14">
        <f t="shared" si="9"/>
        <v>0.4595695234</v>
      </c>
      <c r="Y618" s="14">
        <f>T618/totals!B$5</f>
        <v>0.002751791026</v>
      </c>
      <c r="Z618" s="14">
        <f t="shared" si="10"/>
        <v>0.4463415105</v>
      </c>
      <c r="AA618" s="14">
        <f>V618/totals!B$4</f>
        <v>0.007520180424</v>
      </c>
      <c r="AB618" s="14">
        <f t="shared" si="11"/>
        <v>0.4617527165</v>
      </c>
    </row>
    <row r="619">
      <c r="A619" s="7">
        <v>8875.0</v>
      </c>
      <c r="B619" s="7" t="str">
        <f>VLOOKUP($A619,product_category,2, False)</f>
        <v>Meat</v>
      </c>
      <c r="C619" s="7">
        <v>5.12714612E8</v>
      </c>
      <c r="D619" s="9">
        <v>42270.0</v>
      </c>
      <c r="E619" s="10">
        <f t="shared" si="1"/>
        <v>9</v>
      </c>
      <c r="F619" s="10" t="str">
        <f t="shared" si="2"/>
        <v>Sep</v>
      </c>
      <c r="G619" s="11">
        <f t="shared" si="3"/>
        <v>23</v>
      </c>
      <c r="H619" s="7">
        <f t="shared" si="4"/>
        <v>2015</v>
      </c>
      <c r="I619" s="9">
        <v>42286.0</v>
      </c>
      <c r="J619" s="11">
        <f t="shared" si="5"/>
        <v>16</v>
      </c>
      <c r="K619" s="7" t="s">
        <v>382</v>
      </c>
      <c r="L619" s="7" t="s">
        <v>113</v>
      </c>
      <c r="M619" s="7" t="str">
        <f>VLOOKUP(L619,countries, 2,false)</f>
        <v>Belgium</v>
      </c>
      <c r="N619" s="7" t="str">
        <f>VLOOKUP(L619,countries, 4,false)</f>
        <v>Europe</v>
      </c>
      <c r="O619" s="7" t="str">
        <f>VLOOKUP(L619,countries, 5,false)</f>
        <v>Western Europe</v>
      </c>
      <c r="P619" s="7" t="s">
        <v>129</v>
      </c>
      <c r="Q619" s="7">
        <v>2502.0</v>
      </c>
      <c r="R619" s="12">
        <v>421.89</v>
      </c>
      <c r="S619" s="12">
        <v>364.69</v>
      </c>
      <c r="T619" s="13">
        <f t="shared" si="6"/>
        <v>1055568.78</v>
      </c>
      <c r="U619" s="13">
        <f t="shared" si="7"/>
        <v>2467836.96</v>
      </c>
      <c r="V619" s="13">
        <f t="shared" si="8"/>
        <v>-1412268.18</v>
      </c>
      <c r="W619" s="14">
        <f>Q619/totals!B$2</f>
        <v>0.0003804441374</v>
      </c>
      <c r="X619" s="14">
        <f t="shared" si="9"/>
        <v>0.4599499675</v>
      </c>
      <c r="Y619" s="14">
        <f>T619/totals!B$5</f>
        <v>0.0006201460212</v>
      </c>
      <c r="Z619" s="14">
        <f t="shared" si="10"/>
        <v>0.4469616565</v>
      </c>
      <c r="AA619" s="14">
        <f>V619/totals!B$4</f>
        <v>-0.002816028684</v>
      </c>
      <c r="AB619" s="14">
        <f t="shared" si="11"/>
        <v>0.4589366878</v>
      </c>
    </row>
    <row r="620">
      <c r="A620" s="7">
        <v>8681.0</v>
      </c>
      <c r="B620" s="7" t="str">
        <f>VLOOKUP($A620,product_category,2, False)</f>
        <v>Office Supplies</v>
      </c>
      <c r="C620" s="7">
        <v>5.13026177E8</v>
      </c>
      <c r="D620" s="9">
        <v>41051.0</v>
      </c>
      <c r="E620" s="10">
        <f t="shared" si="1"/>
        <v>5</v>
      </c>
      <c r="F620" s="10" t="str">
        <f t="shared" si="2"/>
        <v>May</v>
      </c>
      <c r="G620" s="11">
        <f t="shared" si="3"/>
        <v>22</v>
      </c>
      <c r="H620" s="7">
        <f t="shared" si="4"/>
        <v>2012</v>
      </c>
      <c r="I620" s="9">
        <v>41065.0</v>
      </c>
      <c r="J620" s="11">
        <f t="shared" si="5"/>
        <v>14</v>
      </c>
      <c r="K620" s="7" t="s">
        <v>110</v>
      </c>
      <c r="L620" s="7" t="s">
        <v>155</v>
      </c>
      <c r="M620" s="7" t="str">
        <f>VLOOKUP(L620,countries, 2,false)</f>
        <v>Bulgaria</v>
      </c>
      <c r="N620" s="7" t="str">
        <f>VLOOKUP(L620,countries, 4,false)</f>
        <v>Europe</v>
      </c>
      <c r="O620" s="7" t="str">
        <f>VLOOKUP(L620,countries, 5,false)</f>
        <v>Eastern Europe</v>
      </c>
      <c r="P620" s="7" t="s">
        <v>129</v>
      </c>
      <c r="Q620" s="7">
        <v>4701.0</v>
      </c>
      <c r="R620" s="12">
        <v>651.21</v>
      </c>
      <c r="S620" s="12">
        <v>524.96</v>
      </c>
      <c r="T620" s="13">
        <f t="shared" si="6"/>
        <v>3061338.21</v>
      </c>
      <c r="U620" s="13">
        <f t="shared" si="7"/>
        <v>279444.48</v>
      </c>
      <c r="V620" s="13">
        <f t="shared" si="8"/>
        <v>2781893.73</v>
      </c>
      <c r="W620" s="14">
        <f>Q620/totals!B$2</f>
        <v>0.0007148153036</v>
      </c>
      <c r="X620" s="14">
        <f t="shared" si="9"/>
        <v>0.4606647828</v>
      </c>
      <c r="Y620" s="14">
        <f>T620/totals!B$5</f>
        <v>0.001798534351</v>
      </c>
      <c r="Z620" s="14">
        <f t="shared" si="10"/>
        <v>0.4487601909</v>
      </c>
      <c r="AA620" s="14">
        <f>V620/totals!B$4</f>
        <v>0.005547028992</v>
      </c>
      <c r="AB620" s="14">
        <f t="shared" si="11"/>
        <v>0.4644837168</v>
      </c>
    </row>
    <row r="621">
      <c r="A621" s="7">
        <v>2455.0</v>
      </c>
      <c r="B621" s="7" t="str">
        <f>VLOOKUP($A621,product_category,2, False)</f>
        <v>Clothes</v>
      </c>
      <c r="C621" s="7">
        <v>5.13611114E8</v>
      </c>
      <c r="D621" s="9">
        <v>42577.0</v>
      </c>
      <c r="E621" s="10">
        <f t="shared" si="1"/>
        <v>7</v>
      </c>
      <c r="F621" s="10" t="str">
        <f t="shared" si="2"/>
        <v>Jul</v>
      </c>
      <c r="G621" s="11">
        <f t="shared" si="3"/>
        <v>26</v>
      </c>
      <c r="H621" s="7">
        <f t="shared" si="4"/>
        <v>2016</v>
      </c>
      <c r="I621" s="9">
        <v>42618.0</v>
      </c>
      <c r="J621" s="11">
        <f t="shared" si="5"/>
        <v>41</v>
      </c>
      <c r="K621" s="7" t="s">
        <v>382</v>
      </c>
      <c r="L621" s="7" t="s">
        <v>534</v>
      </c>
      <c r="M621" s="7" t="str">
        <f>VLOOKUP(L621,countries, 2,false)</f>
        <v>Netherlands</v>
      </c>
      <c r="N621" s="7" t="str">
        <f>VLOOKUP(L621,countries, 4,false)</f>
        <v>Europe</v>
      </c>
      <c r="O621" s="7" t="str">
        <f>VLOOKUP(L621,countries, 5,false)</f>
        <v>Western Europe</v>
      </c>
      <c r="P621" s="7" t="s">
        <v>212</v>
      </c>
      <c r="Q621" s="7">
        <v>7797.0</v>
      </c>
      <c r="R621" s="12">
        <v>109.28</v>
      </c>
      <c r="S621" s="12">
        <v>35.84</v>
      </c>
      <c r="T621" s="13">
        <f t="shared" si="6"/>
        <v>852056.16</v>
      </c>
      <c r="U621" s="13">
        <f t="shared" si="7"/>
        <v>2329247.52</v>
      </c>
      <c r="V621" s="13">
        <f t="shared" si="8"/>
        <v>-1477191.36</v>
      </c>
      <c r="W621" s="14">
        <f>Q621/totals!B$2</f>
        <v>0.001185580711</v>
      </c>
      <c r="X621" s="14">
        <f t="shared" si="9"/>
        <v>0.4618503635</v>
      </c>
      <c r="Y621" s="14">
        <f>T621/totals!B$5</f>
        <v>0.0005005824797</v>
      </c>
      <c r="Z621" s="14">
        <f t="shared" si="10"/>
        <v>0.4492607733</v>
      </c>
      <c r="AA621" s="14">
        <f>V621/totals!B$4</f>
        <v>-0.002945483939</v>
      </c>
      <c r="AB621" s="14">
        <f t="shared" si="11"/>
        <v>0.4615382329</v>
      </c>
    </row>
    <row r="622">
      <c r="A622" s="7">
        <v>8681.0</v>
      </c>
      <c r="B622" s="7" t="str">
        <f>VLOOKUP($A622,product_category,2, False)</f>
        <v>Office Supplies</v>
      </c>
      <c r="C622" s="7">
        <v>5.13802516E8</v>
      </c>
      <c r="D622" s="9">
        <v>42918.0</v>
      </c>
      <c r="E622" s="10">
        <f t="shared" si="1"/>
        <v>7</v>
      </c>
      <c r="F622" s="10" t="str">
        <f t="shared" si="2"/>
        <v>Jul</v>
      </c>
      <c r="G622" s="11">
        <f t="shared" si="3"/>
        <v>2</v>
      </c>
      <c r="H622" s="7">
        <f t="shared" si="4"/>
        <v>2017</v>
      </c>
      <c r="I622" s="9">
        <v>42954.0</v>
      </c>
      <c r="J622" s="11">
        <f t="shared" si="5"/>
        <v>36</v>
      </c>
      <c r="K622" s="7" t="s">
        <v>322</v>
      </c>
      <c r="L622" s="7" t="s">
        <v>540</v>
      </c>
      <c r="M622" s="7" t="str">
        <f>VLOOKUP(L622,countries, 2,false)</f>
        <v>Spain</v>
      </c>
      <c r="N622" s="7" t="str">
        <f>VLOOKUP(L622,countries, 4,false)</f>
        <v>Europe</v>
      </c>
      <c r="O622" s="7" t="str">
        <f>VLOOKUP(L622,countries, 5,false)</f>
        <v>Southern Europe</v>
      </c>
      <c r="P622" s="7" t="s">
        <v>129</v>
      </c>
      <c r="Q622" s="7">
        <v>4437.0</v>
      </c>
      <c r="R622" s="12">
        <v>651.21</v>
      </c>
      <c r="S622" s="12">
        <v>524.96</v>
      </c>
      <c r="T622" s="13">
        <f t="shared" si="6"/>
        <v>2889418.77</v>
      </c>
      <c r="U622" s="13">
        <f t="shared" si="7"/>
        <v>656696.46</v>
      </c>
      <c r="V622" s="13">
        <f t="shared" si="8"/>
        <v>2232722.31</v>
      </c>
      <c r="W622" s="14">
        <f>Q622/totals!B$2</f>
        <v>0.000674672517</v>
      </c>
      <c r="X622" s="14">
        <f t="shared" si="9"/>
        <v>0.462525036</v>
      </c>
      <c r="Y622" s="14">
        <f>T622/totals!B$5</f>
        <v>0.001697531783</v>
      </c>
      <c r="Z622" s="14">
        <f t="shared" si="10"/>
        <v>0.4509583051</v>
      </c>
      <c r="AA622" s="14">
        <f>V622/totals!B$4</f>
        <v>0.004451994428</v>
      </c>
      <c r="AB622" s="14">
        <f t="shared" si="11"/>
        <v>0.4659902273</v>
      </c>
    </row>
    <row r="623">
      <c r="A623" s="7">
        <v>5988.0</v>
      </c>
      <c r="B623" s="7" t="str">
        <f>VLOOKUP($A623,product_category,2, False)</f>
        <v>Vegetables</v>
      </c>
      <c r="C623" s="7">
        <v>5.15771901E8</v>
      </c>
      <c r="D623" s="9">
        <v>40958.0</v>
      </c>
      <c r="E623" s="10">
        <f t="shared" si="1"/>
        <v>2</v>
      </c>
      <c r="F623" s="10" t="str">
        <f t="shared" si="2"/>
        <v>Feb</v>
      </c>
      <c r="G623" s="11">
        <f t="shared" si="3"/>
        <v>19</v>
      </c>
      <c r="H623" s="7">
        <f t="shared" si="4"/>
        <v>2012</v>
      </c>
      <c r="I623" s="9">
        <v>40987.0</v>
      </c>
      <c r="J623" s="11">
        <f t="shared" si="5"/>
        <v>29</v>
      </c>
      <c r="K623" s="7" t="s">
        <v>322</v>
      </c>
      <c r="L623" s="7" t="s">
        <v>642</v>
      </c>
      <c r="M623" s="7" t="str">
        <f>VLOOKUP(L623,countries, 2,false)</f>
        <v>San Marino</v>
      </c>
      <c r="N623" s="7" t="str">
        <f>VLOOKUP(L623,countries, 4,false)</f>
        <v>Europe</v>
      </c>
      <c r="O623" s="7" t="str">
        <f>VLOOKUP(L623,countries, 5,false)</f>
        <v>Southern Europe</v>
      </c>
      <c r="P623" s="7" t="s">
        <v>212</v>
      </c>
      <c r="Q623" s="7">
        <v>7222.0</v>
      </c>
      <c r="R623" s="12">
        <v>154.06</v>
      </c>
      <c r="S623" s="12">
        <v>90.93</v>
      </c>
      <c r="T623" s="13">
        <f t="shared" si="6"/>
        <v>1112621.32</v>
      </c>
      <c r="U623" s="13">
        <f t="shared" si="7"/>
        <v>2772738.07</v>
      </c>
      <c r="V623" s="13">
        <f t="shared" si="8"/>
        <v>-1660116.75</v>
      </c>
      <c r="W623" s="14">
        <f>Q623/totals!B$2</f>
        <v>0.001098148505</v>
      </c>
      <c r="X623" s="14">
        <f t="shared" si="9"/>
        <v>0.4636231845</v>
      </c>
      <c r="Y623" s="14">
        <f>T623/totals!B$5</f>
        <v>0.000653664354</v>
      </c>
      <c r="Z623" s="14">
        <f t="shared" si="10"/>
        <v>0.4516119695</v>
      </c>
      <c r="AA623" s="14">
        <f>V623/totals!B$4</f>
        <v>-0.003310232754</v>
      </c>
      <c r="AB623" s="14">
        <f t="shared" si="11"/>
        <v>0.4626799945</v>
      </c>
    </row>
    <row r="624">
      <c r="A624" s="7">
        <v>8875.0</v>
      </c>
      <c r="B624" s="7" t="str">
        <f>VLOOKUP($A624,product_category,2, False)</f>
        <v>Meat</v>
      </c>
      <c r="C624" s="7">
        <v>5.15773189E8</v>
      </c>
      <c r="D624" s="9">
        <v>40575.0</v>
      </c>
      <c r="E624" s="10">
        <f t="shared" si="1"/>
        <v>2</v>
      </c>
      <c r="F624" s="10" t="str">
        <f t="shared" si="2"/>
        <v>Feb</v>
      </c>
      <c r="G624" s="11">
        <f t="shared" si="3"/>
        <v>1</v>
      </c>
      <c r="H624" s="7">
        <f t="shared" si="4"/>
        <v>2011</v>
      </c>
      <c r="I624" s="9">
        <v>40591.0</v>
      </c>
      <c r="J624" s="11">
        <f t="shared" si="5"/>
        <v>16</v>
      </c>
      <c r="K624" s="7" t="s">
        <v>382</v>
      </c>
      <c r="L624" s="7" t="e">
        <v>#N/A</v>
      </c>
      <c r="M624" s="7"/>
      <c r="N624" s="7"/>
      <c r="O624" s="7"/>
      <c r="P624" s="7" t="s">
        <v>212</v>
      </c>
      <c r="Q624" s="7">
        <v>7603.0</v>
      </c>
      <c r="R624" s="12">
        <v>421.89</v>
      </c>
      <c r="S624" s="12">
        <v>364.69</v>
      </c>
      <c r="T624" s="13">
        <f t="shared" si="6"/>
        <v>3207629.67</v>
      </c>
      <c r="U624" s="13">
        <f t="shared" si="7"/>
        <v>107671.2</v>
      </c>
      <c r="V624" s="13">
        <f t="shared" si="8"/>
        <v>3099958.47</v>
      </c>
      <c r="W624" s="14">
        <f>Q624/totals!B$2</f>
        <v>0.001156081845</v>
      </c>
      <c r="X624" s="14">
        <f t="shared" si="9"/>
        <v>0.4647792664</v>
      </c>
      <c r="Y624" s="14">
        <f>T624/totals!B$5</f>
        <v>0.001884480495</v>
      </c>
      <c r="Z624" s="14">
        <f t="shared" si="10"/>
        <v>0.45349645</v>
      </c>
      <c r="AA624" s="14">
        <f>V624/totals!B$4</f>
        <v>0.006181242411</v>
      </c>
      <c r="AB624" s="14">
        <f t="shared" si="11"/>
        <v>0.4688612369</v>
      </c>
    </row>
    <row r="625">
      <c r="A625" s="7">
        <v>8969.0</v>
      </c>
      <c r="B625" s="7" t="str">
        <f>VLOOKUP($A625,product_category,2, False)</f>
        <v>Snacks</v>
      </c>
      <c r="C625" s="7">
        <v>5.16122949E8</v>
      </c>
      <c r="D625" s="9">
        <v>40926.0</v>
      </c>
      <c r="E625" s="10">
        <f t="shared" si="1"/>
        <v>1</v>
      </c>
      <c r="F625" s="10" t="str">
        <f t="shared" si="2"/>
        <v>Jan</v>
      </c>
      <c r="G625" s="11">
        <f t="shared" si="3"/>
        <v>18</v>
      </c>
      <c r="H625" s="7">
        <f t="shared" si="4"/>
        <v>2012</v>
      </c>
      <c r="I625" s="9">
        <v>40960.0</v>
      </c>
      <c r="J625" s="11">
        <f t="shared" si="5"/>
        <v>34</v>
      </c>
      <c r="K625" s="7" t="s">
        <v>110</v>
      </c>
      <c r="L625" s="7" t="s">
        <v>88</v>
      </c>
      <c r="M625" s="7" t="str">
        <f>VLOOKUP(L625,countries, 2,false)</f>
        <v>Austria</v>
      </c>
      <c r="N625" s="7" t="str">
        <f>VLOOKUP(L625,countries, 4,false)</f>
        <v>Europe</v>
      </c>
      <c r="O625" s="7" t="str">
        <f>VLOOKUP(L625,countries, 5,false)</f>
        <v>Western Europe</v>
      </c>
      <c r="P625" s="7" t="s">
        <v>129</v>
      </c>
      <c r="Q625" s="7">
        <v>1105.0</v>
      </c>
      <c r="R625" s="12">
        <v>152.58</v>
      </c>
      <c r="S625" s="12">
        <v>97.44</v>
      </c>
      <c r="T625" s="13">
        <f t="shared" si="6"/>
        <v>168600.9</v>
      </c>
      <c r="U625" s="13">
        <f t="shared" si="7"/>
        <v>528169.54</v>
      </c>
      <c r="V625" s="13">
        <f t="shared" si="8"/>
        <v>-359568.64</v>
      </c>
      <c r="W625" s="14">
        <f>Q625/totals!B$2</f>
        <v>0.0001680218912</v>
      </c>
      <c r="X625" s="14">
        <f t="shared" si="9"/>
        <v>0.4649472883</v>
      </c>
      <c r="Y625" s="14">
        <f>T625/totals!B$5</f>
        <v>0.00009905292699</v>
      </c>
      <c r="Z625" s="14">
        <f t="shared" si="10"/>
        <v>0.4535955029</v>
      </c>
      <c r="AA625" s="14">
        <f>V625/totals!B$4</f>
        <v>-0.0007169711946</v>
      </c>
      <c r="AB625" s="14">
        <f t="shared" si="11"/>
        <v>0.4681442657</v>
      </c>
    </row>
    <row r="626">
      <c r="A626" s="7">
        <v>7940.0</v>
      </c>
      <c r="B626" s="7" t="str">
        <f>VLOOKUP($A626,product_category,2, False)</f>
        <v>Household</v>
      </c>
      <c r="C626" s="7">
        <v>5.16460692E8</v>
      </c>
      <c r="D626" s="9">
        <v>41155.0</v>
      </c>
      <c r="E626" s="10">
        <f t="shared" si="1"/>
        <v>9</v>
      </c>
      <c r="F626" s="10" t="str">
        <f t="shared" si="2"/>
        <v>Sep</v>
      </c>
      <c r="G626" s="11">
        <f t="shared" si="3"/>
        <v>3</v>
      </c>
      <c r="H626" s="7">
        <f t="shared" si="4"/>
        <v>2012</v>
      </c>
      <c r="I626" s="9">
        <v>41176.0</v>
      </c>
      <c r="J626" s="11">
        <f t="shared" si="5"/>
        <v>21</v>
      </c>
      <c r="K626" s="7" t="s">
        <v>110</v>
      </c>
      <c r="L626" s="7" t="s">
        <v>77</v>
      </c>
      <c r="M626" s="7" t="str">
        <f>VLOOKUP(L626,countries, 2,false)</f>
        <v>Armenia</v>
      </c>
      <c r="N626" s="7" t="str">
        <f>VLOOKUP(L626,countries, 4,false)</f>
        <v>Asia</v>
      </c>
      <c r="O626" s="7" t="str">
        <f>VLOOKUP(L626,countries, 5,false)</f>
        <v>Western Asia</v>
      </c>
      <c r="P626" s="7" t="s">
        <v>212</v>
      </c>
      <c r="Q626" s="7">
        <v>1051.0</v>
      </c>
      <c r="R626" s="12">
        <v>668.27</v>
      </c>
      <c r="S626" s="12">
        <v>502.54</v>
      </c>
      <c r="T626" s="13">
        <f t="shared" si="6"/>
        <v>702351.77</v>
      </c>
      <c r="U626" s="13">
        <f t="shared" si="7"/>
        <v>3069231.04</v>
      </c>
      <c r="V626" s="13">
        <f t="shared" si="8"/>
        <v>-2366879.27</v>
      </c>
      <c r="W626" s="14">
        <f>Q626/totals!B$2</f>
        <v>0.0001598108667</v>
      </c>
      <c r="X626" s="14">
        <f t="shared" si="9"/>
        <v>0.4651070991</v>
      </c>
      <c r="Y626" s="14">
        <f>T626/totals!B$5</f>
        <v>0.000412631241</v>
      </c>
      <c r="Z626" s="14">
        <f t="shared" si="10"/>
        <v>0.4540081341</v>
      </c>
      <c r="AA626" s="14">
        <f>V626/totals!B$4</f>
        <v>-0.00471950017</v>
      </c>
      <c r="AB626" s="14">
        <f t="shared" si="11"/>
        <v>0.4634247656</v>
      </c>
    </row>
    <row r="627">
      <c r="A627" s="7">
        <v>8875.0</v>
      </c>
      <c r="B627" s="7" t="str">
        <f>VLOOKUP($A627,product_category,2, False)</f>
        <v>Meat</v>
      </c>
      <c r="C627" s="7">
        <v>5.16485583E8</v>
      </c>
      <c r="D627" s="9">
        <v>40220.0</v>
      </c>
      <c r="E627" s="10">
        <f t="shared" si="1"/>
        <v>2</v>
      </c>
      <c r="F627" s="10" t="str">
        <f t="shared" si="2"/>
        <v>Feb</v>
      </c>
      <c r="G627" s="11">
        <f t="shared" si="3"/>
        <v>11</v>
      </c>
      <c r="H627" s="7">
        <f t="shared" si="4"/>
        <v>2010</v>
      </c>
      <c r="I627" s="9">
        <v>40243.0</v>
      </c>
      <c r="J627" s="11">
        <f t="shared" si="5"/>
        <v>23</v>
      </c>
      <c r="K627" s="7" t="s">
        <v>110</v>
      </c>
      <c r="L627" s="7" t="s">
        <v>304</v>
      </c>
      <c r="M627" s="7" t="str">
        <f>VLOOKUP(L627,countries, 2,false)</f>
        <v>Georgia</v>
      </c>
      <c r="N627" s="7" t="str">
        <f>VLOOKUP(L627,countries, 4,false)</f>
        <v>Asia</v>
      </c>
      <c r="O627" s="7" t="str">
        <f>VLOOKUP(L627,countries, 5,false)</f>
        <v>Western Asia</v>
      </c>
      <c r="P627" s="7" t="s">
        <v>212</v>
      </c>
      <c r="Q627" s="7">
        <v>8416.0</v>
      </c>
      <c r="R627" s="12">
        <v>421.89</v>
      </c>
      <c r="S627" s="12">
        <v>364.69</v>
      </c>
      <c r="T627" s="13">
        <f t="shared" si="6"/>
        <v>3550626.24</v>
      </c>
      <c r="U627" s="13">
        <f t="shared" si="7"/>
        <v>1153337.12</v>
      </c>
      <c r="V627" s="13">
        <f t="shared" si="8"/>
        <v>2397289.12</v>
      </c>
      <c r="W627" s="14">
        <f>Q627/totals!B$2</f>
        <v>0.001279703381</v>
      </c>
      <c r="X627" s="14">
        <f t="shared" si="9"/>
        <v>0.4663868025</v>
      </c>
      <c r="Y627" s="14">
        <f>T627/totals!B$5</f>
        <v>0.002085990773</v>
      </c>
      <c r="Z627" s="14">
        <f t="shared" si="10"/>
        <v>0.4560941249</v>
      </c>
      <c r="AA627" s="14">
        <f>V627/totals!B$4</f>
        <v>0.004780136677</v>
      </c>
      <c r="AB627" s="14">
        <f t="shared" si="11"/>
        <v>0.4682049022</v>
      </c>
    </row>
    <row r="628">
      <c r="A628" s="7">
        <v>8681.0</v>
      </c>
      <c r="B628" s="7" t="str">
        <f>VLOOKUP($A628,product_category,2, False)</f>
        <v>Office Supplies</v>
      </c>
      <c r="C628" s="7">
        <v>5.16599738E8</v>
      </c>
      <c r="D628" s="9">
        <v>41366.0</v>
      </c>
      <c r="E628" s="10">
        <f t="shared" si="1"/>
        <v>4</v>
      </c>
      <c r="F628" s="10" t="str">
        <f t="shared" si="2"/>
        <v>Apr</v>
      </c>
      <c r="G628" s="11">
        <f t="shared" si="3"/>
        <v>2</v>
      </c>
      <c r="H628" s="7">
        <f t="shared" si="4"/>
        <v>2013</v>
      </c>
      <c r="I628" s="9">
        <v>41403.0</v>
      </c>
      <c r="J628" s="11">
        <f t="shared" si="5"/>
        <v>37</v>
      </c>
      <c r="K628" s="7" t="s">
        <v>110</v>
      </c>
      <c r="L628" s="7" t="s">
        <v>316</v>
      </c>
      <c r="M628" s="7" t="str">
        <f>VLOOKUP(L628,countries, 2,false)</f>
        <v>Greece</v>
      </c>
      <c r="N628" s="7" t="str">
        <f>VLOOKUP(L628,countries, 4,false)</f>
        <v>Europe</v>
      </c>
      <c r="O628" s="7" t="str">
        <f>VLOOKUP(L628,countries, 5,false)</f>
        <v>Southern Europe</v>
      </c>
      <c r="P628" s="7" t="s">
        <v>212</v>
      </c>
      <c r="Q628" s="7">
        <v>2197.0</v>
      </c>
      <c r="R628" s="12">
        <v>651.21</v>
      </c>
      <c r="S628" s="12">
        <v>524.96</v>
      </c>
      <c r="T628" s="13">
        <f t="shared" si="6"/>
        <v>1430708.37</v>
      </c>
      <c r="U628" s="13">
        <f t="shared" si="7"/>
        <v>1375954.52</v>
      </c>
      <c r="V628" s="13">
        <f t="shared" si="8"/>
        <v>54753.85</v>
      </c>
      <c r="W628" s="14">
        <f>Q628/totals!B$2</f>
        <v>0.0003340670543</v>
      </c>
      <c r="X628" s="14">
        <f t="shared" si="9"/>
        <v>0.4667208696</v>
      </c>
      <c r="Y628" s="14">
        <f>T628/totals!B$5</f>
        <v>0.0008405403039</v>
      </c>
      <c r="Z628" s="14">
        <f t="shared" si="10"/>
        <v>0.4569346652</v>
      </c>
      <c r="AA628" s="14">
        <f>V628/totals!B$4</f>
        <v>0.0001091778561</v>
      </c>
      <c r="AB628" s="14">
        <f t="shared" si="11"/>
        <v>0.4683140801</v>
      </c>
    </row>
    <row r="629">
      <c r="A629" s="7">
        <v>7940.0</v>
      </c>
      <c r="B629" s="7" t="str">
        <f>VLOOKUP($A629,product_category,2, False)</f>
        <v>Household</v>
      </c>
      <c r="C629" s="7">
        <v>5.16635358E8</v>
      </c>
      <c r="D629" s="9">
        <v>40933.0</v>
      </c>
      <c r="E629" s="10">
        <f t="shared" si="1"/>
        <v>1</v>
      </c>
      <c r="F629" s="10" t="str">
        <f t="shared" si="2"/>
        <v>Jan</v>
      </c>
      <c r="G629" s="11">
        <f t="shared" si="3"/>
        <v>25</v>
      </c>
      <c r="H629" s="7">
        <f t="shared" si="4"/>
        <v>2012</v>
      </c>
      <c r="I629" s="9">
        <v>40965.0</v>
      </c>
      <c r="J629" s="11">
        <f t="shared" si="5"/>
        <v>32</v>
      </c>
      <c r="K629" s="7" t="s">
        <v>382</v>
      </c>
      <c r="L629" s="7" t="s">
        <v>451</v>
      </c>
      <c r="M629" s="7" t="str">
        <f>VLOOKUP(L629,countries, 2,false)</f>
        <v>Lithuania</v>
      </c>
      <c r="N629" s="7" t="str">
        <f>VLOOKUP(L629,countries, 4,false)</f>
        <v>Europe</v>
      </c>
      <c r="O629" s="7" t="str">
        <f>VLOOKUP(L629,countries, 5,false)</f>
        <v>Northern Europe</v>
      </c>
      <c r="P629" s="7" t="s">
        <v>129</v>
      </c>
      <c r="Q629" s="7">
        <v>2738.0</v>
      </c>
      <c r="R629" s="12">
        <v>668.27</v>
      </c>
      <c r="S629" s="12">
        <v>502.54</v>
      </c>
      <c r="T629" s="13">
        <f t="shared" si="6"/>
        <v>1829723.26</v>
      </c>
      <c r="U629" s="13">
        <f t="shared" si="7"/>
        <v>62515.28</v>
      </c>
      <c r="V629" s="13">
        <f t="shared" si="8"/>
        <v>1767207.98</v>
      </c>
      <c r="W629" s="14">
        <f>Q629/totals!B$2</f>
        <v>0.0004163293558</v>
      </c>
      <c r="X629" s="14">
        <f t="shared" si="9"/>
        <v>0.4671371989</v>
      </c>
      <c r="Y629" s="14">
        <f>T629/totals!B$5</f>
        <v>0.001074961311</v>
      </c>
      <c r="Z629" s="14">
        <f t="shared" si="10"/>
        <v>0.4580096265</v>
      </c>
      <c r="AA629" s="14">
        <f>V629/totals!B$4</f>
        <v>0.003523770083</v>
      </c>
      <c r="AB629" s="14">
        <f t="shared" si="11"/>
        <v>0.4718378502</v>
      </c>
    </row>
    <row r="630">
      <c r="A630" s="7">
        <v>4594.0</v>
      </c>
      <c r="B630" s="7" t="str">
        <f>VLOOKUP($A630,product_category,2, False)</f>
        <v>Fruits</v>
      </c>
      <c r="C630" s="7">
        <v>5.16994559E8</v>
      </c>
      <c r="D630" s="9">
        <v>42169.0</v>
      </c>
      <c r="E630" s="10">
        <f t="shared" si="1"/>
        <v>6</v>
      </c>
      <c r="F630" s="10" t="str">
        <f t="shared" si="2"/>
        <v>Jun</v>
      </c>
      <c r="G630" s="11">
        <f t="shared" si="3"/>
        <v>14</v>
      </c>
      <c r="H630" s="7">
        <f t="shared" si="4"/>
        <v>2015</v>
      </c>
      <c r="I630" s="9">
        <v>42175.0</v>
      </c>
      <c r="J630" s="11">
        <f t="shared" si="5"/>
        <v>6</v>
      </c>
      <c r="K630" s="7" t="s">
        <v>382</v>
      </c>
      <c r="L630" s="7" t="s">
        <v>316</v>
      </c>
      <c r="M630" s="7" t="str">
        <f>VLOOKUP(L630,countries, 2,false)</f>
        <v>Greece</v>
      </c>
      <c r="N630" s="7" t="str">
        <f>VLOOKUP(L630,countries, 4,false)</f>
        <v>Europe</v>
      </c>
      <c r="O630" s="7" t="str">
        <f>VLOOKUP(L630,countries, 5,false)</f>
        <v>Southern Europe</v>
      </c>
      <c r="P630" s="7" t="s">
        <v>212</v>
      </c>
      <c r="Q630" s="7">
        <v>9034.0</v>
      </c>
      <c r="R630" s="12">
        <v>9.33</v>
      </c>
      <c r="S630" s="12">
        <v>6.92</v>
      </c>
      <c r="T630" s="13">
        <f t="shared" si="6"/>
        <v>84287.22</v>
      </c>
      <c r="U630" s="13">
        <f t="shared" si="7"/>
        <v>939321.6</v>
      </c>
      <c r="V630" s="13">
        <f t="shared" si="8"/>
        <v>-855034.38</v>
      </c>
      <c r="W630" s="14">
        <f>Q630/totals!B$2</f>
        <v>0.001373673996</v>
      </c>
      <c r="X630" s="14">
        <f t="shared" si="9"/>
        <v>0.4685108729</v>
      </c>
      <c r="Y630" s="14">
        <f>T630/totals!B$5</f>
        <v>0.00004951869088</v>
      </c>
      <c r="Z630" s="14">
        <f t="shared" si="10"/>
        <v>0.4580591452</v>
      </c>
      <c r="AA630" s="14">
        <f>V630/totals!B$4</f>
        <v>-0.001704917928</v>
      </c>
      <c r="AB630" s="14">
        <f t="shared" si="11"/>
        <v>0.4701329323</v>
      </c>
    </row>
    <row r="631">
      <c r="A631" s="7">
        <v>8969.0</v>
      </c>
      <c r="B631" s="7" t="str">
        <f>VLOOKUP($A631,product_category,2, False)</f>
        <v>Snacks</v>
      </c>
      <c r="C631" s="7">
        <v>5.17097985E8</v>
      </c>
      <c r="D631" s="9">
        <v>42812.0</v>
      </c>
      <c r="E631" s="10">
        <f t="shared" si="1"/>
        <v>3</v>
      </c>
      <c r="F631" s="10" t="str">
        <f t="shared" si="2"/>
        <v>Mar</v>
      </c>
      <c r="G631" s="11">
        <f t="shared" si="3"/>
        <v>18</v>
      </c>
      <c r="H631" s="7">
        <f t="shared" si="4"/>
        <v>2017</v>
      </c>
      <c r="I631" s="9">
        <v>42839.0</v>
      </c>
      <c r="J631" s="11">
        <f t="shared" si="5"/>
        <v>27</v>
      </c>
      <c r="K631" s="7" t="s">
        <v>110</v>
      </c>
      <c r="L631" s="7" t="s">
        <v>432</v>
      </c>
      <c r="M631" s="7" t="str">
        <f>VLOOKUP(L631,countries, 2,false)</f>
        <v>Latvia</v>
      </c>
      <c r="N631" s="7" t="str">
        <f>VLOOKUP(L631,countries, 4,false)</f>
        <v>Europe</v>
      </c>
      <c r="O631" s="7" t="str">
        <f>VLOOKUP(L631,countries, 5,false)</f>
        <v>Northern Europe</v>
      </c>
      <c r="P631" s="7" t="s">
        <v>129</v>
      </c>
      <c r="Q631" s="7">
        <v>9640.0</v>
      </c>
      <c r="R631" s="12">
        <v>152.58</v>
      </c>
      <c r="S631" s="12">
        <v>97.44</v>
      </c>
      <c r="T631" s="13">
        <f t="shared" si="6"/>
        <v>1470871.2</v>
      </c>
      <c r="U631" s="13">
        <f t="shared" si="7"/>
        <v>1030613.94</v>
      </c>
      <c r="V631" s="13">
        <f t="shared" si="8"/>
        <v>440257.26</v>
      </c>
      <c r="W631" s="14">
        <f>Q631/totals!B$2</f>
        <v>0.001465819938</v>
      </c>
      <c r="X631" s="14">
        <f t="shared" si="9"/>
        <v>0.4699766929</v>
      </c>
      <c r="Y631" s="14">
        <f>T631/totals!B$5</f>
        <v>0.0008641359423</v>
      </c>
      <c r="Z631" s="14">
        <f t="shared" si="10"/>
        <v>0.4589232812</v>
      </c>
      <c r="AA631" s="14">
        <f>V631/totals!B$4</f>
        <v>0.0008778623565</v>
      </c>
      <c r="AB631" s="14">
        <f t="shared" si="11"/>
        <v>0.4710107946</v>
      </c>
    </row>
    <row r="632">
      <c r="A632" s="7">
        <v>8875.0</v>
      </c>
      <c r="B632" s="7" t="str">
        <f>VLOOKUP($A632,product_category,2, False)</f>
        <v>Meat</v>
      </c>
      <c r="C632" s="7">
        <v>5.17514264E8</v>
      </c>
      <c r="D632" s="9">
        <v>41854.0</v>
      </c>
      <c r="E632" s="10">
        <f t="shared" si="1"/>
        <v>8</v>
      </c>
      <c r="F632" s="10" t="str">
        <f t="shared" si="2"/>
        <v>Aug</v>
      </c>
      <c r="G632" s="11">
        <f t="shared" si="3"/>
        <v>3</v>
      </c>
      <c r="H632" s="7">
        <f t="shared" si="4"/>
        <v>2014</v>
      </c>
      <c r="I632" s="9">
        <v>41886.0</v>
      </c>
      <c r="J632" s="11">
        <f t="shared" si="5"/>
        <v>32</v>
      </c>
      <c r="K632" s="7" t="s">
        <v>322</v>
      </c>
      <c r="L632" s="7" t="s">
        <v>304</v>
      </c>
      <c r="M632" s="7" t="str">
        <f>VLOOKUP(L632,countries, 2,false)</f>
        <v>Georgia</v>
      </c>
      <c r="N632" s="7" t="str">
        <f>VLOOKUP(L632,countries, 4,false)</f>
        <v>Asia</v>
      </c>
      <c r="O632" s="7" t="str">
        <f>VLOOKUP(L632,countries, 5,false)</f>
        <v>Western Asia</v>
      </c>
      <c r="P632" s="7" t="s">
        <v>212</v>
      </c>
      <c r="Q632" s="7">
        <v>2826.0</v>
      </c>
      <c r="R632" s="12">
        <v>421.89</v>
      </c>
      <c r="S632" s="12">
        <v>364.69</v>
      </c>
      <c r="T632" s="13">
        <f t="shared" si="6"/>
        <v>1192261.14</v>
      </c>
      <c r="U632" s="13">
        <f t="shared" si="7"/>
        <v>151774.56</v>
      </c>
      <c r="V632" s="13">
        <f t="shared" si="8"/>
        <v>1040486.58</v>
      </c>
      <c r="W632" s="14">
        <f>Q632/totals!B$2</f>
        <v>0.0004297102846</v>
      </c>
      <c r="X632" s="14">
        <f t="shared" si="9"/>
        <v>0.4704064031</v>
      </c>
      <c r="Y632" s="14">
        <f>T632/totals!B$5</f>
        <v>0.0007004527002</v>
      </c>
      <c r="Z632" s="14">
        <f t="shared" si="10"/>
        <v>0.4596237339</v>
      </c>
      <c r="AA632" s="14">
        <f>V632/totals!B$4</f>
        <v>0.002074705142</v>
      </c>
      <c r="AB632" s="14">
        <f t="shared" si="11"/>
        <v>0.4730854998</v>
      </c>
    </row>
    <row r="633">
      <c r="A633" s="7">
        <v>2103.0</v>
      </c>
      <c r="B633" s="7" t="str">
        <f>VLOOKUP($A633,product_category,2, False)</f>
        <v>Cereal</v>
      </c>
      <c r="C633" s="7">
        <v>5.18421494E8</v>
      </c>
      <c r="D633" s="9">
        <v>42665.0</v>
      </c>
      <c r="E633" s="10">
        <f t="shared" si="1"/>
        <v>10</v>
      </c>
      <c r="F633" s="10" t="str">
        <f t="shared" si="2"/>
        <v>Oct</v>
      </c>
      <c r="G633" s="11">
        <f t="shared" si="3"/>
        <v>22</v>
      </c>
      <c r="H633" s="7">
        <f t="shared" si="4"/>
        <v>2016</v>
      </c>
      <c r="I633" s="9">
        <v>42665.0</v>
      </c>
      <c r="J633" s="11">
        <f t="shared" si="5"/>
        <v>0</v>
      </c>
      <c r="K633" s="7" t="s">
        <v>382</v>
      </c>
      <c r="L633" s="7" t="s">
        <v>642</v>
      </c>
      <c r="M633" s="7" t="str">
        <f>VLOOKUP(L633,countries, 2,false)</f>
        <v>San Marino</v>
      </c>
      <c r="N633" s="7" t="str">
        <f>VLOOKUP(L633,countries, 4,false)</f>
        <v>Europe</v>
      </c>
      <c r="O633" s="7" t="str">
        <f>VLOOKUP(L633,countries, 5,false)</f>
        <v>Southern Europe</v>
      </c>
      <c r="P633" s="7" t="s">
        <v>129</v>
      </c>
      <c r="Q633" s="7">
        <v>1296.0</v>
      </c>
      <c r="R633" s="12">
        <v>205.7</v>
      </c>
      <c r="S633" s="12">
        <v>117.11</v>
      </c>
      <c r="T633" s="13">
        <f t="shared" si="6"/>
        <v>266587.2</v>
      </c>
      <c r="U633" s="13">
        <f t="shared" si="7"/>
        <v>487687.2</v>
      </c>
      <c r="V633" s="13">
        <f t="shared" si="8"/>
        <v>-221100</v>
      </c>
      <c r="W633" s="14">
        <f>Q633/totals!B$2</f>
        <v>0.0001970645891</v>
      </c>
      <c r="X633" s="14">
        <f t="shared" si="9"/>
        <v>0.4706034677</v>
      </c>
      <c r="Y633" s="14">
        <f>T633/totals!B$5</f>
        <v>0.0001566198191</v>
      </c>
      <c r="Z633" s="14">
        <f t="shared" si="10"/>
        <v>0.4597803537</v>
      </c>
      <c r="AA633" s="14">
        <f>V633/totals!B$4</f>
        <v>-0.0004408680666</v>
      </c>
      <c r="AB633" s="14">
        <f t="shared" si="11"/>
        <v>0.4726446317</v>
      </c>
    </row>
    <row r="634">
      <c r="A634" s="7">
        <v>8969.0</v>
      </c>
      <c r="B634" s="7" t="str">
        <f>VLOOKUP($A634,product_category,2, False)</f>
        <v>Snacks</v>
      </c>
      <c r="C634" s="7">
        <v>5.19380223E8</v>
      </c>
      <c r="D634" s="9">
        <v>42016.0</v>
      </c>
      <c r="E634" s="10">
        <f t="shared" si="1"/>
        <v>1</v>
      </c>
      <c r="F634" s="10" t="str">
        <f t="shared" si="2"/>
        <v>Jan</v>
      </c>
      <c r="G634" s="11">
        <f t="shared" si="3"/>
        <v>12</v>
      </c>
      <c r="H634" s="7">
        <f t="shared" si="4"/>
        <v>2015</v>
      </c>
      <c r="I634" s="9">
        <v>42021.0</v>
      </c>
      <c r="J634" s="11">
        <f t="shared" si="5"/>
        <v>5</v>
      </c>
      <c r="K634" s="7" t="s">
        <v>110</v>
      </c>
      <c r="L634" s="7" t="s">
        <v>113</v>
      </c>
      <c r="M634" s="7" t="str">
        <f>VLOOKUP(L634,countries, 2,false)</f>
        <v>Belgium</v>
      </c>
      <c r="N634" s="7" t="str">
        <f>VLOOKUP(L634,countries, 4,false)</f>
        <v>Europe</v>
      </c>
      <c r="O634" s="7" t="str">
        <f>VLOOKUP(L634,countries, 5,false)</f>
        <v>Western Europe</v>
      </c>
      <c r="P634" s="7" t="s">
        <v>129</v>
      </c>
      <c r="Q634" s="7">
        <v>5005.0</v>
      </c>
      <c r="R634" s="12">
        <v>152.58</v>
      </c>
      <c r="S634" s="12">
        <v>97.44</v>
      </c>
      <c r="T634" s="13">
        <f t="shared" si="6"/>
        <v>763662.9</v>
      </c>
      <c r="U634" s="13">
        <f t="shared" si="7"/>
        <v>477808.8</v>
      </c>
      <c r="V634" s="13">
        <f t="shared" si="8"/>
        <v>285854.1</v>
      </c>
      <c r="W634" s="14">
        <f>Q634/totals!B$2</f>
        <v>0.0007610403307</v>
      </c>
      <c r="X634" s="14">
        <f t="shared" si="9"/>
        <v>0.4713645081</v>
      </c>
      <c r="Y634" s="14">
        <f>T634/totals!B$5</f>
        <v>0.0004486514928</v>
      </c>
      <c r="Z634" s="14">
        <f t="shared" si="10"/>
        <v>0.4602290052</v>
      </c>
      <c r="AA634" s="14">
        <f>V634/totals!B$4</f>
        <v>0.00056998618</v>
      </c>
      <c r="AB634" s="14">
        <f t="shared" si="11"/>
        <v>0.4732146179</v>
      </c>
    </row>
    <row r="635">
      <c r="A635" s="7">
        <v>2103.0</v>
      </c>
      <c r="B635" s="7" t="str">
        <f>VLOOKUP($A635,product_category,2, False)</f>
        <v>Cereal</v>
      </c>
      <c r="C635" s="7">
        <v>5.2039088E8</v>
      </c>
      <c r="D635" s="9">
        <v>40704.0</v>
      </c>
      <c r="E635" s="10">
        <f t="shared" si="1"/>
        <v>6</v>
      </c>
      <c r="F635" s="10" t="str">
        <f t="shared" si="2"/>
        <v>Jun</v>
      </c>
      <c r="G635" s="11">
        <f t="shared" si="3"/>
        <v>10</v>
      </c>
      <c r="H635" s="7">
        <f t="shared" si="4"/>
        <v>2011</v>
      </c>
      <c r="I635" s="9">
        <v>40748.0</v>
      </c>
      <c r="J635" s="11">
        <f t="shared" si="5"/>
        <v>44</v>
      </c>
      <c r="K635" s="7" t="s">
        <v>110</v>
      </c>
      <c r="L635" s="7" t="s">
        <v>594</v>
      </c>
      <c r="M635" s="7" t="str">
        <f>VLOOKUP(L635,countries, 2,false)</f>
        <v>Poland</v>
      </c>
      <c r="N635" s="7" t="str">
        <f>VLOOKUP(L635,countries, 4,false)</f>
        <v>Europe</v>
      </c>
      <c r="O635" s="7" t="str">
        <f>VLOOKUP(L635,countries, 5,false)</f>
        <v>Eastern Europe</v>
      </c>
      <c r="P635" s="7" t="s">
        <v>212</v>
      </c>
      <c r="Q635" s="7">
        <v>4080.0</v>
      </c>
      <c r="R635" s="12">
        <v>205.7</v>
      </c>
      <c r="S635" s="12">
        <v>117.11</v>
      </c>
      <c r="T635" s="13">
        <f t="shared" si="6"/>
        <v>839256</v>
      </c>
      <c r="U635" s="13">
        <f t="shared" si="7"/>
        <v>304783.36</v>
      </c>
      <c r="V635" s="13">
        <f t="shared" si="8"/>
        <v>534472.64</v>
      </c>
      <c r="W635" s="14">
        <f>Q635/totals!B$2</f>
        <v>0.0006203885214</v>
      </c>
      <c r="X635" s="14">
        <f t="shared" si="9"/>
        <v>0.4719848966</v>
      </c>
      <c r="Y635" s="14">
        <f>T635/totals!B$5</f>
        <v>0.0004930623935</v>
      </c>
      <c r="Z635" s="14">
        <f t="shared" si="10"/>
        <v>0.4607220676</v>
      </c>
      <c r="AA635" s="14">
        <f>V635/totals!B$4</f>
        <v>0.001065725552</v>
      </c>
      <c r="AB635" s="14">
        <f t="shared" si="11"/>
        <v>0.4742803434</v>
      </c>
    </row>
    <row r="636">
      <c r="A636" s="7">
        <v>2455.0</v>
      </c>
      <c r="B636" s="7" t="str">
        <f>VLOOKUP($A636,product_category,2, False)</f>
        <v>Clothes</v>
      </c>
      <c r="C636" s="7">
        <v>5.20777547E8</v>
      </c>
      <c r="D636" s="9">
        <v>40239.0</v>
      </c>
      <c r="E636" s="10">
        <f t="shared" si="1"/>
        <v>3</v>
      </c>
      <c r="F636" s="10" t="str">
        <f t="shared" si="2"/>
        <v>Mar</v>
      </c>
      <c r="G636" s="11">
        <f t="shared" si="3"/>
        <v>2</v>
      </c>
      <c r="H636" s="7">
        <f t="shared" si="4"/>
        <v>2010</v>
      </c>
      <c r="I636" s="9">
        <v>40283.0</v>
      </c>
      <c r="J636" s="11">
        <f t="shared" si="5"/>
        <v>44</v>
      </c>
      <c r="K636" s="7" t="s">
        <v>198</v>
      </c>
      <c r="L636" s="7" t="s">
        <v>155</v>
      </c>
      <c r="M636" s="7" t="str">
        <f>VLOOKUP(L636,countries, 2,false)</f>
        <v>Bulgaria</v>
      </c>
      <c r="N636" s="7" t="str">
        <f>VLOOKUP(L636,countries, 4,false)</f>
        <v>Europe</v>
      </c>
      <c r="O636" s="7" t="str">
        <f>VLOOKUP(L636,countries, 5,false)</f>
        <v>Eastern Europe</v>
      </c>
      <c r="P636" s="7" t="s">
        <v>212</v>
      </c>
      <c r="Q636" s="7">
        <v>8504.0</v>
      </c>
      <c r="R636" s="12">
        <v>109.28</v>
      </c>
      <c r="S636" s="12">
        <v>35.84</v>
      </c>
      <c r="T636" s="13">
        <f t="shared" si="6"/>
        <v>929317.12</v>
      </c>
      <c r="U636" s="13">
        <f t="shared" si="7"/>
        <v>4866379.2</v>
      </c>
      <c r="V636" s="13">
        <f t="shared" si="8"/>
        <v>-3937062.08</v>
      </c>
      <c r="W636" s="14">
        <f>Q636/totals!B$2</f>
        <v>0.00129308431</v>
      </c>
      <c r="X636" s="14">
        <f t="shared" si="9"/>
        <v>0.4732779809</v>
      </c>
      <c r="Y636" s="14">
        <f>T636/totals!B$5</f>
        <v>0.0005459732471</v>
      </c>
      <c r="Z636" s="14">
        <f t="shared" si="10"/>
        <v>0.4612680408</v>
      </c>
      <c r="AA636" s="14">
        <f>V636/totals!B$4</f>
        <v>-0.007850406817</v>
      </c>
      <c r="AB636" s="14">
        <f t="shared" si="11"/>
        <v>0.4664299366</v>
      </c>
    </row>
    <row r="637">
      <c r="A637" s="7">
        <v>8681.0</v>
      </c>
      <c r="B637" s="7" t="str">
        <f>VLOOKUP($A637,product_category,2, False)</f>
        <v>Office Supplies</v>
      </c>
      <c r="C637" s="7">
        <v>5.20915305E8</v>
      </c>
      <c r="D637" s="9">
        <v>40832.0</v>
      </c>
      <c r="E637" s="10">
        <f t="shared" si="1"/>
        <v>10</v>
      </c>
      <c r="F637" s="10" t="str">
        <f t="shared" si="2"/>
        <v>Oct</v>
      </c>
      <c r="G637" s="11">
        <f t="shared" si="3"/>
        <v>16</v>
      </c>
      <c r="H637" s="7">
        <f t="shared" si="4"/>
        <v>2011</v>
      </c>
      <c r="I637" s="9">
        <v>40854.0</v>
      </c>
      <c r="J637" s="11">
        <f t="shared" si="5"/>
        <v>22</v>
      </c>
      <c r="K637" s="7" t="s">
        <v>382</v>
      </c>
      <c r="L637" s="7" t="s">
        <v>612</v>
      </c>
      <c r="M637" s="7" t="str">
        <f>VLOOKUP(L637,countries, 2,false)</f>
        <v>Russia</v>
      </c>
      <c r="N637" s="7" t="str">
        <f>VLOOKUP(L637,countries, 4,false)</f>
        <v>Europe</v>
      </c>
      <c r="O637" s="7" t="str">
        <f>VLOOKUP(L637,countries, 5,false)</f>
        <v>Eastern Europe</v>
      </c>
      <c r="P637" s="7" t="s">
        <v>212</v>
      </c>
      <c r="Q637" s="7">
        <v>9270.0</v>
      </c>
      <c r="R637" s="12">
        <v>651.21</v>
      </c>
      <c r="S637" s="12">
        <v>524.96</v>
      </c>
      <c r="T637" s="13">
        <f t="shared" si="6"/>
        <v>6036716.7</v>
      </c>
      <c r="U637" s="13">
        <f t="shared" si="7"/>
        <v>3127186.72</v>
      </c>
      <c r="V637" s="13">
        <f t="shared" si="8"/>
        <v>2909529.98</v>
      </c>
      <c r="W637" s="14">
        <f>Q637/totals!B$2</f>
        <v>0.001409559214</v>
      </c>
      <c r="X637" s="14">
        <f t="shared" si="9"/>
        <v>0.4746875401</v>
      </c>
      <c r="Y637" s="14">
        <f>T637/totals!B$5</f>
        <v>0.003546567418</v>
      </c>
      <c r="Z637" s="14">
        <f t="shared" si="10"/>
        <v>0.4648146082</v>
      </c>
      <c r="AA637" s="14">
        <f>V637/totals!B$4</f>
        <v>0.005801532596</v>
      </c>
      <c r="AB637" s="14">
        <f t="shared" si="11"/>
        <v>0.4722314692</v>
      </c>
    </row>
    <row r="638">
      <c r="A638" s="7">
        <v>8681.0</v>
      </c>
      <c r="B638" s="7" t="str">
        <f>VLOOKUP($A638,product_category,2, False)</f>
        <v>Office Supplies</v>
      </c>
      <c r="C638" s="7">
        <v>5.21681344E8</v>
      </c>
      <c r="D638" s="9">
        <v>40225.0</v>
      </c>
      <c r="E638" s="10">
        <f t="shared" si="1"/>
        <v>2</v>
      </c>
      <c r="F638" s="10" t="str">
        <f t="shared" si="2"/>
        <v>Feb</v>
      </c>
      <c r="G638" s="11">
        <f t="shared" si="3"/>
        <v>16</v>
      </c>
      <c r="H638" s="7">
        <f t="shared" si="4"/>
        <v>2010</v>
      </c>
      <c r="I638" s="9">
        <v>40271.0</v>
      </c>
      <c r="J638" s="11">
        <f t="shared" si="5"/>
        <v>46</v>
      </c>
      <c r="K638" s="7" t="s">
        <v>110</v>
      </c>
      <c r="L638" s="7" t="s">
        <v>234</v>
      </c>
      <c r="M638" s="7" t="str">
        <f>VLOOKUP(L638,countries, 2,false)</f>
        <v>Czech Republic</v>
      </c>
      <c r="N638" s="7" t="str">
        <f>VLOOKUP(L638,countries, 4,false)</f>
        <v>Europe</v>
      </c>
      <c r="O638" s="7" t="str">
        <f>VLOOKUP(L638,countries, 5,false)</f>
        <v>Eastern Europe</v>
      </c>
      <c r="P638" s="7" t="s">
        <v>129</v>
      </c>
      <c r="Q638" s="7">
        <v>5957.0</v>
      </c>
      <c r="R638" s="12">
        <v>651.21</v>
      </c>
      <c r="S638" s="12">
        <v>524.96</v>
      </c>
      <c r="T638" s="13">
        <f t="shared" si="6"/>
        <v>3879257.97</v>
      </c>
      <c r="U638" s="13">
        <f t="shared" si="7"/>
        <v>784460.07</v>
      </c>
      <c r="V638" s="13">
        <f t="shared" si="8"/>
        <v>3094797.9</v>
      </c>
      <c r="W638" s="14">
        <f>Q638/totals!B$2</f>
        <v>0.0009057976524</v>
      </c>
      <c r="X638" s="14">
        <f t="shared" si="9"/>
        <v>0.4755933378</v>
      </c>
      <c r="Y638" s="14">
        <f>T638/totals!B$5</f>
        <v>0.002279061716</v>
      </c>
      <c r="Z638" s="14">
        <f t="shared" si="10"/>
        <v>0.4670936699</v>
      </c>
      <c r="AA638" s="14">
        <f>V638/totals!B$4</f>
        <v>0.006170952359</v>
      </c>
      <c r="AB638" s="14">
        <f t="shared" si="11"/>
        <v>0.4784024216</v>
      </c>
    </row>
    <row r="639">
      <c r="A639" s="7">
        <v>8293.0</v>
      </c>
      <c r="B639" s="7" t="str">
        <f>VLOOKUP($A639,product_category,2, False)</f>
        <v>Cosmetics</v>
      </c>
      <c r="C639" s="7">
        <v>5.21874034E8</v>
      </c>
      <c r="D639" s="9">
        <v>40184.0</v>
      </c>
      <c r="E639" s="10">
        <f t="shared" si="1"/>
        <v>1</v>
      </c>
      <c r="F639" s="10" t="str">
        <f t="shared" si="2"/>
        <v>Jan</v>
      </c>
      <c r="G639" s="11">
        <f t="shared" si="3"/>
        <v>6</v>
      </c>
      <c r="H639" s="7">
        <f t="shared" si="4"/>
        <v>2010</v>
      </c>
      <c r="I639" s="9">
        <v>40212.0</v>
      </c>
      <c r="J639" s="11">
        <f t="shared" si="5"/>
        <v>28</v>
      </c>
      <c r="K639" s="7" t="s">
        <v>110</v>
      </c>
      <c r="L639" s="7" t="s">
        <v>107</v>
      </c>
      <c r="M639" s="7" t="str">
        <f>VLOOKUP(L639,countries, 2,false)</f>
        <v>Belarus</v>
      </c>
      <c r="N639" s="7" t="str">
        <f>VLOOKUP(L639,countries, 4,false)</f>
        <v>Europe</v>
      </c>
      <c r="O639" s="7" t="str">
        <f>VLOOKUP(L639,countries, 5,false)</f>
        <v>Eastern Europe</v>
      </c>
      <c r="P639" s="7" t="s">
        <v>212</v>
      </c>
      <c r="Q639" s="7">
        <v>2979.0</v>
      </c>
      <c r="R639" s="12">
        <v>437.2</v>
      </c>
      <c r="S639" s="12">
        <v>263.33</v>
      </c>
      <c r="T639" s="13">
        <f t="shared" si="6"/>
        <v>1302418.8</v>
      </c>
      <c r="U639" s="13">
        <f t="shared" si="7"/>
        <v>213032.96</v>
      </c>
      <c r="V639" s="13">
        <f t="shared" si="8"/>
        <v>1089385.84</v>
      </c>
      <c r="W639" s="14">
        <f>Q639/totals!B$2</f>
        <v>0.0004529748542</v>
      </c>
      <c r="X639" s="14">
        <f t="shared" si="9"/>
        <v>0.4760463126</v>
      </c>
      <c r="Y639" s="14">
        <f>T639/totals!B$5</f>
        <v>0.0007651702589</v>
      </c>
      <c r="Z639" s="14">
        <f t="shared" si="10"/>
        <v>0.4678588402</v>
      </c>
      <c r="AA639" s="14">
        <f>V639/totals!B$4</f>
        <v>0.002172209087</v>
      </c>
      <c r="AB639" s="14">
        <f t="shared" si="11"/>
        <v>0.4805746306</v>
      </c>
    </row>
    <row r="640">
      <c r="A640" s="7">
        <v>2455.0</v>
      </c>
      <c r="B640" s="7" t="str">
        <f>VLOOKUP($A640,product_category,2, False)</f>
        <v>Clothes</v>
      </c>
      <c r="C640" s="7">
        <v>5.22323358E8</v>
      </c>
      <c r="D640" s="9">
        <v>42324.0</v>
      </c>
      <c r="E640" s="10">
        <f t="shared" si="1"/>
        <v>11</v>
      </c>
      <c r="F640" s="10" t="str">
        <f t="shared" si="2"/>
        <v>Nov</v>
      </c>
      <c r="G640" s="11">
        <f t="shared" si="3"/>
        <v>16</v>
      </c>
      <c r="H640" s="7">
        <f t="shared" si="4"/>
        <v>2015</v>
      </c>
      <c r="I640" s="9">
        <v>42328.0</v>
      </c>
      <c r="J640" s="11">
        <f t="shared" si="5"/>
        <v>4</v>
      </c>
      <c r="K640" s="7" t="s">
        <v>382</v>
      </c>
      <c r="L640" s="7" t="s">
        <v>609</v>
      </c>
      <c r="M640" s="7" t="str">
        <f>VLOOKUP(L640,countries, 2,false)</f>
        <v>Romania</v>
      </c>
      <c r="N640" s="7" t="str">
        <f>VLOOKUP(L640,countries, 4,false)</f>
        <v>Europe</v>
      </c>
      <c r="O640" s="7" t="str">
        <f>VLOOKUP(L640,countries, 5,false)</f>
        <v>Eastern Europe</v>
      </c>
      <c r="P640" s="7" t="s">
        <v>129</v>
      </c>
      <c r="Q640" s="7">
        <v>5944.0</v>
      </c>
      <c r="R640" s="12">
        <v>109.28</v>
      </c>
      <c r="S640" s="12">
        <v>35.84</v>
      </c>
      <c r="T640" s="13">
        <f t="shared" si="6"/>
        <v>649560.32</v>
      </c>
      <c r="U640" s="13">
        <f t="shared" si="7"/>
        <v>283673.6</v>
      </c>
      <c r="V640" s="13">
        <f t="shared" si="8"/>
        <v>365886.72</v>
      </c>
      <c r="W640" s="14">
        <f>Q640/totals!B$2</f>
        <v>0.0009038209242</v>
      </c>
      <c r="X640" s="14">
        <f t="shared" si="9"/>
        <v>0.4769501335</v>
      </c>
      <c r="Y640" s="14">
        <f>T640/totals!B$5</f>
        <v>0.000381616296</v>
      </c>
      <c r="Z640" s="14">
        <f t="shared" si="10"/>
        <v>0.4682404565</v>
      </c>
      <c r="AA640" s="14">
        <f>V640/totals!B$4</f>
        <v>0.0007295692937</v>
      </c>
      <c r="AB640" s="14">
        <f t="shared" si="11"/>
        <v>0.4813041999</v>
      </c>
    </row>
    <row r="641">
      <c r="A641" s="7">
        <v>2455.0</v>
      </c>
      <c r="B641" s="7" t="str">
        <f>VLOOKUP($A641,product_category,2, False)</f>
        <v>Clothes</v>
      </c>
      <c r="C641" s="7">
        <v>5.23580348E8</v>
      </c>
      <c r="D641" s="9">
        <v>40719.0</v>
      </c>
      <c r="E641" s="10">
        <f t="shared" si="1"/>
        <v>6</v>
      </c>
      <c r="F641" s="10" t="str">
        <f t="shared" si="2"/>
        <v>Jun</v>
      </c>
      <c r="G641" s="11">
        <f t="shared" si="3"/>
        <v>25</v>
      </c>
      <c r="H641" s="7">
        <f t="shared" si="4"/>
        <v>2011</v>
      </c>
      <c r="I641" s="9">
        <v>40759.0</v>
      </c>
      <c r="J641" s="11">
        <f t="shared" si="5"/>
        <v>40</v>
      </c>
      <c r="K641" s="7" t="s">
        <v>198</v>
      </c>
      <c r="L641" s="7" t="s">
        <v>200</v>
      </c>
      <c r="M641" s="7" t="str">
        <f>VLOOKUP(L641,countries, 2,false)</f>
        <v>Serbia</v>
      </c>
      <c r="N641" s="7" t="str">
        <f>VLOOKUP(L641,countries, 4,false)</f>
        <v>Europe</v>
      </c>
      <c r="O641" s="7" t="str">
        <f>VLOOKUP(L641,countries, 5,false)</f>
        <v>Southern Europe</v>
      </c>
      <c r="P641" s="7" t="s">
        <v>129</v>
      </c>
      <c r="Q641" s="7">
        <v>7915.0</v>
      </c>
      <c r="R641" s="12">
        <v>109.28</v>
      </c>
      <c r="S641" s="12">
        <v>35.84</v>
      </c>
      <c r="T641" s="13">
        <f t="shared" si="6"/>
        <v>864951.2</v>
      </c>
      <c r="U641" s="13">
        <f t="shared" si="7"/>
        <v>512208.69</v>
      </c>
      <c r="V641" s="13">
        <f t="shared" si="8"/>
        <v>352742.51</v>
      </c>
      <c r="W641" s="14">
        <f>Q641/totals!B$2</f>
        <v>0.00120352332</v>
      </c>
      <c r="X641" s="14">
        <f t="shared" si="9"/>
        <v>0.4781536569</v>
      </c>
      <c r="Y641" s="14">
        <f>T641/totals!B$5</f>
        <v>0.000508158308</v>
      </c>
      <c r="Z641" s="14">
        <f t="shared" si="10"/>
        <v>0.4687486148</v>
      </c>
      <c r="AA641" s="14">
        <f>V641/totals!B$4</f>
        <v>0.000703360056</v>
      </c>
      <c r="AB641" s="14">
        <f t="shared" si="11"/>
        <v>0.48200756</v>
      </c>
    </row>
    <row r="642">
      <c r="A642" s="7">
        <v>5988.0</v>
      </c>
      <c r="B642" s="7" t="str">
        <f>VLOOKUP($A642,product_category,2, False)</f>
        <v>Vegetables</v>
      </c>
      <c r="C642" s="7">
        <v>5.23707807E8</v>
      </c>
      <c r="D642" s="9">
        <v>41603.0</v>
      </c>
      <c r="E642" s="10">
        <f t="shared" si="1"/>
        <v>11</v>
      </c>
      <c r="F642" s="10" t="str">
        <f t="shared" si="2"/>
        <v>Nov</v>
      </c>
      <c r="G642" s="11">
        <f t="shared" si="3"/>
        <v>25</v>
      </c>
      <c r="H642" s="7">
        <f t="shared" si="4"/>
        <v>2013</v>
      </c>
      <c r="I642" s="9">
        <v>41624.0</v>
      </c>
      <c r="J642" s="11">
        <f t="shared" si="5"/>
        <v>21</v>
      </c>
      <c r="K642" s="7" t="s">
        <v>110</v>
      </c>
      <c r="L642" s="7" t="s">
        <v>136</v>
      </c>
      <c r="M642" s="7" t="str">
        <f>VLOOKUP(L642,countries, 2,false)</f>
        <v>Bosnia and Herzegovina</v>
      </c>
      <c r="N642" s="7" t="str">
        <f>VLOOKUP(L642,countries, 4,false)</f>
        <v>Europe</v>
      </c>
      <c r="O642" s="7" t="str">
        <f>VLOOKUP(L642,countries, 5,false)</f>
        <v>Southern Europe</v>
      </c>
      <c r="P642" s="7" t="s">
        <v>129</v>
      </c>
      <c r="Q642" s="7">
        <v>5633.0</v>
      </c>
      <c r="R642" s="12">
        <v>154.06</v>
      </c>
      <c r="S642" s="12">
        <v>90.93</v>
      </c>
      <c r="T642" s="13">
        <f t="shared" si="6"/>
        <v>867819.98</v>
      </c>
      <c r="U642" s="13">
        <f t="shared" si="7"/>
        <v>129203.2</v>
      </c>
      <c r="V642" s="13">
        <f t="shared" si="8"/>
        <v>738616.78</v>
      </c>
      <c r="W642" s="14">
        <f>Q642/totals!B$2</f>
        <v>0.0008565315051</v>
      </c>
      <c r="X642" s="14">
        <f t="shared" si="9"/>
        <v>0.4790101884</v>
      </c>
      <c r="Y642" s="14">
        <f>T642/totals!B$5</f>
        <v>0.0005098437145</v>
      </c>
      <c r="Z642" s="14">
        <f t="shared" si="10"/>
        <v>0.4692584585</v>
      </c>
      <c r="AA642" s="14">
        <f>V642/totals!B$4</f>
        <v>0.001472784042</v>
      </c>
      <c r="AB642" s="14">
        <f t="shared" si="11"/>
        <v>0.483480344</v>
      </c>
    </row>
    <row r="643">
      <c r="A643" s="7">
        <v>2455.0</v>
      </c>
      <c r="B643" s="7" t="str">
        <f>VLOOKUP($A643,product_category,2, False)</f>
        <v>Clothes</v>
      </c>
      <c r="C643" s="7">
        <v>5.23836123E8</v>
      </c>
      <c r="D643" s="9">
        <v>41311.0</v>
      </c>
      <c r="E643" s="10">
        <f t="shared" si="1"/>
        <v>2</v>
      </c>
      <c r="F643" s="10" t="str">
        <f t="shared" si="2"/>
        <v>Feb</v>
      </c>
      <c r="G643" s="11">
        <f t="shared" si="3"/>
        <v>6</v>
      </c>
      <c r="H643" s="7">
        <f t="shared" si="4"/>
        <v>2013</v>
      </c>
      <c r="I643" s="9">
        <v>41355.0</v>
      </c>
      <c r="J643" s="11">
        <f t="shared" si="5"/>
        <v>44</v>
      </c>
      <c r="K643" s="7" t="s">
        <v>198</v>
      </c>
      <c r="L643" s="7" t="s">
        <v>451</v>
      </c>
      <c r="M643" s="7" t="str">
        <f>VLOOKUP(L643,countries, 2,false)</f>
        <v>Lithuania</v>
      </c>
      <c r="N643" s="7" t="str">
        <f>VLOOKUP(L643,countries, 4,false)</f>
        <v>Europe</v>
      </c>
      <c r="O643" s="7" t="str">
        <f>VLOOKUP(L643,countries, 5,false)</f>
        <v>Northern Europe</v>
      </c>
      <c r="P643" s="7" t="s">
        <v>129</v>
      </c>
      <c r="Q643" s="7">
        <v>3605.0</v>
      </c>
      <c r="R643" s="12">
        <v>109.28</v>
      </c>
      <c r="S643" s="12">
        <v>35.84</v>
      </c>
      <c r="T643" s="13">
        <f t="shared" si="6"/>
        <v>393954.4</v>
      </c>
      <c r="U643" s="13">
        <f t="shared" si="7"/>
        <v>362361.66</v>
      </c>
      <c r="V643" s="13">
        <f t="shared" si="8"/>
        <v>31592.74</v>
      </c>
      <c r="W643" s="14">
        <f>Q643/totals!B$2</f>
        <v>0.0005481619165</v>
      </c>
      <c r="X643" s="14">
        <f t="shared" si="9"/>
        <v>0.4795583503</v>
      </c>
      <c r="Y643" s="14">
        <f>T643/totals!B$5</f>
        <v>0.0002314479722</v>
      </c>
      <c r="Z643" s="14">
        <f t="shared" si="10"/>
        <v>0.4694899065</v>
      </c>
      <c r="AA643" s="14">
        <f>V643/totals!B$4</f>
        <v>0.00006299516147</v>
      </c>
      <c r="AB643" s="14">
        <f t="shared" si="11"/>
        <v>0.4835433392</v>
      </c>
    </row>
    <row r="644">
      <c r="A644" s="7">
        <v>7331.0</v>
      </c>
      <c r="B644" s="7" t="str">
        <f>VLOOKUP($A644,product_category,2, False)</f>
        <v>Baby Food</v>
      </c>
      <c r="C644" s="7">
        <v>5.23899209E8</v>
      </c>
      <c r="D644" s="9">
        <v>41944.0</v>
      </c>
      <c r="E644" s="10">
        <f t="shared" si="1"/>
        <v>11</v>
      </c>
      <c r="F644" s="10" t="str">
        <f t="shared" si="2"/>
        <v>Nov</v>
      </c>
      <c r="G644" s="11">
        <f t="shared" si="3"/>
        <v>1</v>
      </c>
      <c r="H644" s="7">
        <f t="shared" si="4"/>
        <v>2014</v>
      </c>
      <c r="I644" s="9">
        <v>41959.0</v>
      </c>
      <c r="J644" s="11">
        <f t="shared" si="5"/>
        <v>15</v>
      </c>
      <c r="K644" s="7" t="s">
        <v>198</v>
      </c>
      <c r="L644" s="7" t="s">
        <v>307</v>
      </c>
      <c r="M644" s="7" t="str">
        <f>VLOOKUP(L644,countries, 2,false)</f>
        <v>Germany</v>
      </c>
      <c r="N644" s="7" t="str">
        <f>VLOOKUP(L644,countries, 4,false)</f>
        <v>Europe</v>
      </c>
      <c r="O644" s="7" t="str">
        <f>VLOOKUP(L644,countries, 5,false)</f>
        <v>Western Europe</v>
      </c>
      <c r="P644" s="7" t="s">
        <v>212</v>
      </c>
      <c r="Q644" s="7">
        <v>2273.0</v>
      </c>
      <c r="R644" s="12">
        <v>255.28</v>
      </c>
      <c r="S644" s="12">
        <v>159.42</v>
      </c>
      <c r="T644" s="13">
        <f t="shared" si="6"/>
        <v>580251.44</v>
      </c>
      <c r="U644" s="13">
        <f t="shared" si="7"/>
        <v>239489.95</v>
      </c>
      <c r="V644" s="13">
        <f t="shared" si="8"/>
        <v>340761.49</v>
      </c>
      <c r="W644" s="14">
        <f>Q644/totals!B$2</f>
        <v>0.000345623311</v>
      </c>
      <c r="X644" s="14">
        <f t="shared" si="9"/>
        <v>0.4799039736</v>
      </c>
      <c r="Y644" s="14">
        <f>T644/totals!B$5</f>
        <v>0.0003408973708</v>
      </c>
      <c r="Z644" s="14">
        <f t="shared" si="10"/>
        <v>0.4698308039</v>
      </c>
      <c r="AA644" s="14">
        <f>V644/totals!B$4</f>
        <v>0.0006794701912</v>
      </c>
      <c r="AB644" s="14">
        <f t="shared" si="11"/>
        <v>0.4842228094</v>
      </c>
    </row>
    <row r="645">
      <c r="A645" s="7">
        <v>2103.0</v>
      </c>
      <c r="B645" s="7" t="str">
        <f>VLOOKUP($A645,product_category,2, False)</f>
        <v>Cereal</v>
      </c>
      <c r="C645" s="7">
        <v>5.24844634E8</v>
      </c>
      <c r="D645" s="9">
        <v>41557.0</v>
      </c>
      <c r="E645" s="10">
        <f t="shared" si="1"/>
        <v>10</v>
      </c>
      <c r="F645" s="10" t="str">
        <f t="shared" si="2"/>
        <v>Oct</v>
      </c>
      <c r="G645" s="11">
        <f t="shared" si="3"/>
        <v>10</v>
      </c>
      <c r="H645" s="7">
        <f t="shared" si="4"/>
        <v>2013</v>
      </c>
      <c r="I645" s="9">
        <v>41560.0</v>
      </c>
      <c r="J645" s="11">
        <f t="shared" si="5"/>
        <v>3</v>
      </c>
      <c r="K645" s="7" t="s">
        <v>110</v>
      </c>
      <c r="L645" s="7" t="s">
        <v>316</v>
      </c>
      <c r="M645" s="7" t="str">
        <f>VLOOKUP(L645,countries, 2,false)</f>
        <v>Greece</v>
      </c>
      <c r="N645" s="7" t="str">
        <f>VLOOKUP(L645,countries, 4,false)</f>
        <v>Europe</v>
      </c>
      <c r="O645" s="7" t="str">
        <f>VLOOKUP(L645,countries, 5,false)</f>
        <v>Southern Europe</v>
      </c>
      <c r="P645" s="7" t="s">
        <v>212</v>
      </c>
      <c r="Q645" s="7">
        <v>2045.0</v>
      </c>
      <c r="R645" s="12">
        <v>205.7</v>
      </c>
      <c r="S645" s="12">
        <v>117.11</v>
      </c>
      <c r="T645" s="13">
        <f t="shared" si="6"/>
        <v>420656.5</v>
      </c>
      <c r="U645" s="13">
        <f t="shared" si="7"/>
        <v>6199.73</v>
      </c>
      <c r="V645" s="13">
        <f t="shared" si="8"/>
        <v>414456.77</v>
      </c>
      <c r="W645" s="14">
        <f>Q645/totals!B$2</f>
        <v>0.0003109545407</v>
      </c>
      <c r="X645" s="14">
        <f t="shared" si="9"/>
        <v>0.4802149281</v>
      </c>
      <c r="Y645" s="14">
        <f>T645/totals!B$5</f>
        <v>0.0002471354399</v>
      </c>
      <c r="Z645" s="14">
        <f t="shared" si="10"/>
        <v>0.4700779393</v>
      </c>
      <c r="AA645" s="14">
        <f>V645/totals!B$4</f>
        <v>0.0008264168018</v>
      </c>
      <c r="AB645" s="14">
        <f t="shared" si="11"/>
        <v>0.4850492262</v>
      </c>
    </row>
    <row r="646">
      <c r="A646" s="7">
        <v>8875.0</v>
      </c>
      <c r="B646" s="7" t="str">
        <f>VLOOKUP($A646,product_category,2, False)</f>
        <v>Meat</v>
      </c>
      <c r="C646" s="7">
        <v>5.24972951E8</v>
      </c>
      <c r="D646" s="9">
        <v>41265.0</v>
      </c>
      <c r="E646" s="10">
        <f t="shared" si="1"/>
        <v>12</v>
      </c>
      <c r="F646" s="10" t="str">
        <f t="shared" si="2"/>
        <v>Dec</v>
      </c>
      <c r="G646" s="11">
        <f t="shared" si="3"/>
        <v>22</v>
      </c>
      <c r="H646" s="7">
        <f t="shared" si="4"/>
        <v>2012</v>
      </c>
      <c r="I646" s="9">
        <v>41291.0</v>
      </c>
      <c r="J646" s="11">
        <f t="shared" si="5"/>
        <v>26</v>
      </c>
      <c r="K646" s="7" t="s">
        <v>322</v>
      </c>
      <c r="L646" s="7" t="s">
        <v>609</v>
      </c>
      <c r="M646" s="7" t="str">
        <f>VLOOKUP(L646,countries, 2,false)</f>
        <v>Romania</v>
      </c>
      <c r="N646" s="7" t="str">
        <f>VLOOKUP(L646,countries, 4,false)</f>
        <v>Europe</v>
      </c>
      <c r="O646" s="7" t="str">
        <f>VLOOKUP(L646,countries, 5,false)</f>
        <v>Eastern Europe</v>
      </c>
      <c r="P646" s="7" t="s">
        <v>212</v>
      </c>
      <c r="Q646" s="7">
        <v>17.0</v>
      </c>
      <c r="R646" s="12">
        <v>421.89</v>
      </c>
      <c r="S646" s="12">
        <v>364.69</v>
      </c>
      <c r="T646" s="13">
        <f t="shared" si="6"/>
        <v>7172.13</v>
      </c>
      <c r="U646" s="13">
        <f t="shared" si="7"/>
        <v>1576970.52</v>
      </c>
      <c r="V646" s="13">
        <f t="shared" si="8"/>
        <v>-1569798.39</v>
      </c>
      <c r="W646" s="14">
        <f>Q646/totals!B$2</f>
        <v>0.000002584952172</v>
      </c>
      <c r="X646" s="14">
        <f t="shared" si="9"/>
        <v>0.4802175131</v>
      </c>
      <c r="Y646" s="14">
        <f>T646/totals!B$5</f>
        <v>0.000004213622046</v>
      </c>
      <c r="Z646" s="14">
        <f t="shared" si="10"/>
        <v>0.4700821529</v>
      </c>
      <c r="AA646" s="14">
        <f>V646/totals!B$4</f>
        <v>-0.003130140123</v>
      </c>
      <c r="AB646" s="14">
        <f t="shared" si="11"/>
        <v>0.4819190861</v>
      </c>
    </row>
    <row r="647">
      <c r="A647" s="7">
        <v>7940.0</v>
      </c>
      <c r="B647" s="7" t="str">
        <f>VLOOKUP($A647,product_category,2, False)</f>
        <v>Household</v>
      </c>
      <c r="C647" s="7">
        <v>5.25321424E8</v>
      </c>
      <c r="D647" s="9">
        <v>41998.0</v>
      </c>
      <c r="E647" s="10">
        <f t="shared" si="1"/>
        <v>12</v>
      </c>
      <c r="F647" s="10" t="str">
        <f t="shared" si="2"/>
        <v>Dec</v>
      </c>
      <c r="G647" s="11">
        <f t="shared" si="3"/>
        <v>25</v>
      </c>
      <c r="H647" s="7">
        <f t="shared" si="4"/>
        <v>2014</v>
      </c>
      <c r="I647" s="9">
        <v>42004.0</v>
      </c>
      <c r="J647" s="11">
        <f t="shared" si="5"/>
        <v>6</v>
      </c>
      <c r="K647" s="7" t="s">
        <v>382</v>
      </c>
      <c r="L647" s="7" t="s">
        <v>323</v>
      </c>
      <c r="M647" s="7" t="str">
        <f>VLOOKUP(L647,countries, 2,false)</f>
        <v>Montenegro</v>
      </c>
      <c r="N647" s="7" t="str">
        <f>VLOOKUP(L647,countries, 4,false)</f>
        <v>Europe</v>
      </c>
      <c r="O647" s="7" t="str">
        <f>VLOOKUP(L647,countries, 5,false)</f>
        <v>Southern Europe</v>
      </c>
      <c r="P647" s="7" t="s">
        <v>129</v>
      </c>
      <c r="Q647" s="7">
        <v>3138.0</v>
      </c>
      <c r="R647" s="12">
        <v>668.27</v>
      </c>
      <c r="S647" s="12">
        <v>502.54</v>
      </c>
      <c r="T647" s="13">
        <f t="shared" si="6"/>
        <v>2097031.26</v>
      </c>
      <c r="U647" s="13">
        <f t="shared" si="7"/>
        <v>1249852.8</v>
      </c>
      <c r="V647" s="13">
        <f t="shared" si="8"/>
        <v>847178.46</v>
      </c>
      <c r="W647" s="14">
        <f>Q647/totals!B$2</f>
        <v>0.0004771517598</v>
      </c>
      <c r="X647" s="14">
        <f t="shared" si="9"/>
        <v>0.4806946648</v>
      </c>
      <c r="Y647" s="14">
        <f>T647/totals!B$5</f>
        <v>0.0012320046</v>
      </c>
      <c r="Z647" s="14">
        <f t="shared" si="10"/>
        <v>0.4713141575</v>
      </c>
      <c r="AA647" s="14">
        <f>V647/totals!B$4</f>
        <v>0.001689253413</v>
      </c>
      <c r="AB647" s="14">
        <f t="shared" si="11"/>
        <v>0.4836083395</v>
      </c>
    </row>
    <row r="648">
      <c r="A648" s="7">
        <v>7331.0</v>
      </c>
      <c r="B648" s="7" t="str">
        <f>VLOOKUP($A648,product_category,2, False)</f>
        <v>Baby Food</v>
      </c>
      <c r="C648" s="7">
        <v>5.25472486E8</v>
      </c>
      <c r="D648" s="9">
        <v>42329.0</v>
      </c>
      <c r="E648" s="10">
        <f t="shared" si="1"/>
        <v>11</v>
      </c>
      <c r="F648" s="10" t="str">
        <f t="shared" si="2"/>
        <v>Nov</v>
      </c>
      <c r="G648" s="11">
        <f t="shared" si="3"/>
        <v>21</v>
      </c>
      <c r="H648" s="7">
        <f t="shared" si="4"/>
        <v>2015</v>
      </c>
      <c r="I648" s="9">
        <v>42331.0</v>
      </c>
      <c r="J648" s="11">
        <f t="shared" si="5"/>
        <v>2</v>
      </c>
      <c r="K648" s="7" t="s">
        <v>110</v>
      </c>
      <c r="L648" s="7" t="s">
        <v>460</v>
      </c>
      <c r="M648" s="7" t="str">
        <f>VLOOKUP(L648,countries, 2,false)</f>
        <v>Macedonia</v>
      </c>
      <c r="N648" s="7" t="str">
        <f>VLOOKUP(L648,countries, 4,false)</f>
        <v>Europe</v>
      </c>
      <c r="O648" s="7" t="str">
        <f>VLOOKUP(L648,countries, 5,false)</f>
        <v>Southern Europe</v>
      </c>
      <c r="P648" s="7" t="s">
        <v>129</v>
      </c>
      <c r="Q648" s="7">
        <v>7840.0</v>
      </c>
      <c r="R648" s="12">
        <v>255.28</v>
      </c>
      <c r="S648" s="12">
        <v>159.42</v>
      </c>
      <c r="T648" s="13">
        <f t="shared" si="6"/>
        <v>2001395.2</v>
      </c>
      <c r="U648" s="13">
        <f t="shared" si="7"/>
        <v>962707.2</v>
      </c>
      <c r="V648" s="13">
        <f t="shared" si="8"/>
        <v>1038688</v>
      </c>
      <c r="W648" s="14">
        <f>Q648/totals!B$2</f>
        <v>0.001192119119</v>
      </c>
      <c r="X648" s="14">
        <f t="shared" si="9"/>
        <v>0.481886784</v>
      </c>
      <c r="Y648" s="14">
        <f>T648/totals!B$5</f>
        <v>0.001175818472</v>
      </c>
      <c r="Z648" s="14">
        <f t="shared" si="10"/>
        <v>0.472489976</v>
      </c>
      <c r="AA648" s="14">
        <f>V648/totals!B$4</f>
        <v>0.002071118817</v>
      </c>
      <c r="AB648" s="14">
        <f t="shared" si="11"/>
        <v>0.4856794583</v>
      </c>
    </row>
    <row r="649">
      <c r="A649" s="7">
        <v>8969.0</v>
      </c>
      <c r="B649" s="7" t="str">
        <f>VLOOKUP($A649,product_category,2, False)</f>
        <v>Snacks</v>
      </c>
      <c r="C649" s="7">
        <v>5.25749719E8</v>
      </c>
      <c r="D649" s="9">
        <v>41161.0</v>
      </c>
      <c r="E649" s="10">
        <f t="shared" si="1"/>
        <v>9</v>
      </c>
      <c r="F649" s="10" t="str">
        <f t="shared" si="2"/>
        <v>Sep</v>
      </c>
      <c r="G649" s="11">
        <f t="shared" si="3"/>
        <v>9</v>
      </c>
      <c r="H649" s="7">
        <f t="shared" si="4"/>
        <v>2012</v>
      </c>
      <c r="I649" s="9">
        <v>41204.0</v>
      </c>
      <c r="J649" s="11">
        <f t="shared" si="5"/>
        <v>43</v>
      </c>
      <c r="K649" s="7" t="s">
        <v>322</v>
      </c>
      <c r="L649" s="7" t="s">
        <v>107</v>
      </c>
      <c r="M649" s="7" t="str">
        <f>VLOOKUP(L649,countries, 2,false)</f>
        <v>Belarus</v>
      </c>
      <c r="N649" s="7" t="str">
        <f>VLOOKUP(L649,countries, 4,false)</f>
        <v>Europe</v>
      </c>
      <c r="O649" s="7" t="str">
        <f>VLOOKUP(L649,countries, 5,false)</f>
        <v>Eastern Europe</v>
      </c>
      <c r="P649" s="7" t="s">
        <v>129</v>
      </c>
      <c r="Q649" s="7">
        <v>9880.0</v>
      </c>
      <c r="R649" s="12">
        <v>152.58</v>
      </c>
      <c r="S649" s="12">
        <v>97.44</v>
      </c>
      <c r="T649" s="13">
        <f t="shared" si="6"/>
        <v>1507490.4</v>
      </c>
      <c r="U649" s="13">
        <f t="shared" si="7"/>
        <v>2469772.07</v>
      </c>
      <c r="V649" s="13">
        <f t="shared" si="8"/>
        <v>-962281.67</v>
      </c>
      <c r="W649" s="14">
        <f>Q649/totals!B$2</f>
        <v>0.00150231338</v>
      </c>
      <c r="X649" s="14">
        <f t="shared" si="9"/>
        <v>0.4833890973</v>
      </c>
      <c r="Y649" s="14">
        <f>T649/totals!B$5</f>
        <v>0.0008856497002</v>
      </c>
      <c r="Z649" s="14">
        <f t="shared" si="10"/>
        <v>0.4733756257</v>
      </c>
      <c r="AA649" s="14">
        <f>V649/totals!B$4</f>
        <v>-0.001918766438</v>
      </c>
      <c r="AB649" s="14">
        <f t="shared" si="11"/>
        <v>0.4837606919</v>
      </c>
    </row>
    <row r="650">
      <c r="A650" s="7">
        <v>8293.0</v>
      </c>
      <c r="B650" s="7" t="str">
        <f>VLOOKUP($A650,product_category,2, False)</f>
        <v>Cosmetics</v>
      </c>
      <c r="C650" s="7">
        <v>5.26018369E8</v>
      </c>
      <c r="D650" s="9">
        <v>40697.0</v>
      </c>
      <c r="E650" s="10">
        <f t="shared" si="1"/>
        <v>6</v>
      </c>
      <c r="F650" s="10" t="str">
        <f t="shared" si="2"/>
        <v>Jun</v>
      </c>
      <c r="G650" s="11">
        <f t="shared" si="3"/>
        <v>3</v>
      </c>
      <c r="H650" s="7">
        <f t="shared" si="4"/>
        <v>2011</v>
      </c>
      <c r="I650" s="9">
        <v>40715.0</v>
      </c>
      <c r="J650" s="11">
        <f t="shared" si="5"/>
        <v>18</v>
      </c>
      <c r="K650" s="7" t="s">
        <v>110</v>
      </c>
      <c r="L650" s="7" t="e">
        <v>#N/A</v>
      </c>
      <c r="M650" s="7"/>
      <c r="N650" s="7"/>
      <c r="O650" s="7"/>
      <c r="P650" s="7" t="s">
        <v>129</v>
      </c>
      <c r="Q650" s="7">
        <v>9379.0</v>
      </c>
      <c r="R650" s="12">
        <v>437.2</v>
      </c>
      <c r="S650" s="12">
        <v>263.33</v>
      </c>
      <c r="T650" s="13">
        <f t="shared" si="6"/>
        <v>4100498.8</v>
      </c>
      <c r="U650" s="13">
        <f t="shared" si="7"/>
        <v>270484.48</v>
      </c>
      <c r="V650" s="13">
        <f t="shared" si="8"/>
        <v>3830014.32</v>
      </c>
      <c r="W650" s="14">
        <f>Q650/totals!B$2</f>
        <v>0.001426133319</v>
      </c>
      <c r="X650" s="14">
        <f t="shared" si="9"/>
        <v>0.4848152307</v>
      </c>
      <c r="Y650" s="14">
        <f>T650/totals!B$5</f>
        <v>0.00240904057</v>
      </c>
      <c r="Z650" s="14">
        <f t="shared" si="10"/>
        <v>0.4757846663</v>
      </c>
      <c r="AA650" s="14">
        <f>V650/totals!B$4</f>
        <v>0.007636956166</v>
      </c>
      <c r="AB650" s="14">
        <f t="shared" si="11"/>
        <v>0.491397648</v>
      </c>
    </row>
    <row r="651">
      <c r="A651" s="7">
        <v>2455.0</v>
      </c>
      <c r="B651" s="7" t="str">
        <f>VLOOKUP($A651,product_category,2, False)</f>
        <v>Clothes</v>
      </c>
      <c r="C651" s="7">
        <v>5.26350104E8</v>
      </c>
      <c r="D651" s="9">
        <v>40866.0</v>
      </c>
      <c r="E651" s="10">
        <f t="shared" si="1"/>
        <v>11</v>
      </c>
      <c r="F651" s="10" t="str">
        <f t="shared" si="2"/>
        <v>Nov</v>
      </c>
      <c r="G651" s="11">
        <f t="shared" si="3"/>
        <v>19</v>
      </c>
      <c r="H651" s="7">
        <f t="shared" si="4"/>
        <v>2011</v>
      </c>
      <c r="I651" s="9">
        <v>40881.0</v>
      </c>
      <c r="J651" s="11">
        <f t="shared" si="5"/>
        <v>15</v>
      </c>
      <c r="K651" s="7" t="s">
        <v>110</v>
      </c>
      <c r="L651" s="7" t="s">
        <v>323</v>
      </c>
      <c r="M651" s="7" t="str">
        <f>VLOOKUP(L651,countries, 2,false)</f>
        <v>Montenegro</v>
      </c>
      <c r="N651" s="7" t="str">
        <f>VLOOKUP(L651,countries, 4,false)</f>
        <v>Europe</v>
      </c>
      <c r="O651" s="7" t="str">
        <f>VLOOKUP(L651,countries, 5,false)</f>
        <v>Southern Europe</v>
      </c>
      <c r="P651" s="7" t="s">
        <v>212</v>
      </c>
      <c r="Q651" s="7">
        <v>7547.0</v>
      </c>
      <c r="R651" s="12">
        <v>109.28</v>
      </c>
      <c r="S651" s="12">
        <v>35.84</v>
      </c>
      <c r="T651" s="13">
        <f t="shared" si="6"/>
        <v>824736.16</v>
      </c>
      <c r="U651" s="13">
        <f t="shared" si="7"/>
        <v>12283</v>
      </c>
      <c r="V651" s="13">
        <f t="shared" si="8"/>
        <v>812453.16</v>
      </c>
      <c r="W651" s="14">
        <f>Q651/totals!B$2</f>
        <v>0.001147566708</v>
      </c>
      <c r="X651" s="14">
        <f t="shared" si="9"/>
        <v>0.4859627974</v>
      </c>
      <c r="Y651" s="14">
        <f>T651/totals!B$5</f>
        <v>0.0004845319962</v>
      </c>
      <c r="Z651" s="14">
        <f t="shared" si="10"/>
        <v>0.4762691983</v>
      </c>
      <c r="AA651" s="14">
        <f>V651/totals!B$4</f>
        <v>0.001620012003</v>
      </c>
      <c r="AB651" s="14">
        <f t="shared" si="11"/>
        <v>0.49301766</v>
      </c>
    </row>
    <row r="652">
      <c r="A652" s="7">
        <v>4594.0</v>
      </c>
      <c r="B652" s="7" t="str">
        <f>VLOOKUP($A652,product_category,2, False)</f>
        <v>Fruits</v>
      </c>
      <c r="C652" s="7">
        <v>5.26533353E8</v>
      </c>
      <c r="D652" s="9">
        <v>42706.0</v>
      </c>
      <c r="E652" s="10">
        <f t="shared" si="1"/>
        <v>12</v>
      </c>
      <c r="F652" s="10" t="str">
        <f t="shared" si="2"/>
        <v>Dec</v>
      </c>
      <c r="G652" s="11">
        <f t="shared" si="3"/>
        <v>2</v>
      </c>
      <c r="H652" s="7">
        <f t="shared" si="4"/>
        <v>2016</v>
      </c>
      <c r="I652" s="9">
        <v>42747.0</v>
      </c>
      <c r="J652" s="11">
        <f t="shared" si="5"/>
        <v>41</v>
      </c>
      <c r="K652" s="7" t="s">
        <v>110</v>
      </c>
      <c r="L652" s="7" t="s">
        <v>304</v>
      </c>
      <c r="M652" s="7" t="str">
        <f>VLOOKUP(L652,countries, 2,false)</f>
        <v>Georgia</v>
      </c>
      <c r="N652" s="7" t="str">
        <f>VLOOKUP(L652,countries, 4,false)</f>
        <v>Asia</v>
      </c>
      <c r="O652" s="7" t="str">
        <f>VLOOKUP(L652,countries, 5,false)</f>
        <v>Western Asia</v>
      </c>
      <c r="P652" s="7" t="s">
        <v>129</v>
      </c>
      <c r="Q652" s="7">
        <v>1775.0</v>
      </c>
      <c r="R652" s="12">
        <v>9.33</v>
      </c>
      <c r="S652" s="12">
        <v>6.92</v>
      </c>
      <c r="T652" s="13">
        <f t="shared" si="6"/>
        <v>16560.75</v>
      </c>
      <c r="U652" s="13">
        <f t="shared" si="7"/>
        <v>301342.02</v>
      </c>
      <c r="V652" s="13">
        <f t="shared" si="8"/>
        <v>-284781.27</v>
      </c>
      <c r="W652" s="14">
        <f>Q652/totals!B$2</f>
        <v>0.000269899418</v>
      </c>
      <c r="X652" s="14">
        <f t="shared" si="9"/>
        <v>0.4862326968</v>
      </c>
      <c r="Y652" s="14">
        <f>T652/totals!B$5</f>
        <v>0.00000972943063</v>
      </c>
      <c r="Z652" s="14">
        <f t="shared" si="10"/>
        <v>0.4762789277</v>
      </c>
      <c r="AA652" s="14">
        <f>V652/totals!B$4</f>
        <v>-0.0005678469828</v>
      </c>
      <c r="AB652" s="14">
        <f t="shared" si="11"/>
        <v>0.4924498131</v>
      </c>
    </row>
    <row r="653">
      <c r="A653" s="7">
        <v>5988.0</v>
      </c>
      <c r="B653" s="7" t="str">
        <f>VLOOKUP($A653,product_category,2, False)</f>
        <v>Vegetables</v>
      </c>
      <c r="C653" s="7">
        <v>5.27079236E8</v>
      </c>
      <c r="D653" s="9">
        <v>41074.0</v>
      </c>
      <c r="E653" s="10">
        <f t="shared" si="1"/>
        <v>6</v>
      </c>
      <c r="F653" s="10" t="str">
        <f t="shared" si="2"/>
        <v>Jun</v>
      </c>
      <c r="G653" s="11">
        <f t="shared" si="3"/>
        <v>14</v>
      </c>
      <c r="H653" s="7">
        <f t="shared" si="4"/>
        <v>2012</v>
      </c>
      <c r="I653" s="9">
        <v>41080.0</v>
      </c>
      <c r="J653" s="11">
        <f t="shared" si="5"/>
        <v>6</v>
      </c>
      <c r="K653" s="7" t="s">
        <v>110</v>
      </c>
      <c r="L653" s="7" t="s">
        <v>234</v>
      </c>
      <c r="M653" s="7" t="str">
        <f>VLOOKUP(L653,countries, 2,false)</f>
        <v>Czech Republic</v>
      </c>
      <c r="N653" s="7" t="str">
        <f>VLOOKUP(L653,countries, 4,false)</f>
        <v>Europe</v>
      </c>
      <c r="O653" s="7" t="str">
        <f>VLOOKUP(L653,countries, 5,false)</f>
        <v>Eastern Europe</v>
      </c>
      <c r="P653" s="7" t="s">
        <v>129</v>
      </c>
      <c r="Q653" s="7">
        <v>3314.0</v>
      </c>
      <c r="R653" s="12">
        <v>154.06</v>
      </c>
      <c r="S653" s="12">
        <v>90.93</v>
      </c>
      <c r="T653" s="13">
        <f t="shared" si="6"/>
        <v>510554.84</v>
      </c>
      <c r="U653" s="13">
        <f t="shared" si="7"/>
        <v>384165.93</v>
      </c>
      <c r="V653" s="13">
        <f t="shared" si="8"/>
        <v>126388.91</v>
      </c>
      <c r="W653" s="14">
        <f>Q653/totals!B$2</f>
        <v>0.0005039136176</v>
      </c>
      <c r="X653" s="14">
        <f t="shared" si="9"/>
        <v>0.4867366104</v>
      </c>
      <c r="Y653" s="14">
        <f>T653/totals!B$5</f>
        <v>0.0002999506604</v>
      </c>
      <c r="Z653" s="14">
        <f t="shared" si="10"/>
        <v>0.4765788784</v>
      </c>
      <c r="AA653" s="14">
        <f>V653/totals!B$4</f>
        <v>0.0002520164378</v>
      </c>
      <c r="AB653" s="14">
        <f t="shared" si="11"/>
        <v>0.4927018295</v>
      </c>
    </row>
    <row r="654">
      <c r="A654" s="7">
        <v>3127.0</v>
      </c>
      <c r="B654" s="7" t="str">
        <f>VLOOKUP($A654,product_category,2, False)</f>
        <v>Personal Care</v>
      </c>
      <c r="C654" s="7">
        <v>5.2725991E8</v>
      </c>
      <c r="D654" s="9">
        <v>40912.0</v>
      </c>
      <c r="E654" s="10">
        <f t="shared" si="1"/>
        <v>1</v>
      </c>
      <c r="F654" s="10" t="str">
        <f t="shared" si="2"/>
        <v>Jan</v>
      </c>
      <c r="G654" s="11">
        <f t="shared" si="3"/>
        <v>4</v>
      </c>
      <c r="H654" s="7">
        <f t="shared" si="4"/>
        <v>2012</v>
      </c>
      <c r="I654" s="9">
        <v>40919.0</v>
      </c>
      <c r="J654" s="11">
        <f t="shared" si="5"/>
        <v>7</v>
      </c>
      <c r="K654" s="7" t="s">
        <v>382</v>
      </c>
      <c r="L654" s="7" t="s">
        <v>448</v>
      </c>
      <c r="M654" s="7" t="str">
        <f>VLOOKUP(L654,countries, 2,false)</f>
        <v>Liechtenstein</v>
      </c>
      <c r="N654" s="7" t="str">
        <f>VLOOKUP(L654,countries, 4,false)</f>
        <v>Europe</v>
      </c>
      <c r="O654" s="7" t="str">
        <f>VLOOKUP(L654,countries, 5,false)</f>
        <v>Western Europe</v>
      </c>
      <c r="P654" s="7" t="s">
        <v>129</v>
      </c>
      <c r="Q654" s="7">
        <v>6779.0</v>
      </c>
      <c r="R654" s="12">
        <v>81.73</v>
      </c>
      <c r="S654" s="12">
        <v>56.67</v>
      </c>
      <c r="T654" s="13">
        <f t="shared" si="6"/>
        <v>554047.67</v>
      </c>
      <c r="U654" s="13">
        <f t="shared" si="7"/>
        <v>362747.36</v>
      </c>
      <c r="V654" s="13">
        <f t="shared" si="8"/>
        <v>191300.31</v>
      </c>
      <c r="W654" s="14">
        <f>Q654/totals!B$2</f>
        <v>0.001030787693</v>
      </c>
      <c r="X654" s="14">
        <f t="shared" si="9"/>
        <v>0.4877673981</v>
      </c>
      <c r="Y654" s="14">
        <f>T654/totals!B$5</f>
        <v>0.0003255026717</v>
      </c>
      <c r="Z654" s="14">
        <f t="shared" si="10"/>
        <v>0.476904381</v>
      </c>
      <c r="AA654" s="14">
        <f>V654/totals!B$4</f>
        <v>0.0003814482036</v>
      </c>
      <c r="AB654" s="14">
        <f t="shared" si="11"/>
        <v>0.4930832777</v>
      </c>
    </row>
    <row r="655">
      <c r="A655" s="7">
        <v>8681.0</v>
      </c>
      <c r="B655" s="7" t="str">
        <f>VLOOKUP($A655,product_category,2, False)</f>
        <v>Office Supplies</v>
      </c>
      <c r="C655" s="7">
        <v>5.27509677E8</v>
      </c>
      <c r="D655" s="9">
        <v>41444.0</v>
      </c>
      <c r="E655" s="10">
        <f t="shared" si="1"/>
        <v>6</v>
      </c>
      <c r="F655" s="10" t="str">
        <f t="shared" si="2"/>
        <v>Jun</v>
      </c>
      <c r="G655" s="11">
        <f t="shared" si="3"/>
        <v>19</v>
      </c>
      <c r="H655" s="7">
        <f t="shared" si="4"/>
        <v>2013</v>
      </c>
      <c r="I655" s="9">
        <v>41465.0</v>
      </c>
      <c r="J655" s="11">
        <f t="shared" si="5"/>
        <v>21</v>
      </c>
      <c r="K655" s="7" t="s">
        <v>198</v>
      </c>
      <c r="L655" s="7" t="s">
        <v>367</v>
      </c>
      <c r="M655" s="7" t="str">
        <f>VLOOKUP(L655,countries, 2,false)</f>
        <v>Iceland</v>
      </c>
      <c r="N655" s="7" t="str">
        <f>VLOOKUP(L655,countries, 4,false)</f>
        <v>Europe</v>
      </c>
      <c r="O655" s="7" t="str">
        <f>VLOOKUP(L655,countries, 5,false)</f>
        <v>Northern Europe</v>
      </c>
      <c r="P655" s="7" t="s">
        <v>129</v>
      </c>
      <c r="Q655" s="7">
        <v>691.0</v>
      </c>
      <c r="R655" s="12">
        <v>651.21</v>
      </c>
      <c r="S655" s="12">
        <v>524.96</v>
      </c>
      <c r="T655" s="13">
        <f t="shared" si="6"/>
        <v>449986.11</v>
      </c>
      <c r="U655" s="13">
        <f t="shared" si="7"/>
        <v>192460.8</v>
      </c>
      <c r="V655" s="13">
        <f t="shared" si="8"/>
        <v>257525.31</v>
      </c>
      <c r="W655" s="14">
        <f>Q655/totals!B$2</f>
        <v>0.000105070703</v>
      </c>
      <c r="X655" s="14">
        <f t="shared" si="9"/>
        <v>0.4878724688</v>
      </c>
      <c r="Y655" s="14">
        <f>T655/totals!B$5</f>
        <v>0.000264366568</v>
      </c>
      <c r="Z655" s="14">
        <f t="shared" si="10"/>
        <v>0.4771687476</v>
      </c>
      <c r="AA655" s="14">
        <f>V655/totals!B$4</f>
        <v>0.0005134992561</v>
      </c>
      <c r="AB655" s="14">
        <f t="shared" si="11"/>
        <v>0.4935967769</v>
      </c>
    </row>
    <row r="656">
      <c r="A656" s="7">
        <v>2455.0</v>
      </c>
      <c r="B656" s="7" t="str">
        <f>VLOOKUP($A656,product_category,2, False)</f>
        <v>Clothes</v>
      </c>
      <c r="C656" s="7">
        <v>5.30262696E8</v>
      </c>
      <c r="D656" s="9">
        <v>41028.0</v>
      </c>
      <c r="E656" s="10">
        <f t="shared" si="1"/>
        <v>4</v>
      </c>
      <c r="F656" s="10" t="str">
        <f t="shared" si="2"/>
        <v>Apr</v>
      </c>
      <c r="G656" s="11">
        <f t="shared" si="3"/>
        <v>29</v>
      </c>
      <c r="H656" s="7">
        <f t="shared" si="4"/>
        <v>2012</v>
      </c>
      <c r="I656" s="9">
        <v>41040.0</v>
      </c>
      <c r="J656" s="11">
        <f t="shared" si="5"/>
        <v>12</v>
      </c>
      <c r="K656" s="7" t="s">
        <v>198</v>
      </c>
      <c r="L656" s="7" t="s">
        <v>451</v>
      </c>
      <c r="M656" s="7" t="str">
        <f>VLOOKUP(L656,countries, 2,false)</f>
        <v>Lithuania</v>
      </c>
      <c r="N656" s="7" t="str">
        <f>VLOOKUP(L656,countries, 4,false)</f>
        <v>Europe</v>
      </c>
      <c r="O656" s="7" t="str">
        <f>VLOOKUP(L656,countries, 5,false)</f>
        <v>Northern Europe</v>
      </c>
      <c r="P656" s="7" t="s">
        <v>212</v>
      </c>
      <c r="Q656" s="7">
        <v>5370.0</v>
      </c>
      <c r="R656" s="12">
        <v>109.28</v>
      </c>
      <c r="S656" s="12">
        <v>35.84</v>
      </c>
      <c r="T656" s="13">
        <f t="shared" si="6"/>
        <v>586833.6</v>
      </c>
      <c r="U656" s="13">
        <f t="shared" si="7"/>
        <v>883346.22</v>
      </c>
      <c r="V656" s="13">
        <f t="shared" si="8"/>
        <v>-296512.62</v>
      </c>
      <c r="W656" s="14">
        <f>Q656/totals!B$2</f>
        <v>0.0008165407744</v>
      </c>
      <c r="X656" s="14">
        <f t="shared" si="9"/>
        <v>0.4886890096</v>
      </c>
      <c r="Y656" s="14">
        <f>T656/totals!B$5</f>
        <v>0.0003447643858</v>
      </c>
      <c r="Z656" s="14">
        <f t="shared" si="10"/>
        <v>0.477513512</v>
      </c>
      <c r="AA656" s="14">
        <f>V656/totals!B$4</f>
        <v>-0.0005912390118</v>
      </c>
      <c r="AB656" s="14">
        <f t="shared" si="11"/>
        <v>0.4930055379</v>
      </c>
    </row>
    <row r="657">
      <c r="A657" s="7">
        <v>7331.0</v>
      </c>
      <c r="B657" s="7" t="str">
        <f>VLOOKUP($A657,product_category,2, False)</f>
        <v>Baby Food</v>
      </c>
      <c r="C657" s="7">
        <v>5.30702579E8</v>
      </c>
      <c r="D657" s="9">
        <v>42284.0</v>
      </c>
      <c r="E657" s="10">
        <f t="shared" si="1"/>
        <v>10</v>
      </c>
      <c r="F657" s="10" t="str">
        <f t="shared" si="2"/>
        <v>Oct</v>
      </c>
      <c r="G657" s="11">
        <f t="shared" si="3"/>
        <v>7</v>
      </c>
      <c r="H657" s="7">
        <f t="shared" si="4"/>
        <v>2015</v>
      </c>
      <c r="I657" s="9">
        <v>42317.0</v>
      </c>
      <c r="J657" s="11">
        <f t="shared" si="5"/>
        <v>33</v>
      </c>
      <c r="K657" s="7" t="s">
        <v>110</v>
      </c>
      <c r="L657" s="7" t="s">
        <v>762</v>
      </c>
      <c r="M657" s="7" t="str">
        <f>VLOOKUP(L657,countries, 2,false)</f>
        <v>United Kingdom</v>
      </c>
      <c r="N657" s="7" t="str">
        <f>VLOOKUP(L657,countries, 4,false)</f>
        <v>Europe</v>
      </c>
      <c r="O657" s="7" t="str">
        <f>VLOOKUP(L657,countries, 5,false)</f>
        <v>Northern Europe</v>
      </c>
      <c r="P657" s="7" t="s">
        <v>212</v>
      </c>
      <c r="Q657" s="7">
        <v>5541.0</v>
      </c>
      <c r="R657" s="12">
        <v>255.28</v>
      </c>
      <c r="S657" s="12">
        <v>159.42</v>
      </c>
      <c r="T657" s="13">
        <f t="shared" si="6"/>
        <v>1414506.48</v>
      </c>
      <c r="U657" s="13">
        <f t="shared" si="7"/>
        <v>3192131.57</v>
      </c>
      <c r="V657" s="13">
        <f t="shared" si="8"/>
        <v>-1777625.09</v>
      </c>
      <c r="W657" s="14">
        <f>Q657/totals!B$2</f>
        <v>0.0008425423522</v>
      </c>
      <c r="X657" s="14">
        <f t="shared" si="9"/>
        <v>0.4895315519</v>
      </c>
      <c r="Y657" s="14">
        <f>T657/totals!B$5</f>
        <v>0.0008310217033</v>
      </c>
      <c r="Z657" s="14">
        <f t="shared" si="10"/>
        <v>0.4783445337</v>
      </c>
      <c r="AA657" s="14">
        <f>V657/totals!B$4</f>
        <v>-0.003544541549</v>
      </c>
      <c r="AB657" s="14">
        <f t="shared" si="11"/>
        <v>0.4894609964</v>
      </c>
    </row>
    <row r="658">
      <c r="A658" s="7">
        <v>8875.0</v>
      </c>
      <c r="B658" s="7" t="str">
        <f>VLOOKUP($A658,product_category,2, False)</f>
        <v>Meat</v>
      </c>
      <c r="C658" s="7">
        <v>5.30882394E8</v>
      </c>
      <c r="D658" s="9">
        <v>40533.0</v>
      </c>
      <c r="E658" s="10">
        <f t="shared" si="1"/>
        <v>12</v>
      </c>
      <c r="F658" s="10" t="str">
        <f t="shared" si="2"/>
        <v>Dec</v>
      </c>
      <c r="G658" s="11">
        <f t="shared" si="3"/>
        <v>21</v>
      </c>
      <c r="H658" s="7">
        <f t="shared" si="4"/>
        <v>2010</v>
      </c>
      <c r="I658" s="9">
        <v>40576.0</v>
      </c>
      <c r="J658" s="11">
        <f t="shared" si="5"/>
        <v>43</v>
      </c>
      <c r="K658" s="7" t="s">
        <v>110</v>
      </c>
      <c r="L658" s="7" t="s">
        <v>222</v>
      </c>
      <c r="M658" s="7" t="str">
        <f>VLOOKUP(L658,countries, 2,false)</f>
        <v>Croatia</v>
      </c>
      <c r="N658" s="7" t="str">
        <f>VLOOKUP(L658,countries, 4,false)</f>
        <v>Europe</v>
      </c>
      <c r="O658" s="7" t="str">
        <f>VLOOKUP(L658,countries, 5,false)</f>
        <v>Southern Europe</v>
      </c>
      <c r="P658" s="7" t="s">
        <v>129</v>
      </c>
      <c r="Q658" s="7">
        <v>8753.0</v>
      </c>
      <c r="R658" s="12">
        <v>421.89</v>
      </c>
      <c r="S658" s="12">
        <v>364.69</v>
      </c>
      <c r="T658" s="13">
        <f t="shared" si="6"/>
        <v>3692803.17</v>
      </c>
      <c r="U658" s="13">
        <f t="shared" si="7"/>
        <v>2547724.34</v>
      </c>
      <c r="V658" s="13">
        <f t="shared" si="8"/>
        <v>1145078.83</v>
      </c>
      <c r="W658" s="14">
        <f>Q658/totals!B$2</f>
        <v>0.001330946257</v>
      </c>
      <c r="X658" s="14">
        <f t="shared" si="9"/>
        <v>0.4908624982</v>
      </c>
      <c r="Y658" s="14">
        <f>T658/totals!B$5</f>
        <v>0.002169519634</v>
      </c>
      <c r="Z658" s="14">
        <f t="shared" si="10"/>
        <v>0.4805140533</v>
      </c>
      <c r="AA658" s="14">
        <f>V658/totals!B$4</f>
        <v>0.002283259565</v>
      </c>
      <c r="AB658" s="14">
        <f t="shared" si="11"/>
        <v>0.491744256</v>
      </c>
    </row>
    <row r="659">
      <c r="A659" s="7">
        <v>8875.0</v>
      </c>
      <c r="B659" s="7" t="str">
        <f>VLOOKUP($A659,product_category,2, False)</f>
        <v>Meat</v>
      </c>
      <c r="C659" s="7">
        <v>5.31281936E8</v>
      </c>
      <c r="D659" s="9">
        <v>41778.0</v>
      </c>
      <c r="E659" s="10">
        <f t="shared" si="1"/>
        <v>5</v>
      </c>
      <c r="F659" s="10" t="str">
        <f t="shared" si="2"/>
        <v>May</v>
      </c>
      <c r="G659" s="11">
        <f t="shared" si="3"/>
        <v>19</v>
      </c>
      <c r="H659" s="7">
        <f t="shared" si="4"/>
        <v>2014</v>
      </c>
      <c r="I659" s="9">
        <v>41793.0</v>
      </c>
      <c r="J659" s="11">
        <f t="shared" si="5"/>
        <v>15</v>
      </c>
      <c r="K659" s="7" t="s">
        <v>198</v>
      </c>
      <c r="L659" s="7" t="s">
        <v>286</v>
      </c>
      <c r="M659" s="7" t="str">
        <f>VLOOKUP(L659,countries, 2,false)</f>
        <v>France</v>
      </c>
      <c r="N659" s="7" t="str">
        <f>VLOOKUP(L659,countries, 4,false)</f>
        <v>Europe</v>
      </c>
      <c r="O659" s="7" t="str">
        <f>VLOOKUP(L659,countries, 5,false)</f>
        <v>Western Europe</v>
      </c>
      <c r="P659" s="7" t="s">
        <v>129</v>
      </c>
      <c r="Q659" s="7">
        <v>6986.0</v>
      </c>
      <c r="R659" s="12">
        <v>421.89</v>
      </c>
      <c r="S659" s="12">
        <v>364.69</v>
      </c>
      <c r="T659" s="13">
        <f t="shared" si="6"/>
        <v>2947323.54</v>
      </c>
      <c r="U659" s="13">
        <f t="shared" si="7"/>
        <v>4240935.06</v>
      </c>
      <c r="V659" s="13">
        <f t="shared" si="8"/>
        <v>-1293611.52</v>
      </c>
      <c r="W659" s="14">
        <f>Q659/totals!B$2</f>
        <v>0.001062263287</v>
      </c>
      <c r="X659" s="14">
        <f t="shared" si="9"/>
        <v>0.4919247615</v>
      </c>
      <c r="Y659" s="14">
        <f>T659/totals!B$5</f>
        <v>0.001731550801</v>
      </c>
      <c r="Z659" s="14">
        <f t="shared" si="10"/>
        <v>0.4822456041</v>
      </c>
      <c r="AA659" s="14">
        <f>V659/totals!B$4</f>
        <v>-0.002579430166</v>
      </c>
      <c r="AB659" s="14">
        <f t="shared" si="11"/>
        <v>0.4891648258</v>
      </c>
    </row>
    <row r="660">
      <c r="A660" s="7">
        <v>7940.0</v>
      </c>
      <c r="B660" s="7" t="str">
        <f>VLOOKUP($A660,product_category,2, False)</f>
        <v>Household</v>
      </c>
      <c r="C660" s="7">
        <v>5.33314406E8</v>
      </c>
      <c r="D660" s="9">
        <v>40450.0</v>
      </c>
      <c r="E660" s="10">
        <f t="shared" si="1"/>
        <v>9</v>
      </c>
      <c r="F660" s="10" t="str">
        <f t="shared" si="2"/>
        <v>Sep</v>
      </c>
      <c r="G660" s="11">
        <f t="shared" si="3"/>
        <v>29</v>
      </c>
      <c r="H660" s="7">
        <f t="shared" si="4"/>
        <v>2010</v>
      </c>
      <c r="I660" s="9">
        <v>40480.0</v>
      </c>
      <c r="J660" s="11">
        <f t="shared" si="5"/>
        <v>30</v>
      </c>
      <c r="K660" s="7" t="s">
        <v>198</v>
      </c>
      <c r="L660" s="7" t="s">
        <v>56</v>
      </c>
      <c r="M660" s="7" t="str">
        <f>VLOOKUP(L660,countries, 2,false)</f>
        <v>Andorra</v>
      </c>
      <c r="N660" s="7" t="str">
        <f>VLOOKUP(L660,countries, 4,false)</f>
        <v>Europe</v>
      </c>
      <c r="O660" s="7" t="str">
        <f>VLOOKUP(L660,countries, 5,false)</f>
        <v>Southern Europe</v>
      </c>
      <c r="P660" s="7" t="s">
        <v>129</v>
      </c>
      <c r="Q660" s="7">
        <v>8439.0</v>
      </c>
      <c r="R660" s="12">
        <v>668.27</v>
      </c>
      <c r="S660" s="12">
        <v>502.54</v>
      </c>
      <c r="T660" s="13">
        <f t="shared" si="6"/>
        <v>5639530.53</v>
      </c>
      <c r="U660" s="13">
        <f t="shared" si="7"/>
        <v>1118164.8</v>
      </c>
      <c r="V660" s="13">
        <f t="shared" si="8"/>
        <v>4521365.73</v>
      </c>
      <c r="W660" s="14">
        <f>Q660/totals!B$2</f>
        <v>0.00128320067</v>
      </c>
      <c r="X660" s="14">
        <f t="shared" si="9"/>
        <v>0.4932079621</v>
      </c>
      <c r="Y660" s="14">
        <f>T660/totals!B$5</f>
        <v>0.003313220783</v>
      </c>
      <c r="Z660" s="14">
        <f t="shared" si="10"/>
        <v>0.4855588249</v>
      </c>
      <c r="AA660" s="14">
        <f>V660/totals!B$4</f>
        <v>0.009015494201</v>
      </c>
      <c r="AB660" s="14">
        <f t="shared" si="11"/>
        <v>0.49818032</v>
      </c>
    </row>
    <row r="661">
      <c r="A661" s="7">
        <v>8681.0</v>
      </c>
      <c r="B661" s="7" t="str">
        <f>VLOOKUP($A661,product_category,2, False)</f>
        <v>Office Supplies</v>
      </c>
      <c r="C661" s="7">
        <v>5.33597218E8</v>
      </c>
      <c r="D661" s="9">
        <v>41314.0</v>
      </c>
      <c r="E661" s="10">
        <f t="shared" si="1"/>
        <v>2</v>
      </c>
      <c r="F661" s="10" t="str">
        <f t="shared" si="2"/>
        <v>Feb</v>
      </c>
      <c r="G661" s="11">
        <f t="shared" si="3"/>
        <v>9</v>
      </c>
      <c r="H661" s="7">
        <f t="shared" si="4"/>
        <v>2013</v>
      </c>
      <c r="I661" s="9">
        <v>41329.0</v>
      </c>
      <c r="J661" s="11">
        <f t="shared" si="5"/>
        <v>15</v>
      </c>
      <c r="K661" s="7" t="s">
        <v>110</v>
      </c>
      <c r="L661" s="7" t="s">
        <v>597</v>
      </c>
      <c r="M661" s="7" t="str">
        <f>VLOOKUP(L661,countries, 2,false)</f>
        <v>Portugal</v>
      </c>
      <c r="N661" s="7" t="str">
        <f>VLOOKUP(L661,countries, 4,false)</f>
        <v>Europe</v>
      </c>
      <c r="O661" s="7" t="str">
        <f>VLOOKUP(L661,countries, 5,false)</f>
        <v>Southern Europe</v>
      </c>
      <c r="P661" s="7" t="s">
        <v>129</v>
      </c>
      <c r="Q661" s="7">
        <v>2130.0</v>
      </c>
      <c r="R661" s="12">
        <v>651.21</v>
      </c>
      <c r="S661" s="12">
        <v>524.96</v>
      </c>
      <c r="T661" s="13">
        <f t="shared" si="6"/>
        <v>1387077.3</v>
      </c>
      <c r="U661" s="13">
        <f t="shared" si="7"/>
        <v>35318.69</v>
      </c>
      <c r="V661" s="13">
        <f t="shared" si="8"/>
        <v>1351758.61</v>
      </c>
      <c r="W661" s="14">
        <f>Q661/totals!B$2</f>
        <v>0.0003238793016</v>
      </c>
      <c r="X661" s="14">
        <f t="shared" si="9"/>
        <v>0.4935318414</v>
      </c>
      <c r="Y661" s="14">
        <f>T661/totals!B$5</f>
        <v>0.0008149070766</v>
      </c>
      <c r="Z661" s="14">
        <f t="shared" si="10"/>
        <v>0.486373732</v>
      </c>
      <c r="AA661" s="14">
        <f>V661/totals!B$4</f>
        <v>0.002695374061</v>
      </c>
      <c r="AB661" s="14">
        <f t="shared" si="11"/>
        <v>0.500875694</v>
      </c>
    </row>
    <row r="662">
      <c r="A662" s="7">
        <v>1270.0</v>
      </c>
      <c r="B662" s="7" t="str">
        <f>VLOOKUP($A662,product_category,2, False)</f>
        <v>Beverages</v>
      </c>
      <c r="C662" s="7">
        <v>5.34641349E8</v>
      </c>
      <c r="D662" s="9">
        <v>41128.0</v>
      </c>
      <c r="E662" s="10">
        <f t="shared" si="1"/>
        <v>8</v>
      </c>
      <c r="F662" s="10" t="str">
        <f t="shared" si="2"/>
        <v>Aug</v>
      </c>
      <c r="G662" s="11">
        <f t="shared" si="3"/>
        <v>7</v>
      </c>
      <c r="H662" s="7">
        <f t="shared" si="4"/>
        <v>2012</v>
      </c>
      <c r="I662" s="9">
        <v>41148.0</v>
      </c>
      <c r="J662" s="11">
        <f t="shared" si="5"/>
        <v>20</v>
      </c>
      <c r="K662" s="7" t="s">
        <v>322</v>
      </c>
      <c r="L662" s="7" t="s">
        <v>612</v>
      </c>
      <c r="M662" s="7" t="str">
        <f>VLOOKUP(L662,countries, 2,false)</f>
        <v>Russia</v>
      </c>
      <c r="N662" s="7" t="str">
        <f>VLOOKUP(L662,countries, 4,false)</f>
        <v>Europe</v>
      </c>
      <c r="O662" s="7" t="str">
        <f>VLOOKUP(L662,countries, 5,false)</f>
        <v>Eastern Europe</v>
      </c>
      <c r="P662" s="7" t="s">
        <v>212</v>
      </c>
      <c r="Q662" s="7">
        <v>1111.0</v>
      </c>
      <c r="R662" s="12">
        <v>47.45</v>
      </c>
      <c r="S662" s="12">
        <v>31.79</v>
      </c>
      <c r="T662" s="13">
        <f t="shared" si="6"/>
        <v>52716.95</v>
      </c>
      <c r="U662" s="13">
        <f t="shared" si="7"/>
        <v>106933.68</v>
      </c>
      <c r="V662" s="13">
        <f t="shared" si="8"/>
        <v>-54216.73</v>
      </c>
      <c r="W662" s="14">
        <f>Q662/totals!B$2</f>
        <v>0.0001689342273</v>
      </c>
      <c r="X662" s="14">
        <f t="shared" si="9"/>
        <v>0.4937007757</v>
      </c>
      <c r="Y662" s="14">
        <f>T662/totals!B$5</f>
        <v>0.00003097117631</v>
      </c>
      <c r="Z662" s="14">
        <f t="shared" si="10"/>
        <v>0.4864047032</v>
      </c>
      <c r="AA662" s="14">
        <f>V662/totals!B$4</f>
        <v>-0.0001081068518</v>
      </c>
      <c r="AB662" s="14">
        <f t="shared" si="11"/>
        <v>0.5007675872</v>
      </c>
    </row>
    <row r="663">
      <c r="A663" s="7">
        <v>5988.0</v>
      </c>
      <c r="B663" s="7" t="str">
        <f>VLOOKUP($A663,product_category,2, False)</f>
        <v>Vegetables</v>
      </c>
      <c r="C663" s="7">
        <v>5.34709155E8</v>
      </c>
      <c r="D663" s="9">
        <v>42204.0</v>
      </c>
      <c r="E663" s="10">
        <f t="shared" si="1"/>
        <v>7</v>
      </c>
      <c r="F663" s="10" t="str">
        <f t="shared" si="2"/>
        <v>Jul</v>
      </c>
      <c r="G663" s="11">
        <f t="shared" si="3"/>
        <v>19</v>
      </c>
      <c r="H663" s="7">
        <f t="shared" si="4"/>
        <v>2015</v>
      </c>
      <c r="I663" s="9">
        <v>42249.0</v>
      </c>
      <c r="J663" s="11">
        <f t="shared" si="5"/>
        <v>45</v>
      </c>
      <c r="K663" s="7" t="s">
        <v>382</v>
      </c>
      <c r="L663" s="7" t="s">
        <v>594</v>
      </c>
      <c r="M663" s="7" t="str">
        <f>VLOOKUP(L663,countries, 2,false)</f>
        <v>Poland</v>
      </c>
      <c r="N663" s="7" t="str">
        <f>VLOOKUP(L663,countries, 4,false)</f>
        <v>Europe</v>
      </c>
      <c r="O663" s="7" t="str">
        <f>VLOOKUP(L663,countries, 5,false)</f>
        <v>Eastern Europe</v>
      </c>
      <c r="P663" s="7" t="s">
        <v>129</v>
      </c>
      <c r="Q663" s="7">
        <v>1176.0</v>
      </c>
      <c r="R663" s="12">
        <v>154.06</v>
      </c>
      <c r="S663" s="12">
        <v>90.93</v>
      </c>
      <c r="T663" s="13">
        <f t="shared" si="6"/>
        <v>181174.56</v>
      </c>
      <c r="U663" s="13">
        <f t="shared" si="7"/>
        <v>359741.16</v>
      </c>
      <c r="V663" s="13">
        <f t="shared" si="8"/>
        <v>-178566.6</v>
      </c>
      <c r="W663" s="14">
        <f>Q663/totals!B$2</f>
        <v>0.0001788178679</v>
      </c>
      <c r="X663" s="14">
        <f t="shared" si="9"/>
        <v>0.4938795935</v>
      </c>
      <c r="Y663" s="14">
        <f>T663/totals!B$5</f>
        <v>0.0001064399447</v>
      </c>
      <c r="Z663" s="14">
        <f t="shared" si="10"/>
        <v>0.4865111431</v>
      </c>
      <c r="AA663" s="14">
        <f>V663/totals!B$4</f>
        <v>-0.000356057493</v>
      </c>
      <c r="AB663" s="14">
        <f t="shared" si="11"/>
        <v>0.5004115297</v>
      </c>
    </row>
    <row r="664">
      <c r="A664" s="7">
        <v>3127.0</v>
      </c>
      <c r="B664" s="7" t="str">
        <f>VLOOKUP($A664,product_category,2, False)</f>
        <v>Personal Care</v>
      </c>
      <c r="C664" s="7">
        <v>5.35740411E8</v>
      </c>
      <c r="D664" s="9">
        <v>40308.0</v>
      </c>
      <c r="E664" s="10">
        <f t="shared" si="1"/>
        <v>5</v>
      </c>
      <c r="F664" s="10" t="str">
        <f t="shared" si="2"/>
        <v>May</v>
      </c>
      <c r="G664" s="11">
        <f t="shared" si="3"/>
        <v>10</v>
      </c>
      <c r="H664" s="7">
        <f t="shared" si="4"/>
        <v>2010</v>
      </c>
      <c r="I664" s="9">
        <v>40336.0</v>
      </c>
      <c r="J664" s="11">
        <f t="shared" si="5"/>
        <v>28</v>
      </c>
      <c r="K664" s="7" t="s">
        <v>110</v>
      </c>
      <c r="L664" s="7" t="s">
        <v>88</v>
      </c>
      <c r="M664" s="7" t="str">
        <f>VLOOKUP(L664,countries, 2,false)</f>
        <v>Austria</v>
      </c>
      <c r="N664" s="7" t="str">
        <f>VLOOKUP(L664,countries, 4,false)</f>
        <v>Europe</v>
      </c>
      <c r="O664" s="7" t="str">
        <f>VLOOKUP(L664,countries, 5,false)</f>
        <v>Western Europe</v>
      </c>
      <c r="P664" s="7" t="s">
        <v>212</v>
      </c>
      <c r="Q664" s="7">
        <v>6348.0</v>
      </c>
      <c r="R664" s="12">
        <v>81.73</v>
      </c>
      <c r="S664" s="12">
        <v>56.67</v>
      </c>
      <c r="T664" s="13">
        <f t="shared" si="6"/>
        <v>518822.04</v>
      </c>
      <c r="U664" s="13">
        <f t="shared" si="7"/>
        <v>146160</v>
      </c>
      <c r="V664" s="13">
        <f t="shared" si="8"/>
        <v>372662.04</v>
      </c>
      <c r="W664" s="14">
        <f>Q664/totals!B$2</f>
        <v>0.0009652515523</v>
      </c>
      <c r="X664" s="14">
        <f t="shared" si="9"/>
        <v>0.4948448451</v>
      </c>
      <c r="Y664" s="14">
        <f>T664/totals!B$5</f>
        <v>0.0003048076354</v>
      </c>
      <c r="Z664" s="14">
        <f t="shared" si="10"/>
        <v>0.4868159507</v>
      </c>
      <c r="AA664" s="14">
        <f>V664/totals!B$4</f>
        <v>0.0007430791183</v>
      </c>
      <c r="AB664" s="14">
        <f t="shared" si="11"/>
        <v>0.5011546088</v>
      </c>
    </row>
    <row r="665">
      <c r="A665" s="7">
        <v>8969.0</v>
      </c>
      <c r="B665" s="7" t="str">
        <f>VLOOKUP($A665,product_category,2, False)</f>
        <v>Snacks</v>
      </c>
      <c r="C665" s="7">
        <v>5.3609575E8</v>
      </c>
      <c r="D665" s="9">
        <v>42690.0</v>
      </c>
      <c r="E665" s="10">
        <f t="shared" si="1"/>
        <v>11</v>
      </c>
      <c r="F665" s="10" t="str">
        <f t="shared" si="2"/>
        <v>Nov</v>
      </c>
      <c r="G665" s="11">
        <f t="shared" si="3"/>
        <v>16</v>
      </c>
      <c r="H665" s="7">
        <f t="shared" si="4"/>
        <v>2016</v>
      </c>
      <c r="I665" s="9">
        <v>42730.0</v>
      </c>
      <c r="J665" s="11">
        <f t="shared" si="5"/>
        <v>40</v>
      </c>
      <c r="K665" s="7" t="s">
        <v>198</v>
      </c>
      <c r="L665" s="7" t="s">
        <v>439</v>
      </c>
      <c r="M665" s="7" t="str">
        <f>VLOOKUP(L665,countries, 2,false)</f>
        <v>Slovakia</v>
      </c>
      <c r="N665" s="7" t="str">
        <f>VLOOKUP(L665,countries, 4,false)</f>
        <v>Europe</v>
      </c>
      <c r="O665" s="7" t="str">
        <f>VLOOKUP(L665,countries, 5,false)</f>
        <v>Eastern Europe</v>
      </c>
      <c r="P665" s="7" t="s">
        <v>212</v>
      </c>
      <c r="Q665" s="7">
        <v>1500.0</v>
      </c>
      <c r="R665" s="12">
        <v>152.58</v>
      </c>
      <c r="S665" s="12">
        <v>97.44</v>
      </c>
      <c r="T665" s="13">
        <f t="shared" si="6"/>
        <v>228870</v>
      </c>
      <c r="U665" s="13">
        <f t="shared" si="7"/>
        <v>84546.56</v>
      </c>
      <c r="V665" s="13">
        <f t="shared" si="8"/>
        <v>144323.44</v>
      </c>
      <c r="W665" s="14">
        <f>Q665/totals!B$2</f>
        <v>0.0002280840152</v>
      </c>
      <c r="X665" s="14">
        <f t="shared" si="9"/>
        <v>0.4950729291</v>
      </c>
      <c r="Y665" s="14">
        <f>T665/totals!B$5</f>
        <v>0.0001344609869</v>
      </c>
      <c r="Z665" s="14">
        <f t="shared" si="10"/>
        <v>0.4869504117</v>
      </c>
      <c r="AA665" s="14">
        <f>V665/totals!B$4</f>
        <v>0.000287777458</v>
      </c>
      <c r="AB665" s="14">
        <f t="shared" si="11"/>
        <v>0.5014423863</v>
      </c>
    </row>
    <row r="666">
      <c r="A666" s="7">
        <v>2455.0</v>
      </c>
      <c r="B666" s="7" t="str">
        <f>VLOOKUP($A666,product_category,2, False)</f>
        <v>Clothes</v>
      </c>
      <c r="C666" s="7">
        <v>5.38430345E8</v>
      </c>
      <c r="D666" s="9">
        <v>42025.0</v>
      </c>
      <c r="E666" s="10">
        <f t="shared" si="1"/>
        <v>1</v>
      </c>
      <c r="F666" s="10" t="str">
        <f t="shared" si="2"/>
        <v>Jan</v>
      </c>
      <c r="G666" s="11">
        <f t="shared" si="3"/>
        <v>21</v>
      </c>
      <c r="H666" s="7">
        <f t="shared" si="4"/>
        <v>2015</v>
      </c>
      <c r="I666" s="9">
        <v>42073.0</v>
      </c>
      <c r="J666" s="11">
        <f t="shared" si="5"/>
        <v>48</v>
      </c>
      <c r="K666" s="7" t="s">
        <v>382</v>
      </c>
      <c r="L666" s="7" t="s">
        <v>364</v>
      </c>
      <c r="M666" s="7" t="str">
        <f>VLOOKUP(L666,countries, 2,false)</f>
        <v>Hungary</v>
      </c>
      <c r="N666" s="7" t="str">
        <f>VLOOKUP(L666,countries, 4,false)</f>
        <v>Europe</v>
      </c>
      <c r="O666" s="7" t="str">
        <f>VLOOKUP(L666,countries, 5,false)</f>
        <v>Eastern Europe</v>
      </c>
      <c r="P666" s="7" t="s">
        <v>212</v>
      </c>
      <c r="Q666" s="7">
        <v>2359.0</v>
      </c>
      <c r="R666" s="12">
        <v>109.28</v>
      </c>
      <c r="S666" s="12">
        <v>35.84</v>
      </c>
      <c r="T666" s="13">
        <f t="shared" si="6"/>
        <v>257791.52</v>
      </c>
      <c r="U666" s="13">
        <f t="shared" si="7"/>
        <v>58956.8</v>
      </c>
      <c r="V666" s="13">
        <f t="shared" si="8"/>
        <v>198834.72</v>
      </c>
      <c r="W666" s="14">
        <f>Q666/totals!B$2</f>
        <v>0.0003587001279</v>
      </c>
      <c r="X666" s="14">
        <f t="shared" si="9"/>
        <v>0.4954316292</v>
      </c>
      <c r="Y666" s="14">
        <f>T666/totals!B$5</f>
        <v>0.0001514523624</v>
      </c>
      <c r="Z666" s="14">
        <f t="shared" si="10"/>
        <v>0.4871018641</v>
      </c>
      <c r="AA666" s="14">
        <f>V666/totals!B$4</f>
        <v>0.0003964716354</v>
      </c>
      <c r="AB666" s="14">
        <f t="shared" si="11"/>
        <v>0.5018388579</v>
      </c>
    </row>
    <row r="667">
      <c r="A667" s="7">
        <v>2455.0</v>
      </c>
      <c r="B667" s="7" t="str">
        <f>VLOOKUP($A667,product_category,2, False)</f>
        <v>Clothes</v>
      </c>
      <c r="C667" s="7">
        <v>5.39002406E8</v>
      </c>
      <c r="D667" s="9">
        <v>41841.0</v>
      </c>
      <c r="E667" s="10">
        <f t="shared" si="1"/>
        <v>7</v>
      </c>
      <c r="F667" s="10" t="str">
        <f t="shared" si="2"/>
        <v>Jul</v>
      </c>
      <c r="G667" s="11">
        <f t="shared" si="3"/>
        <v>21</v>
      </c>
      <c r="H667" s="7">
        <f t="shared" si="4"/>
        <v>2014</v>
      </c>
      <c r="I667" s="9">
        <v>41843.0</v>
      </c>
      <c r="J667" s="11">
        <f t="shared" si="5"/>
        <v>2</v>
      </c>
      <c r="K667" s="7" t="s">
        <v>198</v>
      </c>
      <c r="L667" s="7" t="s">
        <v>237</v>
      </c>
      <c r="M667" s="7" t="str">
        <f>VLOOKUP(L667,countries, 2,false)</f>
        <v>Denmark</v>
      </c>
      <c r="N667" s="7" t="str">
        <f>VLOOKUP(L667,countries, 4,false)</f>
        <v>Europe</v>
      </c>
      <c r="O667" s="7" t="str">
        <f>VLOOKUP(L667,countries, 5,false)</f>
        <v>Northern Europe</v>
      </c>
      <c r="P667" s="7" t="s">
        <v>129</v>
      </c>
      <c r="Q667" s="7">
        <v>1645.0</v>
      </c>
      <c r="R667" s="12">
        <v>109.28</v>
      </c>
      <c r="S667" s="12">
        <v>35.84</v>
      </c>
      <c r="T667" s="13">
        <f t="shared" si="6"/>
        <v>179765.6</v>
      </c>
      <c r="U667" s="13">
        <f t="shared" si="7"/>
        <v>2002361.32</v>
      </c>
      <c r="V667" s="13">
        <f t="shared" si="8"/>
        <v>-1822595.72</v>
      </c>
      <c r="W667" s="14">
        <f>Q667/totals!B$2</f>
        <v>0.0002501321367</v>
      </c>
      <c r="X667" s="14">
        <f t="shared" si="9"/>
        <v>0.4956817614</v>
      </c>
      <c r="Y667" s="14">
        <f>T667/totals!B$5</f>
        <v>0.0001056121815</v>
      </c>
      <c r="Z667" s="14">
        <f t="shared" si="10"/>
        <v>0.4872074763</v>
      </c>
      <c r="AA667" s="14">
        <f>V667/totals!B$4</f>
        <v>-0.003634211901</v>
      </c>
      <c r="AB667" s="14">
        <f t="shared" si="11"/>
        <v>0.498204646</v>
      </c>
    </row>
    <row r="668">
      <c r="A668" s="7">
        <v>8293.0</v>
      </c>
      <c r="B668" s="7" t="str">
        <f>VLOOKUP($A668,product_category,2, False)</f>
        <v>Cosmetics</v>
      </c>
      <c r="C668" s="7">
        <v>5.4098252E8</v>
      </c>
      <c r="D668" s="9">
        <v>40383.0</v>
      </c>
      <c r="E668" s="10">
        <f t="shared" si="1"/>
        <v>7</v>
      </c>
      <c r="F668" s="10" t="str">
        <f t="shared" si="2"/>
        <v>Jul</v>
      </c>
      <c r="G668" s="11">
        <f t="shared" si="3"/>
        <v>24</v>
      </c>
      <c r="H668" s="7">
        <f t="shared" si="4"/>
        <v>2010</v>
      </c>
      <c r="I668" s="9">
        <v>40422.0</v>
      </c>
      <c r="J668" s="11">
        <f t="shared" si="5"/>
        <v>39</v>
      </c>
      <c r="K668" s="7" t="s">
        <v>322</v>
      </c>
      <c r="L668" s="7" t="s">
        <v>88</v>
      </c>
      <c r="M668" s="7" t="str">
        <f>VLOOKUP(L668,countries, 2,false)</f>
        <v>Austria</v>
      </c>
      <c r="N668" s="7" t="str">
        <f>VLOOKUP(L668,countries, 4,false)</f>
        <v>Europe</v>
      </c>
      <c r="O668" s="7" t="str">
        <f>VLOOKUP(L668,countries, 5,false)</f>
        <v>Western Europe</v>
      </c>
      <c r="P668" s="7" t="s">
        <v>212</v>
      </c>
      <c r="Q668" s="7">
        <v>7604.0</v>
      </c>
      <c r="R668" s="12">
        <v>437.2</v>
      </c>
      <c r="S668" s="12">
        <v>263.33</v>
      </c>
      <c r="T668" s="13">
        <f t="shared" si="6"/>
        <v>3324468.8</v>
      </c>
      <c r="U668" s="13">
        <f t="shared" si="7"/>
        <v>3624.06</v>
      </c>
      <c r="V668" s="13">
        <f t="shared" si="8"/>
        <v>3320844.74</v>
      </c>
      <c r="W668" s="14">
        <f>Q668/totals!B$2</f>
        <v>0.001156233901</v>
      </c>
      <c r="X668" s="14">
        <f t="shared" si="9"/>
        <v>0.4968379953</v>
      </c>
      <c r="Y668" s="14">
        <f>T668/totals!B$5</f>
        <v>0.001953123414</v>
      </c>
      <c r="Z668" s="14">
        <f t="shared" si="10"/>
        <v>0.4891605997</v>
      </c>
      <c r="AA668" s="14">
        <f>V668/totals!B$4</f>
        <v>0.006621684306</v>
      </c>
      <c r="AB668" s="14">
        <f t="shared" si="11"/>
        <v>0.5048263303</v>
      </c>
    </row>
    <row r="669">
      <c r="A669" s="7">
        <v>1270.0</v>
      </c>
      <c r="B669" s="7" t="str">
        <f>VLOOKUP($A669,product_category,2, False)</f>
        <v>Beverages</v>
      </c>
      <c r="C669" s="7">
        <v>5.43322694E8</v>
      </c>
      <c r="D669" s="9">
        <v>41750.0</v>
      </c>
      <c r="E669" s="10">
        <f t="shared" si="1"/>
        <v>4</v>
      </c>
      <c r="F669" s="10" t="str">
        <f t="shared" si="2"/>
        <v>Apr</v>
      </c>
      <c r="G669" s="11">
        <f t="shared" si="3"/>
        <v>21</v>
      </c>
      <c r="H669" s="7">
        <f t="shared" si="4"/>
        <v>2014</v>
      </c>
      <c r="I669" s="9">
        <v>41791.0</v>
      </c>
      <c r="J669" s="11">
        <f t="shared" si="5"/>
        <v>41</v>
      </c>
      <c r="K669" s="7" t="s">
        <v>110</v>
      </c>
      <c r="L669" s="7" t="s">
        <v>612</v>
      </c>
      <c r="M669" s="7" t="str">
        <f>VLOOKUP(L669,countries, 2,false)</f>
        <v>Russia</v>
      </c>
      <c r="N669" s="7" t="str">
        <f>VLOOKUP(L669,countries, 4,false)</f>
        <v>Europe</v>
      </c>
      <c r="O669" s="7" t="str">
        <f>VLOOKUP(L669,countries, 5,false)</f>
        <v>Eastern Europe</v>
      </c>
      <c r="P669" s="7" t="s">
        <v>212</v>
      </c>
      <c r="Q669" s="7">
        <v>114.0</v>
      </c>
      <c r="R669" s="12">
        <v>47.45</v>
      </c>
      <c r="S669" s="12">
        <v>31.79</v>
      </c>
      <c r="T669" s="13">
        <f t="shared" si="6"/>
        <v>5409.3</v>
      </c>
      <c r="U669" s="13">
        <f t="shared" si="7"/>
        <v>713698.33</v>
      </c>
      <c r="V669" s="13">
        <f t="shared" si="8"/>
        <v>-708289.03</v>
      </c>
      <c r="W669" s="14">
        <f>Q669/totals!B$2</f>
        <v>0.00001733438516</v>
      </c>
      <c r="X669" s="14">
        <f t="shared" si="9"/>
        <v>0.4968553297</v>
      </c>
      <c r="Y669" s="14">
        <f>T669/totals!B$5</f>
        <v>0.000003177960485</v>
      </c>
      <c r="Z669" s="14">
        <f t="shared" si="10"/>
        <v>0.4891637776</v>
      </c>
      <c r="AA669" s="14">
        <f>V669/totals!B$4</f>
        <v>-0.00141231124</v>
      </c>
      <c r="AB669" s="14">
        <f t="shared" si="11"/>
        <v>0.5034140191</v>
      </c>
    </row>
    <row r="670">
      <c r="A670" s="7">
        <v>8875.0</v>
      </c>
      <c r="B670" s="7" t="str">
        <f>VLOOKUP($A670,product_category,2, False)</f>
        <v>Meat</v>
      </c>
      <c r="C670" s="7">
        <v>5.43396508E8</v>
      </c>
      <c r="D670" s="9">
        <v>42886.0</v>
      </c>
      <c r="E670" s="10">
        <f t="shared" si="1"/>
        <v>5</v>
      </c>
      <c r="F670" s="10" t="str">
        <f t="shared" si="2"/>
        <v>May</v>
      </c>
      <c r="G670" s="11">
        <f t="shared" si="3"/>
        <v>31</v>
      </c>
      <c r="H670" s="7">
        <f t="shared" si="4"/>
        <v>2017</v>
      </c>
      <c r="I670" s="9">
        <v>42891.0</v>
      </c>
      <c r="J670" s="11">
        <f t="shared" si="5"/>
        <v>5</v>
      </c>
      <c r="K670" s="7" t="s">
        <v>198</v>
      </c>
      <c r="L670" s="7" t="s">
        <v>448</v>
      </c>
      <c r="M670" s="7" t="str">
        <f>VLOOKUP(L670,countries, 2,false)</f>
        <v>Liechtenstein</v>
      </c>
      <c r="N670" s="7" t="str">
        <f>VLOOKUP(L670,countries, 4,false)</f>
        <v>Europe</v>
      </c>
      <c r="O670" s="7" t="str">
        <f>VLOOKUP(L670,countries, 5,false)</f>
        <v>Western Europe</v>
      </c>
      <c r="P670" s="7" t="s">
        <v>129</v>
      </c>
      <c r="Q670" s="7">
        <v>1957.0</v>
      </c>
      <c r="R670" s="12">
        <v>421.89</v>
      </c>
      <c r="S670" s="12">
        <v>364.69</v>
      </c>
      <c r="T670" s="13">
        <f t="shared" si="6"/>
        <v>825638.73</v>
      </c>
      <c r="U670" s="13">
        <f t="shared" si="7"/>
        <v>2431791.06</v>
      </c>
      <c r="V670" s="13">
        <f t="shared" si="8"/>
        <v>-1606152.33</v>
      </c>
      <c r="W670" s="14">
        <f>Q670/totals!B$2</f>
        <v>0.0002975736118</v>
      </c>
      <c r="X670" s="14">
        <f t="shared" si="9"/>
        <v>0.4971529033</v>
      </c>
      <c r="Y670" s="14">
        <f>T670/totals!B$5</f>
        <v>0.0004850622556</v>
      </c>
      <c r="Z670" s="14">
        <f t="shared" si="10"/>
        <v>0.4896488399</v>
      </c>
      <c r="AA670" s="14">
        <f>V670/totals!B$4</f>
        <v>-0.003202629002</v>
      </c>
      <c r="AB670" s="14">
        <f t="shared" si="11"/>
        <v>0.5002113901</v>
      </c>
    </row>
    <row r="671">
      <c r="A671" s="7">
        <v>7940.0</v>
      </c>
      <c r="B671" s="7" t="str">
        <f>VLOOKUP($A671,product_category,2, False)</f>
        <v>Household</v>
      </c>
      <c r="C671" s="7">
        <v>5.44284856E8</v>
      </c>
      <c r="D671" s="9">
        <v>41926.0</v>
      </c>
      <c r="E671" s="10">
        <f t="shared" si="1"/>
        <v>10</v>
      </c>
      <c r="F671" s="10" t="str">
        <f t="shared" si="2"/>
        <v>Oct</v>
      </c>
      <c r="G671" s="11">
        <f t="shared" si="3"/>
        <v>14</v>
      </c>
      <c r="H671" s="7">
        <f t="shared" si="4"/>
        <v>2014</v>
      </c>
      <c r="I671" s="9">
        <v>41937.0</v>
      </c>
      <c r="J671" s="11">
        <f t="shared" si="5"/>
        <v>11</v>
      </c>
      <c r="K671" s="7" t="s">
        <v>110</v>
      </c>
      <c r="L671" s="7" t="s">
        <v>451</v>
      </c>
      <c r="M671" s="7" t="str">
        <f>VLOOKUP(L671,countries, 2,false)</f>
        <v>Lithuania</v>
      </c>
      <c r="N671" s="7" t="str">
        <f>VLOOKUP(L671,countries, 4,false)</f>
        <v>Europe</v>
      </c>
      <c r="O671" s="7" t="str">
        <f>VLOOKUP(L671,countries, 5,false)</f>
        <v>Northern Europe</v>
      </c>
      <c r="P671" s="7" t="s">
        <v>212</v>
      </c>
      <c r="Q671" s="7">
        <v>4839.0</v>
      </c>
      <c r="R671" s="12">
        <v>668.27</v>
      </c>
      <c r="S671" s="12">
        <v>502.54</v>
      </c>
      <c r="T671" s="13">
        <f t="shared" si="6"/>
        <v>3233758.53</v>
      </c>
      <c r="U671" s="13">
        <f t="shared" si="7"/>
        <v>564603.21</v>
      </c>
      <c r="V671" s="13">
        <f t="shared" si="8"/>
        <v>2669155.32</v>
      </c>
      <c r="W671" s="14">
        <f>Q671/totals!B$2</f>
        <v>0.000735799033</v>
      </c>
      <c r="X671" s="14">
        <f t="shared" si="9"/>
        <v>0.4978887023</v>
      </c>
      <c r="Y671" s="14">
        <f>T671/totals!B$5</f>
        <v>0.001899831185</v>
      </c>
      <c r="Z671" s="14">
        <f t="shared" si="10"/>
        <v>0.4915486711</v>
      </c>
      <c r="AA671" s="14">
        <f>V671/totals!B$4</f>
        <v>0.005322231322</v>
      </c>
      <c r="AB671" s="14">
        <f t="shared" si="11"/>
        <v>0.5055336214</v>
      </c>
    </row>
    <row r="672">
      <c r="A672" s="7">
        <v>3127.0</v>
      </c>
      <c r="B672" s="7" t="str">
        <f>VLOOKUP($A672,product_category,2, False)</f>
        <v>Personal Care</v>
      </c>
      <c r="C672" s="7">
        <v>5.44741475E8</v>
      </c>
      <c r="D672" s="9">
        <v>40978.0</v>
      </c>
      <c r="E672" s="10">
        <f t="shared" si="1"/>
        <v>3</v>
      </c>
      <c r="F672" s="10" t="str">
        <f t="shared" si="2"/>
        <v>Mar</v>
      </c>
      <c r="G672" s="11">
        <f t="shared" si="3"/>
        <v>10</v>
      </c>
      <c r="H672" s="7">
        <f t="shared" si="4"/>
        <v>2012</v>
      </c>
      <c r="I672" s="9">
        <v>40993.0</v>
      </c>
      <c r="J672" s="11">
        <f t="shared" si="5"/>
        <v>15</v>
      </c>
      <c r="K672" s="7" t="s">
        <v>198</v>
      </c>
      <c r="L672" s="7" t="s">
        <v>534</v>
      </c>
      <c r="M672" s="7" t="str">
        <f>VLOOKUP(L672,countries, 2,false)</f>
        <v>Netherlands</v>
      </c>
      <c r="N672" s="7" t="str">
        <f>VLOOKUP(L672,countries, 4,false)</f>
        <v>Europe</v>
      </c>
      <c r="O672" s="7" t="str">
        <f>VLOOKUP(L672,countries, 5,false)</f>
        <v>Western Europe</v>
      </c>
      <c r="P672" s="7" t="s">
        <v>129</v>
      </c>
      <c r="Q672" s="7">
        <v>9963.0</v>
      </c>
      <c r="R672" s="12">
        <v>81.73</v>
      </c>
      <c r="S672" s="12">
        <v>56.67</v>
      </c>
      <c r="T672" s="13">
        <f t="shared" si="6"/>
        <v>814275.99</v>
      </c>
      <c r="U672" s="13">
        <f t="shared" si="7"/>
        <v>141209.6</v>
      </c>
      <c r="V672" s="13">
        <f t="shared" si="8"/>
        <v>673066.39</v>
      </c>
      <c r="W672" s="14">
        <f>Q672/totals!B$2</f>
        <v>0.001514934029</v>
      </c>
      <c r="X672" s="14">
        <f t="shared" si="9"/>
        <v>0.4994036363</v>
      </c>
      <c r="Y672" s="14">
        <f>T672/totals!B$5</f>
        <v>0.0004783866527</v>
      </c>
      <c r="Z672" s="14">
        <f t="shared" si="10"/>
        <v>0.4920270577</v>
      </c>
      <c r="AA672" s="14">
        <f>V672/totals!B$4</f>
        <v>0.001342078146</v>
      </c>
      <c r="AB672" s="14">
        <f t="shared" si="11"/>
        <v>0.5068756995</v>
      </c>
    </row>
    <row r="673">
      <c r="A673" s="7">
        <v>2455.0</v>
      </c>
      <c r="B673" s="7" t="str">
        <f>VLOOKUP($A673,product_category,2, False)</f>
        <v>Clothes</v>
      </c>
      <c r="C673" s="7">
        <v>5.45059049E8</v>
      </c>
      <c r="D673" s="9">
        <v>42586.0</v>
      </c>
      <c r="E673" s="10">
        <f t="shared" si="1"/>
        <v>8</v>
      </c>
      <c r="F673" s="10" t="str">
        <f t="shared" si="2"/>
        <v>Aug</v>
      </c>
      <c r="G673" s="11">
        <f t="shared" si="3"/>
        <v>4</v>
      </c>
      <c r="H673" s="7">
        <f t="shared" si="4"/>
        <v>2016</v>
      </c>
      <c r="I673" s="9">
        <v>42590.0</v>
      </c>
      <c r="J673" s="11">
        <f t="shared" si="5"/>
        <v>4</v>
      </c>
      <c r="K673" s="7" t="s">
        <v>382</v>
      </c>
      <c r="L673" s="7" t="s">
        <v>448</v>
      </c>
      <c r="M673" s="7" t="str">
        <f>VLOOKUP(L673,countries, 2,false)</f>
        <v>Liechtenstein</v>
      </c>
      <c r="N673" s="7" t="str">
        <f>VLOOKUP(L673,countries, 4,false)</f>
        <v>Europe</v>
      </c>
      <c r="O673" s="7" t="str">
        <f>VLOOKUP(L673,countries, 5,false)</f>
        <v>Western Europe</v>
      </c>
      <c r="P673" s="7" t="s">
        <v>212</v>
      </c>
      <c r="Q673" s="7">
        <v>3940.0</v>
      </c>
      <c r="R673" s="12">
        <v>109.28</v>
      </c>
      <c r="S673" s="12">
        <v>35.84</v>
      </c>
      <c r="T673" s="13">
        <f t="shared" si="6"/>
        <v>430563.2</v>
      </c>
      <c r="U673" s="13">
        <f t="shared" si="7"/>
        <v>2396377.99</v>
      </c>
      <c r="V673" s="13">
        <f t="shared" si="8"/>
        <v>-1965814.79</v>
      </c>
      <c r="W673" s="14">
        <f>Q673/totals!B$2</f>
        <v>0.0005991006799</v>
      </c>
      <c r="X673" s="14">
        <f t="shared" si="9"/>
        <v>0.500002737</v>
      </c>
      <c r="Y673" s="14">
        <f>T673/totals!B$5</f>
        <v>0.0002529556201</v>
      </c>
      <c r="Z673" s="14">
        <f t="shared" si="10"/>
        <v>0.4922800134</v>
      </c>
      <c r="AA673" s="14">
        <f>V673/totals!B$4</f>
        <v>-0.003919787272</v>
      </c>
      <c r="AB673" s="14">
        <f t="shared" si="11"/>
        <v>0.5029559123</v>
      </c>
    </row>
    <row r="674">
      <c r="A674" s="7">
        <v>8875.0</v>
      </c>
      <c r="B674" s="7" t="str">
        <f>VLOOKUP($A674,product_category,2, False)</f>
        <v>Meat</v>
      </c>
      <c r="C674" s="7">
        <v>5.46081721E8</v>
      </c>
      <c r="D674" s="9">
        <v>41394.0</v>
      </c>
      <c r="E674" s="10">
        <f t="shared" si="1"/>
        <v>4</v>
      </c>
      <c r="F674" s="10" t="str">
        <f t="shared" si="2"/>
        <v>Apr</v>
      </c>
      <c r="G674" s="11">
        <f t="shared" si="3"/>
        <v>30</v>
      </c>
      <c r="H674" s="7">
        <f t="shared" si="4"/>
        <v>2013</v>
      </c>
      <c r="I674" s="9">
        <v>41416.0</v>
      </c>
      <c r="J674" s="11">
        <f t="shared" si="5"/>
        <v>22</v>
      </c>
      <c r="K674" s="7" t="s">
        <v>382</v>
      </c>
      <c r="L674" s="7" t="s">
        <v>594</v>
      </c>
      <c r="M674" s="7" t="str">
        <f>VLOOKUP(L674,countries, 2,false)</f>
        <v>Poland</v>
      </c>
      <c r="N674" s="7" t="str">
        <f>VLOOKUP(L674,countries, 4,false)</f>
        <v>Europe</v>
      </c>
      <c r="O674" s="7" t="str">
        <f>VLOOKUP(L674,countries, 5,false)</f>
        <v>Eastern Europe</v>
      </c>
      <c r="P674" s="7" t="s">
        <v>129</v>
      </c>
      <c r="Q674" s="7">
        <v>6571.0</v>
      </c>
      <c r="R674" s="12">
        <v>421.89</v>
      </c>
      <c r="S674" s="12">
        <v>364.69</v>
      </c>
      <c r="T674" s="13">
        <f t="shared" si="6"/>
        <v>2772239.19</v>
      </c>
      <c r="U674" s="13">
        <f t="shared" si="7"/>
        <v>217782.81</v>
      </c>
      <c r="V674" s="13">
        <f t="shared" si="8"/>
        <v>2554456.38</v>
      </c>
      <c r="W674" s="14">
        <f>Q674/totals!B$2</f>
        <v>0.0009991600426</v>
      </c>
      <c r="X674" s="14">
        <f t="shared" si="9"/>
        <v>0.5010018971</v>
      </c>
      <c r="Y674" s="14">
        <f>T674/totals!B$5</f>
        <v>0.001628688851</v>
      </c>
      <c r="Z674" s="14">
        <f t="shared" si="10"/>
        <v>0.4939087022</v>
      </c>
      <c r="AA674" s="14">
        <f>V674/totals!B$4</f>
        <v>0.005093524403</v>
      </c>
      <c r="AB674" s="14">
        <f t="shared" si="11"/>
        <v>0.5080494367</v>
      </c>
    </row>
    <row r="675">
      <c r="A675" s="7">
        <v>3127.0</v>
      </c>
      <c r="B675" s="7" t="str">
        <f>VLOOKUP($A675,product_category,2, False)</f>
        <v>Personal Care</v>
      </c>
      <c r="C675" s="7">
        <v>5.46140086E8</v>
      </c>
      <c r="D675" s="9">
        <v>41585.0</v>
      </c>
      <c r="E675" s="10">
        <f t="shared" si="1"/>
        <v>11</v>
      </c>
      <c r="F675" s="10" t="str">
        <f t="shared" si="2"/>
        <v>Nov</v>
      </c>
      <c r="G675" s="11">
        <f t="shared" si="3"/>
        <v>7</v>
      </c>
      <c r="H675" s="7">
        <f t="shared" si="4"/>
        <v>2013</v>
      </c>
      <c r="I675" s="9">
        <v>41627.0</v>
      </c>
      <c r="J675" s="11">
        <f t="shared" si="5"/>
        <v>42</v>
      </c>
      <c r="K675" s="7" t="s">
        <v>322</v>
      </c>
      <c r="L675" s="7" t="s">
        <v>367</v>
      </c>
      <c r="M675" s="7" t="str">
        <f>VLOOKUP(L675,countries, 2,false)</f>
        <v>Iceland</v>
      </c>
      <c r="N675" s="7" t="str">
        <f>VLOOKUP(L675,countries, 4,false)</f>
        <v>Europe</v>
      </c>
      <c r="O675" s="7" t="str">
        <f>VLOOKUP(L675,countries, 5,false)</f>
        <v>Northern Europe</v>
      </c>
      <c r="P675" s="7" t="s">
        <v>212</v>
      </c>
      <c r="Q675" s="7">
        <v>3843.0</v>
      </c>
      <c r="R675" s="12">
        <v>81.73</v>
      </c>
      <c r="S675" s="12">
        <v>56.67</v>
      </c>
      <c r="T675" s="13">
        <f t="shared" si="6"/>
        <v>314088.39</v>
      </c>
      <c r="U675" s="13">
        <f t="shared" si="7"/>
        <v>1745321.42</v>
      </c>
      <c r="V675" s="13">
        <f t="shared" si="8"/>
        <v>-1431233.03</v>
      </c>
      <c r="W675" s="14">
        <f>Q675/totals!B$2</f>
        <v>0.000584351247</v>
      </c>
      <c r="X675" s="14">
        <f t="shared" si="9"/>
        <v>0.5015862483</v>
      </c>
      <c r="Y675" s="14">
        <f>T675/totals!B$5</f>
        <v>0.0001845267396</v>
      </c>
      <c r="Z675" s="14">
        <f t="shared" si="10"/>
        <v>0.4940932289</v>
      </c>
      <c r="AA675" s="14">
        <f>V675/totals!B$4</f>
        <v>-0.002853844137</v>
      </c>
      <c r="AB675" s="14">
        <f t="shared" si="11"/>
        <v>0.5051955925</v>
      </c>
    </row>
    <row r="676">
      <c r="A676" s="7">
        <v>7940.0</v>
      </c>
      <c r="B676" s="7" t="str">
        <f>VLOOKUP($A676,product_category,2, False)</f>
        <v>Household</v>
      </c>
      <c r="C676" s="7">
        <v>5.46544349E8</v>
      </c>
      <c r="D676" s="9">
        <v>40507.0</v>
      </c>
      <c r="E676" s="10">
        <f t="shared" si="1"/>
        <v>11</v>
      </c>
      <c r="F676" s="10" t="str">
        <f t="shared" si="2"/>
        <v>Nov</v>
      </c>
      <c r="G676" s="11">
        <f t="shared" si="3"/>
        <v>25</v>
      </c>
      <c r="H676" s="7">
        <f t="shared" si="4"/>
        <v>2010</v>
      </c>
      <c r="I676" s="9">
        <v>40524.0</v>
      </c>
      <c r="J676" s="11">
        <f t="shared" si="5"/>
        <v>17</v>
      </c>
      <c r="K676" s="7" t="s">
        <v>322</v>
      </c>
      <c r="L676" s="7" t="s">
        <v>323</v>
      </c>
      <c r="M676" s="7" t="str">
        <f>VLOOKUP(L676,countries, 2,false)</f>
        <v>Montenegro</v>
      </c>
      <c r="N676" s="7" t="str">
        <f>VLOOKUP(L676,countries, 4,false)</f>
        <v>Europe</v>
      </c>
      <c r="O676" s="7" t="str">
        <f>VLOOKUP(L676,countries, 5,false)</f>
        <v>Southern Europe</v>
      </c>
      <c r="P676" s="7" t="s">
        <v>212</v>
      </c>
      <c r="Q676" s="7">
        <v>3473.0</v>
      </c>
      <c r="R676" s="12">
        <v>668.27</v>
      </c>
      <c r="S676" s="12">
        <v>502.54</v>
      </c>
      <c r="T676" s="13">
        <f t="shared" si="6"/>
        <v>2320901.71</v>
      </c>
      <c r="U676" s="13">
        <f t="shared" si="7"/>
        <v>291453.81</v>
      </c>
      <c r="V676" s="13">
        <f t="shared" si="8"/>
        <v>2029447.9</v>
      </c>
      <c r="W676" s="14">
        <f>Q676/totals!B$2</f>
        <v>0.0005280905232</v>
      </c>
      <c r="X676" s="14">
        <f t="shared" si="9"/>
        <v>0.5021143388</v>
      </c>
      <c r="Y676" s="14">
        <f>T676/totals!B$5</f>
        <v>0.001363528354</v>
      </c>
      <c r="Z676" s="14">
        <f t="shared" si="10"/>
        <v>0.4954567573</v>
      </c>
      <c r="AA676" s="14">
        <f>V676/totals!B$4</f>
        <v>0.004046670158</v>
      </c>
      <c r="AB676" s="14">
        <f t="shared" si="11"/>
        <v>0.5092422627</v>
      </c>
    </row>
    <row r="677">
      <c r="A677" s="7">
        <v>3127.0</v>
      </c>
      <c r="B677" s="7" t="str">
        <f>VLOOKUP($A677,product_category,2, False)</f>
        <v>Personal Care</v>
      </c>
      <c r="C677" s="7">
        <v>5.47225844E8</v>
      </c>
      <c r="D677" s="9">
        <v>41027.0</v>
      </c>
      <c r="E677" s="10">
        <f t="shared" si="1"/>
        <v>4</v>
      </c>
      <c r="F677" s="10" t="str">
        <f t="shared" si="2"/>
        <v>Apr</v>
      </c>
      <c r="G677" s="11">
        <f t="shared" si="3"/>
        <v>28</v>
      </c>
      <c r="H677" s="7">
        <f t="shared" si="4"/>
        <v>2012</v>
      </c>
      <c r="I677" s="9">
        <v>41059.0</v>
      </c>
      <c r="J677" s="11">
        <f t="shared" si="5"/>
        <v>32</v>
      </c>
      <c r="K677" s="7" t="s">
        <v>322</v>
      </c>
      <c r="L677" s="7" t="s">
        <v>383</v>
      </c>
      <c r="M677" s="7" t="str">
        <f>VLOOKUP(L677,countries, 2,false)</f>
        <v>Ireland</v>
      </c>
      <c r="N677" s="7" t="str">
        <f>VLOOKUP(L677,countries, 4,false)</f>
        <v>Europe</v>
      </c>
      <c r="O677" s="7" t="str">
        <f>VLOOKUP(L677,countries, 5,false)</f>
        <v>Northern Europe</v>
      </c>
      <c r="P677" s="7" t="s">
        <v>212</v>
      </c>
      <c r="Q677" s="7">
        <v>5143.0</v>
      </c>
      <c r="R677" s="12">
        <v>81.73</v>
      </c>
      <c r="S677" s="12">
        <v>56.67</v>
      </c>
      <c r="T677" s="13">
        <f t="shared" si="6"/>
        <v>420337.39</v>
      </c>
      <c r="U677" s="13">
        <f t="shared" si="7"/>
        <v>242769.03</v>
      </c>
      <c r="V677" s="13">
        <f t="shared" si="8"/>
        <v>177568.36</v>
      </c>
      <c r="W677" s="14">
        <f>Q677/totals!B$2</f>
        <v>0.0007820240601</v>
      </c>
      <c r="X677" s="14">
        <f t="shared" si="9"/>
        <v>0.5028963629</v>
      </c>
      <c r="Y677" s="14">
        <f>T677/totals!B$5</f>
        <v>0.0002469479629</v>
      </c>
      <c r="Z677" s="14">
        <f t="shared" si="10"/>
        <v>0.4957037053</v>
      </c>
      <c r="AA677" s="14">
        <f>V677/totals!B$4</f>
        <v>0.0003540670265</v>
      </c>
      <c r="AB677" s="14">
        <f t="shared" si="11"/>
        <v>0.5095963297</v>
      </c>
    </row>
    <row r="678">
      <c r="A678" s="7">
        <v>2103.0</v>
      </c>
      <c r="B678" s="7" t="str">
        <f>VLOOKUP($A678,product_category,2, False)</f>
        <v>Cereal</v>
      </c>
      <c r="C678" s="7">
        <v>5.47587192E8</v>
      </c>
      <c r="D678" s="9">
        <v>40703.0</v>
      </c>
      <c r="E678" s="10">
        <f t="shared" si="1"/>
        <v>6</v>
      </c>
      <c r="F678" s="10" t="str">
        <f t="shared" si="2"/>
        <v>Jun</v>
      </c>
      <c r="G678" s="11">
        <f t="shared" si="3"/>
        <v>9</v>
      </c>
      <c r="H678" s="7">
        <f t="shared" si="4"/>
        <v>2011</v>
      </c>
      <c r="I678" s="9">
        <v>40738.0</v>
      </c>
      <c r="J678" s="11">
        <f t="shared" si="5"/>
        <v>35</v>
      </c>
      <c r="K678" s="7" t="s">
        <v>110</v>
      </c>
      <c r="L678" s="7" t="e">
        <v>#N/A</v>
      </c>
      <c r="M678" s="7"/>
      <c r="N678" s="7"/>
      <c r="O678" s="7"/>
      <c r="P678" s="7" t="s">
        <v>129</v>
      </c>
      <c r="Q678" s="7">
        <v>2073.0</v>
      </c>
      <c r="R678" s="12">
        <v>205.7</v>
      </c>
      <c r="S678" s="12">
        <v>117.11</v>
      </c>
      <c r="T678" s="13">
        <f t="shared" si="6"/>
        <v>426416.1</v>
      </c>
      <c r="U678" s="13">
        <f t="shared" si="7"/>
        <v>191317.92</v>
      </c>
      <c r="V678" s="13">
        <f t="shared" si="8"/>
        <v>235098.18</v>
      </c>
      <c r="W678" s="14">
        <f>Q678/totals!B$2</f>
        <v>0.000315212109</v>
      </c>
      <c r="X678" s="14">
        <f t="shared" si="9"/>
        <v>0.503211575</v>
      </c>
      <c r="Y678" s="14">
        <f>T678/totals!B$5</f>
        <v>0.0002505192014</v>
      </c>
      <c r="Z678" s="14">
        <f t="shared" si="10"/>
        <v>0.4959542245</v>
      </c>
      <c r="AA678" s="14">
        <f>V678/totals!B$4</f>
        <v>0.0004687800998</v>
      </c>
      <c r="AB678" s="14">
        <f t="shared" si="11"/>
        <v>0.5100651098</v>
      </c>
    </row>
    <row r="679">
      <c r="A679" s="7">
        <v>3127.0</v>
      </c>
      <c r="B679" s="7" t="str">
        <f>VLOOKUP($A679,product_category,2, False)</f>
        <v>Personal Care</v>
      </c>
      <c r="C679" s="7">
        <v>5.47625386E8</v>
      </c>
      <c r="D679" s="9">
        <v>42272.0</v>
      </c>
      <c r="E679" s="10">
        <f t="shared" si="1"/>
        <v>9</v>
      </c>
      <c r="F679" s="10" t="str">
        <f t="shared" si="2"/>
        <v>Sep</v>
      </c>
      <c r="G679" s="11">
        <f t="shared" si="3"/>
        <v>25</v>
      </c>
      <c r="H679" s="7">
        <f t="shared" si="4"/>
        <v>2015</v>
      </c>
      <c r="I679" s="9">
        <v>42276.0</v>
      </c>
      <c r="J679" s="11">
        <f t="shared" si="5"/>
        <v>4</v>
      </c>
      <c r="K679" s="7" t="s">
        <v>382</v>
      </c>
      <c r="L679" s="7" t="s">
        <v>454</v>
      </c>
      <c r="M679" s="7" t="str">
        <f>VLOOKUP(L679,countries, 2,false)</f>
        <v>Luxembourg</v>
      </c>
      <c r="N679" s="7" t="str">
        <f>VLOOKUP(L679,countries, 4,false)</f>
        <v>Europe</v>
      </c>
      <c r="O679" s="7" t="str">
        <f>VLOOKUP(L679,countries, 5,false)</f>
        <v>Western Europe</v>
      </c>
      <c r="P679" s="7" t="s">
        <v>212</v>
      </c>
      <c r="Q679" s="7">
        <v>3376.0</v>
      </c>
      <c r="R679" s="12">
        <v>81.73</v>
      </c>
      <c r="S679" s="12">
        <v>56.67</v>
      </c>
      <c r="T679" s="13">
        <f t="shared" si="6"/>
        <v>275920.48</v>
      </c>
      <c r="U679" s="13">
        <f t="shared" si="7"/>
        <v>60999.8</v>
      </c>
      <c r="V679" s="13">
        <f t="shared" si="8"/>
        <v>214920.68</v>
      </c>
      <c r="W679" s="14">
        <f>Q679/totals!B$2</f>
        <v>0.0005133410902</v>
      </c>
      <c r="X679" s="14">
        <f t="shared" si="9"/>
        <v>0.5037249161</v>
      </c>
      <c r="Y679" s="14">
        <f>T679/totals!B$5</f>
        <v>0.0001621031155</v>
      </c>
      <c r="Z679" s="14">
        <f t="shared" si="10"/>
        <v>0.4961163276</v>
      </c>
      <c r="AA679" s="14">
        <f>V679/totals!B$4</f>
        <v>0.0004285466516</v>
      </c>
      <c r="AB679" s="14">
        <f t="shared" si="11"/>
        <v>0.5104936565</v>
      </c>
    </row>
    <row r="680">
      <c r="A680" s="7">
        <v>4594.0</v>
      </c>
      <c r="B680" s="7" t="str">
        <f>VLOOKUP($A680,product_category,2, False)</f>
        <v>Fruits</v>
      </c>
      <c r="C680" s="7">
        <v>5.48015487E8</v>
      </c>
      <c r="D680" s="9">
        <v>42632.0</v>
      </c>
      <c r="E680" s="10">
        <f t="shared" si="1"/>
        <v>9</v>
      </c>
      <c r="F680" s="10" t="str">
        <f t="shared" si="2"/>
        <v>Sep</v>
      </c>
      <c r="G680" s="11">
        <f t="shared" si="3"/>
        <v>19</v>
      </c>
      <c r="H680" s="7">
        <f t="shared" si="4"/>
        <v>2016</v>
      </c>
      <c r="I680" s="9">
        <v>42652.0</v>
      </c>
      <c r="J680" s="11">
        <f t="shared" si="5"/>
        <v>20</v>
      </c>
      <c r="K680" s="7" t="s">
        <v>322</v>
      </c>
      <c r="L680" s="7" t="s">
        <v>383</v>
      </c>
      <c r="M680" s="7" t="str">
        <f>VLOOKUP(L680,countries, 2,false)</f>
        <v>Ireland</v>
      </c>
      <c r="N680" s="7" t="str">
        <f>VLOOKUP(L680,countries, 4,false)</f>
        <v>Europe</v>
      </c>
      <c r="O680" s="7" t="str">
        <f>VLOOKUP(L680,countries, 5,false)</f>
        <v>Northern Europe</v>
      </c>
      <c r="P680" s="7" t="s">
        <v>129</v>
      </c>
      <c r="Q680" s="7">
        <v>8815.0</v>
      </c>
      <c r="R680" s="12">
        <v>9.33</v>
      </c>
      <c r="S680" s="12">
        <v>6.92</v>
      </c>
      <c r="T680" s="13">
        <f t="shared" si="6"/>
        <v>82243.95</v>
      </c>
      <c r="U680" s="13">
        <f t="shared" si="7"/>
        <v>581424.48</v>
      </c>
      <c r="V680" s="13">
        <f t="shared" si="8"/>
        <v>-499180.53</v>
      </c>
      <c r="W680" s="14">
        <f>Q680/totals!B$2</f>
        <v>0.001340373729</v>
      </c>
      <c r="X680" s="14">
        <f t="shared" si="9"/>
        <v>0.5050652898</v>
      </c>
      <c r="Y680" s="14">
        <f>T680/totals!B$5</f>
        <v>0.00004831827099</v>
      </c>
      <c r="Z680" s="14">
        <f t="shared" si="10"/>
        <v>0.4961646459</v>
      </c>
      <c r="AA680" s="14">
        <f>V680/totals!B$4</f>
        <v>-0.0009953539355</v>
      </c>
      <c r="AB680" s="14">
        <f t="shared" si="11"/>
        <v>0.5094983025</v>
      </c>
    </row>
    <row r="681">
      <c r="A681" s="7">
        <v>8969.0</v>
      </c>
      <c r="B681" s="7" t="str">
        <f>VLOOKUP($A681,product_category,2, False)</f>
        <v>Snacks</v>
      </c>
      <c r="C681" s="7">
        <v>5.48343789E8</v>
      </c>
      <c r="D681" s="9">
        <v>41977.0</v>
      </c>
      <c r="E681" s="10">
        <f t="shared" si="1"/>
        <v>12</v>
      </c>
      <c r="F681" s="10" t="str">
        <f t="shared" si="2"/>
        <v>Dec</v>
      </c>
      <c r="G681" s="11">
        <f t="shared" si="3"/>
        <v>4</v>
      </c>
      <c r="H681" s="7">
        <f t="shared" si="4"/>
        <v>2014</v>
      </c>
      <c r="I681" s="9">
        <v>41979.0</v>
      </c>
      <c r="J681" s="11">
        <f t="shared" si="5"/>
        <v>2</v>
      </c>
      <c r="K681" s="7" t="s">
        <v>322</v>
      </c>
      <c r="L681" s="7" t="s">
        <v>231</v>
      </c>
      <c r="M681" s="7" t="str">
        <f>VLOOKUP(L681,countries, 2,false)</f>
        <v>Cyprus</v>
      </c>
      <c r="N681" s="7" t="str">
        <f>VLOOKUP(L681,countries, 4,false)</f>
        <v>Asia</v>
      </c>
      <c r="O681" s="7" t="str">
        <f>VLOOKUP(L681,countries, 5,false)</f>
        <v>Western Asia</v>
      </c>
      <c r="P681" s="7" t="s">
        <v>212</v>
      </c>
      <c r="Q681" s="7">
        <v>5967.0</v>
      </c>
      <c r="R681" s="12">
        <v>152.58</v>
      </c>
      <c r="S681" s="12">
        <v>97.44</v>
      </c>
      <c r="T681" s="13">
        <f t="shared" si="6"/>
        <v>910444.86</v>
      </c>
      <c r="U681" s="13">
        <f t="shared" si="7"/>
        <v>1755372.22</v>
      </c>
      <c r="V681" s="13">
        <f t="shared" si="8"/>
        <v>-844927.36</v>
      </c>
      <c r="W681" s="14">
        <f>Q681/totals!B$2</f>
        <v>0.0009073182125</v>
      </c>
      <c r="X681" s="14">
        <f t="shared" si="9"/>
        <v>0.505972608</v>
      </c>
      <c r="Y681" s="14">
        <f>T681/totals!B$5</f>
        <v>0.0005348858057</v>
      </c>
      <c r="Z681" s="14">
        <f t="shared" si="10"/>
        <v>0.4966995317</v>
      </c>
      <c r="AA681" s="14">
        <f>V681/totals!B$4</f>
        <v>-0.001684764774</v>
      </c>
      <c r="AB681" s="14">
        <f t="shared" si="11"/>
        <v>0.5078135378</v>
      </c>
    </row>
    <row r="682">
      <c r="A682" s="7">
        <v>7940.0</v>
      </c>
      <c r="B682" s="7" t="str">
        <f>VLOOKUP($A682,product_category,2, False)</f>
        <v>Household</v>
      </c>
      <c r="C682" s="7">
        <v>5.48403012E8</v>
      </c>
      <c r="D682" s="9">
        <v>40991.0</v>
      </c>
      <c r="E682" s="10">
        <f t="shared" si="1"/>
        <v>3</v>
      </c>
      <c r="F682" s="10" t="str">
        <f t="shared" si="2"/>
        <v>Mar</v>
      </c>
      <c r="G682" s="11">
        <f t="shared" si="3"/>
        <v>23</v>
      </c>
      <c r="H682" s="7">
        <f t="shared" si="4"/>
        <v>2012</v>
      </c>
      <c r="I682" s="9">
        <v>41003.0</v>
      </c>
      <c r="J682" s="11">
        <f t="shared" si="5"/>
        <v>12</v>
      </c>
      <c r="K682" s="7" t="s">
        <v>198</v>
      </c>
      <c r="L682" s="7" t="s">
        <v>762</v>
      </c>
      <c r="M682" s="7" t="str">
        <f>VLOOKUP(L682,countries, 2,false)</f>
        <v>United Kingdom</v>
      </c>
      <c r="N682" s="7" t="str">
        <f>VLOOKUP(L682,countries, 4,false)</f>
        <v>Europe</v>
      </c>
      <c r="O682" s="7" t="str">
        <f>VLOOKUP(L682,countries, 5,false)</f>
        <v>Northern Europe</v>
      </c>
      <c r="P682" s="7" t="s">
        <v>129</v>
      </c>
      <c r="Q682" s="7">
        <v>3493.0</v>
      </c>
      <c r="R682" s="12">
        <v>668.27</v>
      </c>
      <c r="S682" s="12">
        <v>502.54</v>
      </c>
      <c r="T682" s="13">
        <f t="shared" si="6"/>
        <v>2334267.11</v>
      </c>
      <c r="U682" s="13">
        <f t="shared" si="7"/>
        <v>2426365.12</v>
      </c>
      <c r="V682" s="13">
        <f t="shared" si="8"/>
        <v>-92098.01</v>
      </c>
      <c r="W682" s="14">
        <f>Q682/totals!B$2</f>
        <v>0.0005311316434</v>
      </c>
      <c r="X682" s="14">
        <f t="shared" si="9"/>
        <v>0.5065037397</v>
      </c>
      <c r="Y682" s="14">
        <f>T682/totals!B$5</f>
        <v>0.001371380518</v>
      </c>
      <c r="Z682" s="14">
        <f t="shared" si="10"/>
        <v>0.4980709122</v>
      </c>
      <c r="AA682" s="14">
        <f>V682/totals!B$4</f>
        <v>-0.0001836412103</v>
      </c>
      <c r="AB682" s="14">
        <f t="shared" si="11"/>
        <v>0.5076298966</v>
      </c>
    </row>
    <row r="683">
      <c r="A683" s="7">
        <v>8681.0</v>
      </c>
      <c r="B683" s="7" t="str">
        <f>VLOOKUP($A683,product_category,2, False)</f>
        <v>Office Supplies</v>
      </c>
      <c r="C683" s="7">
        <v>5.49048888E8</v>
      </c>
      <c r="D683" s="9">
        <v>41943.0</v>
      </c>
      <c r="E683" s="10">
        <f t="shared" si="1"/>
        <v>10</v>
      </c>
      <c r="F683" s="10" t="str">
        <f t="shared" si="2"/>
        <v>Oct</v>
      </c>
      <c r="G683" s="11">
        <f t="shared" si="3"/>
        <v>31</v>
      </c>
      <c r="H683" s="7">
        <f t="shared" si="4"/>
        <v>2014</v>
      </c>
      <c r="I683" s="9">
        <v>41975.0</v>
      </c>
      <c r="J683" s="11">
        <f t="shared" si="5"/>
        <v>32</v>
      </c>
      <c r="K683" s="7" t="s">
        <v>382</v>
      </c>
      <c r="L683" s="7" t="s">
        <v>454</v>
      </c>
      <c r="M683" s="7" t="str">
        <f>VLOOKUP(L683,countries, 2,false)</f>
        <v>Luxembourg</v>
      </c>
      <c r="N683" s="7" t="str">
        <f>VLOOKUP(L683,countries, 4,false)</f>
        <v>Europe</v>
      </c>
      <c r="O683" s="7" t="str">
        <f>VLOOKUP(L683,countries, 5,false)</f>
        <v>Western Europe</v>
      </c>
      <c r="P683" s="7" t="s">
        <v>129</v>
      </c>
      <c r="Q683" s="7">
        <v>4622.0</v>
      </c>
      <c r="R683" s="12">
        <v>651.21</v>
      </c>
      <c r="S683" s="12">
        <v>524.96</v>
      </c>
      <c r="T683" s="13">
        <f t="shared" si="6"/>
        <v>3009892.62</v>
      </c>
      <c r="U683" s="13">
        <f t="shared" si="7"/>
        <v>3726836.64</v>
      </c>
      <c r="V683" s="13">
        <f t="shared" si="8"/>
        <v>-716944.02</v>
      </c>
      <c r="W683" s="14">
        <f>Q683/totals!B$2</f>
        <v>0.0007028028788</v>
      </c>
      <c r="X683" s="14">
        <f t="shared" si="9"/>
        <v>0.5072065425</v>
      </c>
      <c r="Y683" s="14">
        <f>T683/totals!B$5</f>
        <v>0.001768310098</v>
      </c>
      <c r="Z683" s="14">
        <f t="shared" si="10"/>
        <v>0.4998392223</v>
      </c>
      <c r="AA683" s="14">
        <f>V683/totals!B$4</f>
        <v>-0.001429569082</v>
      </c>
      <c r="AB683" s="14">
        <f t="shared" si="11"/>
        <v>0.5062003275</v>
      </c>
    </row>
    <row r="684">
      <c r="A684" s="7">
        <v>7940.0</v>
      </c>
      <c r="B684" s="7" t="str">
        <f>VLOOKUP($A684,product_category,2, False)</f>
        <v>Household</v>
      </c>
      <c r="C684" s="7">
        <v>5.4905833E8</v>
      </c>
      <c r="D684" s="9">
        <v>42828.0</v>
      </c>
      <c r="E684" s="10">
        <f t="shared" si="1"/>
        <v>4</v>
      </c>
      <c r="F684" s="10" t="str">
        <f t="shared" si="2"/>
        <v>Apr</v>
      </c>
      <c r="G684" s="11">
        <f t="shared" si="3"/>
        <v>3</v>
      </c>
      <c r="H684" s="7">
        <f t="shared" si="4"/>
        <v>2017</v>
      </c>
      <c r="I684" s="9">
        <v>42866.0</v>
      </c>
      <c r="J684" s="11">
        <f t="shared" si="5"/>
        <v>38</v>
      </c>
      <c r="K684" s="7" t="s">
        <v>382</v>
      </c>
      <c r="L684" s="7" t="s">
        <v>612</v>
      </c>
      <c r="M684" s="7" t="str">
        <f>VLOOKUP(L684,countries, 2,false)</f>
        <v>Russia</v>
      </c>
      <c r="N684" s="7" t="str">
        <f>VLOOKUP(L684,countries, 4,false)</f>
        <v>Europe</v>
      </c>
      <c r="O684" s="7" t="str">
        <f>VLOOKUP(L684,countries, 5,false)</f>
        <v>Eastern Europe</v>
      </c>
      <c r="P684" s="7" t="s">
        <v>129</v>
      </c>
      <c r="Q684" s="7">
        <v>7416.0</v>
      </c>
      <c r="R684" s="12">
        <v>668.27</v>
      </c>
      <c r="S684" s="12">
        <v>502.54</v>
      </c>
      <c r="T684" s="13">
        <f t="shared" si="6"/>
        <v>4955890.32</v>
      </c>
      <c r="U684" s="13">
        <f t="shared" si="7"/>
        <v>1519150.77</v>
      </c>
      <c r="V684" s="13">
        <f t="shared" si="8"/>
        <v>3436739.55</v>
      </c>
      <c r="W684" s="14">
        <f>Q684/totals!B$2</f>
        <v>0.001127647371</v>
      </c>
      <c r="X684" s="14">
        <f t="shared" si="9"/>
        <v>0.5083341899</v>
      </c>
      <c r="Y684" s="14">
        <f>T684/totals!B$5</f>
        <v>0.002911582572</v>
      </c>
      <c r="Z684" s="14">
        <f t="shared" si="10"/>
        <v>0.5027508048</v>
      </c>
      <c r="AA684" s="14">
        <f>V684/totals!B$4</f>
        <v>0.006852775761</v>
      </c>
      <c r="AB684" s="14">
        <f t="shared" si="11"/>
        <v>0.5130531032</v>
      </c>
    </row>
    <row r="685">
      <c r="A685" s="7">
        <v>8293.0</v>
      </c>
      <c r="B685" s="7" t="str">
        <f>VLOOKUP($A685,product_category,2, False)</f>
        <v>Cosmetics</v>
      </c>
      <c r="C685" s="7">
        <v>5.49187934E8</v>
      </c>
      <c r="D685" s="9">
        <v>42154.0</v>
      </c>
      <c r="E685" s="10">
        <f t="shared" si="1"/>
        <v>5</v>
      </c>
      <c r="F685" s="10" t="str">
        <f t="shared" si="2"/>
        <v>May</v>
      </c>
      <c r="G685" s="11">
        <f t="shared" si="3"/>
        <v>30</v>
      </c>
      <c r="H685" s="7">
        <f t="shared" si="4"/>
        <v>2015</v>
      </c>
      <c r="I685" s="9">
        <v>42202.0</v>
      </c>
      <c r="J685" s="11">
        <f t="shared" si="5"/>
        <v>48</v>
      </c>
      <c r="K685" s="7" t="s">
        <v>382</v>
      </c>
      <c r="L685" s="7" t="s">
        <v>439</v>
      </c>
      <c r="M685" s="7" t="str">
        <f>VLOOKUP(L685,countries, 2,false)</f>
        <v>Slovakia</v>
      </c>
      <c r="N685" s="7" t="str">
        <f>VLOOKUP(L685,countries, 4,false)</f>
        <v>Europe</v>
      </c>
      <c r="O685" s="7" t="str">
        <f>VLOOKUP(L685,countries, 5,false)</f>
        <v>Eastern Europe</v>
      </c>
      <c r="P685" s="7" t="s">
        <v>129</v>
      </c>
      <c r="Q685" s="7">
        <v>5769.0</v>
      </c>
      <c r="R685" s="12">
        <v>437.2</v>
      </c>
      <c r="S685" s="12">
        <v>263.33</v>
      </c>
      <c r="T685" s="13">
        <f t="shared" si="6"/>
        <v>2522206.8</v>
      </c>
      <c r="U685" s="13">
        <f t="shared" si="7"/>
        <v>1115461.74</v>
      </c>
      <c r="V685" s="13">
        <f t="shared" si="8"/>
        <v>1406745.06</v>
      </c>
      <c r="W685" s="14">
        <f>Q685/totals!B$2</f>
        <v>0.0008772111225</v>
      </c>
      <c r="X685" s="14">
        <f t="shared" si="9"/>
        <v>0.509211401</v>
      </c>
      <c r="Y685" s="14">
        <f>T685/totals!B$5</f>
        <v>0.001481794973</v>
      </c>
      <c r="Z685" s="14">
        <f t="shared" si="10"/>
        <v>0.5042325998</v>
      </c>
      <c r="AA685" s="14">
        <f>V685/totals!B$4</f>
        <v>0.002805015716</v>
      </c>
      <c r="AB685" s="14">
        <f t="shared" si="11"/>
        <v>0.5158581189</v>
      </c>
    </row>
    <row r="686">
      <c r="A686" s="7">
        <v>7331.0</v>
      </c>
      <c r="B686" s="7" t="str">
        <f>VLOOKUP($A686,product_category,2, False)</f>
        <v>Baby Food</v>
      </c>
      <c r="C686" s="7">
        <v>5.51118266E8</v>
      </c>
      <c r="D686" s="9">
        <v>42567.0</v>
      </c>
      <c r="E686" s="10">
        <f t="shared" si="1"/>
        <v>7</v>
      </c>
      <c r="F686" s="10" t="str">
        <f t="shared" si="2"/>
        <v>Jul</v>
      </c>
      <c r="G686" s="11">
        <f t="shared" si="3"/>
        <v>16</v>
      </c>
      <c r="H686" s="7">
        <f t="shared" si="4"/>
        <v>2016</v>
      </c>
      <c r="I686" s="9">
        <v>42597.0</v>
      </c>
      <c r="J686" s="11">
        <f t="shared" si="5"/>
        <v>30</v>
      </c>
      <c r="K686" s="7" t="s">
        <v>322</v>
      </c>
      <c r="L686" s="7" t="s">
        <v>136</v>
      </c>
      <c r="M686" s="7" t="str">
        <f>VLOOKUP(L686,countries, 2,false)</f>
        <v>Bosnia and Herzegovina</v>
      </c>
      <c r="N686" s="7" t="str">
        <f>VLOOKUP(L686,countries, 4,false)</f>
        <v>Europe</v>
      </c>
      <c r="O686" s="7" t="str">
        <f>VLOOKUP(L686,countries, 5,false)</f>
        <v>Southern Europe</v>
      </c>
      <c r="P686" s="7" t="s">
        <v>129</v>
      </c>
      <c r="Q686" s="7">
        <v>6997.0</v>
      </c>
      <c r="R686" s="12">
        <v>255.28</v>
      </c>
      <c r="S686" s="12">
        <v>159.42</v>
      </c>
      <c r="T686" s="13">
        <f t="shared" si="6"/>
        <v>1786194.16</v>
      </c>
      <c r="U686" s="13">
        <f t="shared" si="7"/>
        <v>1056566.42</v>
      </c>
      <c r="V686" s="13">
        <f t="shared" si="8"/>
        <v>729627.74</v>
      </c>
      <c r="W686" s="14">
        <f>Q686/totals!B$2</f>
        <v>0.001063935903</v>
      </c>
      <c r="X686" s="14">
        <f t="shared" si="9"/>
        <v>0.5102753369</v>
      </c>
      <c r="Y686" s="14">
        <f>T686/totals!B$5</f>
        <v>0.001049387991</v>
      </c>
      <c r="Z686" s="14">
        <f t="shared" si="10"/>
        <v>0.5052819878</v>
      </c>
      <c r="AA686" s="14">
        <f>V686/totals!B$4</f>
        <v>0.001454860113</v>
      </c>
      <c r="AB686" s="14">
        <f t="shared" si="11"/>
        <v>0.5173129791</v>
      </c>
    </row>
    <row r="687">
      <c r="A687" s="7">
        <v>2103.0</v>
      </c>
      <c r="B687" s="7" t="str">
        <f>VLOOKUP($A687,product_category,2, False)</f>
        <v>Cereal</v>
      </c>
      <c r="C687" s="7">
        <v>5.52037513E8</v>
      </c>
      <c r="D687" s="9">
        <v>40732.0</v>
      </c>
      <c r="E687" s="10">
        <f t="shared" si="1"/>
        <v>7</v>
      </c>
      <c r="F687" s="10" t="str">
        <f t="shared" si="2"/>
        <v>Jul</v>
      </c>
      <c r="G687" s="11">
        <f t="shared" si="3"/>
        <v>8</v>
      </c>
      <c r="H687" s="7">
        <f t="shared" si="4"/>
        <v>2011</v>
      </c>
      <c r="I687" s="9">
        <v>40760.0</v>
      </c>
      <c r="J687" s="11">
        <f t="shared" si="5"/>
        <v>28</v>
      </c>
      <c r="K687" s="7" t="s">
        <v>110</v>
      </c>
      <c r="L687" s="7" t="s">
        <v>234</v>
      </c>
      <c r="M687" s="7" t="str">
        <f>VLOOKUP(L687,countries, 2,false)</f>
        <v>Czech Republic</v>
      </c>
      <c r="N687" s="7" t="str">
        <f>VLOOKUP(L687,countries, 4,false)</f>
        <v>Europe</v>
      </c>
      <c r="O687" s="7" t="str">
        <f>VLOOKUP(L687,countries, 5,false)</f>
        <v>Eastern Europe</v>
      </c>
      <c r="P687" s="7" t="s">
        <v>129</v>
      </c>
      <c r="Q687" s="7">
        <v>9022.0</v>
      </c>
      <c r="R687" s="12">
        <v>205.7</v>
      </c>
      <c r="S687" s="12">
        <v>117.11</v>
      </c>
      <c r="T687" s="13">
        <f t="shared" si="6"/>
        <v>1855825.4</v>
      </c>
      <c r="U687" s="13">
        <f t="shared" si="7"/>
        <v>3559009.71</v>
      </c>
      <c r="V687" s="13">
        <f t="shared" si="8"/>
        <v>-1703184.31</v>
      </c>
      <c r="W687" s="14">
        <f>Q687/totals!B$2</f>
        <v>0.001371849323</v>
      </c>
      <c r="X687" s="14">
        <f t="shared" si="9"/>
        <v>0.5116471863</v>
      </c>
      <c r="Y687" s="14">
        <f>T687/totals!B$5</f>
        <v>0.001090296302</v>
      </c>
      <c r="Z687" s="14">
        <f t="shared" si="10"/>
        <v>0.5063722841</v>
      </c>
      <c r="AA687" s="14">
        <f>V687/totals!B$4</f>
        <v>-0.00339610843</v>
      </c>
      <c r="AB687" s="14">
        <f t="shared" si="11"/>
        <v>0.5139168706</v>
      </c>
    </row>
    <row r="688">
      <c r="A688" s="7">
        <v>8875.0</v>
      </c>
      <c r="B688" s="7" t="str">
        <f>VLOOKUP($A688,product_category,2, False)</f>
        <v>Meat</v>
      </c>
      <c r="C688" s="7">
        <v>5.52276551E8</v>
      </c>
      <c r="D688" s="9">
        <v>40761.0</v>
      </c>
      <c r="E688" s="10">
        <f t="shared" si="1"/>
        <v>8</v>
      </c>
      <c r="F688" s="10" t="str">
        <f t="shared" si="2"/>
        <v>Aug</v>
      </c>
      <c r="G688" s="11">
        <f t="shared" si="3"/>
        <v>6</v>
      </c>
      <c r="H688" s="7">
        <f t="shared" si="4"/>
        <v>2011</v>
      </c>
      <c r="I688" s="9">
        <v>40810.0</v>
      </c>
      <c r="J688" s="11">
        <f t="shared" si="5"/>
        <v>49</v>
      </c>
      <c r="K688" s="7" t="s">
        <v>322</v>
      </c>
      <c r="L688" s="7" t="s">
        <v>234</v>
      </c>
      <c r="M688" s="7" t="str">
        <f>VLOOKUP(L688,countries, 2,false)</f>
        <v>Czech Republic</v>
      </c>
      <c r="N688" s="7" t="str">
        <f>VLOOKUP(L688,countries, 4,false)</f>
        <v>Europe</v>
      </c>
      <c r="O688" s="7" t="str">
        <f>VLOOKUP(L688,countries, 5,false)</f>
        <v>Eastern Europe</v>
      </c>
      <c r="P688" s="7" t="s">
        <v>212</v>
      </c>
      <c r="Q688" s="7">
        <v>9759.0</v>
      </c>
      <c r="R688" s="12">
        <v>421.89</v>
      </c>
      <c r="S688" s="12">
        <v>364.69</v>
      </c>
      <c r="T688" s="13">
        <f t="shared" si="6"/>
        <v>4117224.51</v>
      </c>
      <c r="U688" s="13">
        <f t="shared" si="7"/>
        <v>1342788.58</v>
      </c>
      <c r="V688" s="13">
        <f t="shared" si="8"/>
        <v>2774435.93</v>
      </c>
      <c r="W688" s="14">
        <f>Q688/totals!B$2</f>
        <v>0.001483914603</v>
      </c>
      <c r="X688" s="14">
        <f t="shared" si="9"/>
        <v>0.5131311009</v>
      </c>
      <c r="Y688" s="14">
        <f>T688/totals!B$5</f>
        <v>0.002418866915</v>
      </c>
      <c r="Z688" s="14">
        <f t="shared" si="10"/>
        <v>0.508791151</v>
      </c>
      <c r="AA688" s="14">
        <f>V688/totals!B$4</f>
        <v>0.005532158319</v>
      </c>
      <c r="AB688" s="14">
        <f t="shared" si="11"/>
        <v>0.519449029</v>
      </c>
    </row>
    <row r="689">
      <c r="A689" s="7">
        <v>8875.0</v>
      </c>
      <c r="B689" s="7" t="str">
        <f>VLOOKUP($A689,product_category,2, False)</f>
        <v>Meat</v>
      </c>
      <c r="C689" s="7">
        <v>5.52931869E8</v>
      </c>
      <c r="D689" s="9">
        <v>42598.0</v>
      </c>
      <c r="E689" s="10">
        <f t="shared" si="1"/>
        <v>8</v>
      </c>
      <c r="F689" s="10" t="str">
        <f t="shared" si="2"/>
        <v>Aug</v>
      </c>
      <c r="G689" s="11">
        <f t="shared" si="3"/>
        <v>16</v>
      </c>
      <c r="H689" s="7">
        <f t="shared" si="4"/>
        <v>2016</v>
      </c>
      <c r="I689" s="9">
        <v>42622.0</v>
      </c>
      <c r="J689" s="11">
        <f t="shared" si="5"/>
        <v>24</v>
      </c>
      <c r="K689" s="7" t="s">
        <v>382</v>
      </c>
      <c r="L689" s="7" t="s">
        <v>56</v>
      </c>
      <c r="M689" s="7" t="str">
        <f>VLOOKUP(L689,countries, 2,false)</f>
        <v>Andorra</v>
      </c>
      <c r="N689" s="7" t="str">
        <f>VLOOKUP(L689,countries, 4,false)</f>
        <v>Europe</v>
      </c>
      <c r="O689" s="7" t="str">
        <f>VLOOKUP(L689,countries, 5,false)</f>
        <v>Southern Europe</v>
      </c>
      <c r="P689" s="7" t="s">
        <v>212</v>
      </c>
      <c r="Q689" s="7">
        <v>3682.0</v>
      </c>
      <c r="R689" s="12">
        <v>421.89</v>
      </c>
      <c r="S689" s="12">
        <v>364.69</v>
      </c>
      <c r="T689" s="13">
        <f t="shared" si="6"/>
        <v>1553398.98</v>
      </c>
      <c r="U689" s="13">
        <f t="shared" si="7"/>
        <v>325909.17</v>
      </c>
      <c r="V689" s="13">
        <f t="shared" si="8"/>
        <v>1227489.81</v>
      </c>
      <c r="W689" s="14">
        <f>Q689/totals!B$2</f>
        <v>0.0005598702293</v>
      </c>
      <c r="X689" s="14">
        <f t="shared" si="9"/>
        <v>0.5136909711</v>
      </c>
      <c r="Y689" s="14">
        <f>T689/totals!B$5</f>
        <v>0.0009126209632</v>
      </c>
      <c r="Z689" s="14">
        <f t="shared" si="10"/>
        <v>0.509703772</v>
      </c>
      <c r="AA689" s="14">
        <f>V689/totals!B$4</f>
        <v>0.002447585071</v>
      </c>
      <c r="AB689" s="14">
        <f t="shared" si="11"/>
        <v>0.521896614</v>
      </c>
    </row>
    <row r="690">
      <c r="A690" s="7">
        <v>3127.0</v>
      </c>
      <c r="B690" s="7" t="str">
        <f>VLOOKUP($A690,product_category,2, False)</f>
        <v>Personal Care</v>
      </c>
      <c r="C690" s="7">
        <v>5.53107821E8</v>
      </c>
      <c r="D690" s="9">
        <v>41994.0</v>
      </c>
      <c r="E690" s="10">
        <f t="shared" si="1"/>
        <v>12</v>
      </c>
      <c r="F690" s="10" t="str">
        <f t="shared" si="2"/>
        <v>Dec</v>
      </c>
      <c r="G690" s="11">
        <f t="shared" si="3"/>
        <v>21</v>
      </c>
      <c r="H690" s="7">
        <f t="shared" si="4"/>
        <v>2014</v>
      </c>
      <c r="I690" s="9">
        <v>42017.0</v>
      </c>
      <c r="J690" s="11">
        <f t="shared" si="5"/>
        <v>23</v>
      </c>
      <c r="K690" s="7" t="s">
        <v>110</v>
      </c>
      <c r="L690" s="7" t="s">
        <v>231</v>
      </c>
      <c r="M690" s="7" t="str">
        <f>VLOOKUP(L690,countries, 2,false)</f>
        <v>Cyprus</v>
      </c>
      <c r="N690" s="7" t="str">
        <f>VLOOKUP(L690,countries, 4,false)</f>
        <v>Asia</v>
      </c>
      <c r="O690" s="7" t="str">
        <f>VLOOKUP(L690,countries, 5,false)</f>
        <v>Western Asia</v>
      </c>
      <c r="P690" s="7" t="s">
        <v>129</v>
      </c>
      <c r="Q690" s="7">
        <v>5751.0</v>
      </c>
      <c r="R690" s="12">
        <v>81.73</v>
      </c>
      <c r="S690" s="12">
        <v>56.67</v>
      </c>
      <c r="T690" s="13">
        <f t="shared" si="6"/>
        <v>470029.23</v>
      </c>
      <c r="U690" s="13">
        <f t="shared" si="7"/>
        <v>466214.91</v>
      </c>
      <c r="V690" s="13">
        <f t="shared" si="8"/>
        <v>3814.32</v>
      </c>
      <c r="W690" s="14">
        <f>Q690/totals!B$2</f>
        <v>0.0008744741143</v>
      </c>
      <c r="X690" s="14">
        <f t="shared" si="9"/>
        <v>0.5145654452</v>
      </c>
      <c r="Y690" s="14">
        <f>T690/totals!B$5</f>
        <v>0.0002761418889</v>
      </c>
      <c r="Z690" s="14">
        <f t="shared" si="10"/>
        <v>0.5099799139</v>
      </c>
      <c r="AA690" s="14">
        <f>V690/totals!B$4</f>
        <v>0.00000760566207</v>
      </c>
      <c r="AB690" s="14">
        <f t="shared" si="11"/>
        <v>0.5219042197</v>
      </c>
    </row>
    <row r="691">
      <c r="A691" s="7">
        <v>2103.0</v>
      </c>
      <c r="B691" s="7" t="str">
        <f>VLOOKUP($A691,product_category,2, False)</f>
        <v>Cereal</v>
      </c>
      <c r="C691" s="7">
        <v>5.54554927E8</v>
      </c>
      <c r="D691" s="9">
        <v>41112.0</v>
      </c>
      <c r="E691" s="10">
        <f t="shared" si="1"/>
        <v>7</v>
      </c>
      <c r="F691" s="10" t="str">
        <f t="shared" si="2"/>
        <v>Jul</v>
      </c>
      <c r="G691" s="11">
        <f t="shared" si="3"/>
        <v>22</v>
      </c>
      <c r="H691" s="7">
        <f t="shared" si="4"/>
        <v>2012</v>
      </c>
      <c r="I691" s="9">
        <v>41127.0</v>
      </c>
      <c r="J691" s="11">
        <f t="shared" si="5"/>
        <v>15</v>
      </c>
      <c r="K691" s="7" t="s">
        <v>198</v>
      </c>
      <c r="L691" s="7" t="s">
        <v>642</v>
      </c>
      <c r="M691" s="7" t="str">
        <f>VLOOKUP(L691,countries, 2,false)</f>
        <v>San Marino</v>
      </c>
      <c r="N691" s="7" t="str">
        <f>VLOOKUP(L691,countries, 4,false)</f>
        <v>Europe</v>
      </c>
      <c r="O691" s="7" t="str">
        <f>VLOOKUP(L691,countries, 5,false)</f>
        <v>Southern Europe</v>
      </c>
      <c r="P691" s="7" t="s">
        <v>212</v>
      </c>
      <c r="Q691" s="7">
        <v>3981.0</v>
      </c>
      <c r="R691" s="12">
        <v>205.7</v>
      </c>
      <c r="S691" s="12">
        <v>117.11</v>
      </c>
      <c r="T691" s="13">
        <f t="shared" si="6"/>
        <v>818891.7</v>
      </c>
      <c r="U691" s="13">
        <f t="shared" si="7"/>
        <v>103508.24</v>
      </c>
      <c r="V691" s="13">
        <f t="shared" si="8"/>
        <v>715383.46</v>
      </c>
      <c r="W691" s="14">
        <f>Q691/totals!B$2</f>
        <v>0.0006053349763</v>
      </c>
      <c r="X691" s="14">
        <f t="shared" si="9"/>
        <v>0.5151707802</v>
      </c>
      <c r="Y691" s="14">
        <f>T691/totals!B$5</f>
        <v>0.0004810983795</v>
      </c>
      <c r="Z691" s="14">
        <f t="shared" si="10"/>
        <v>0.5104610123</v>
      </c>
      <c r="AA691" s="14">
        <f>V691/totals!B$4</f>
        <v>0.001426457363</v>
      </c>
      <c r="AB691" s="14">
        <f t="shared" si="11"/>
        <v>0.523330677</v>
      </c>
    </row>
    <row r="692">
      <c r="A692" s="7">
        <v>1270.0</v>
      </c>
      <c r="B692" s="7" t="str">
        <f>VLOOKUP($A692,product_category,2, False)</f>
        <v>Beverages</v>
      </c>
      <c r="C692" s="7">
        <v>5.54721438E8</v>
      </c>
      <c r="D692" s="9">
        <v>42389.0</v>
      </c>
      <c r="E692" s="10">
        <f t="shared" si="1"/>
        <v>1</v>
      </c>
      <c r="F692" s="10" t="str">
        <f t="shared" si="2"/>
        <v>Jan</v>
      </c>
      <c r="G692" s="11">
        <f t="shared" si="3"/>
        <v>20</v>
      </c>
      <c r="H692" s="7">
        <f t="shared" si="4"/>
        <v>2016</v>
      </c>
      <c r="I692" s="9">
        <v>42397.0</v>
      </c>
      <c r="J692" s="11">
        <f t="shared" si="5"/>
        <v>8</v>
      </c>
      <c r="K692" s="7" t="s">
        <v>382</v>
      </c>
      <c r="L692" s="7" t="s">
        <v>597</v>
      </c>
      <c r="M692" s="7" t="str">
        <f>VLOOKUP(L692,countries, 2,false)</f>
        <v>Portugal</v>
      </c>
      <c r="N692" s="7" t="str">
        <f>VLOOKUP(L692,countries, 4,false)</f>
        <v>Europe</v>
      </c>
      <c r="O692" s="7" t="str">
        <f>VLOOKUP(L692,countries, 5,false)</f>
        <v>Southern Europe</v>
      </c>
      <c r="P692" s="7" t="s">
        <v>212</v>
      </c>
      <c r="Q692" s="7">
        <v>3256.0</v>
      </c>
      <c r="R692" s="12">
        <v>47.45</v>
      </c>
      <c r="S692" s="12">
        <v>31.79</v>
      </c>
      <c r="T692" s="13">
        <f t="shared" si="6"/>
        <v>154497.2</v>
      </c>
      <c r="U692" s="13">
        <f t="shared" si="7"/>
        <v>307695.41</v>
      </c>
      <c r="V692" s="13">
        <f t="shared" si="8"/>
        <v>-153198.21</v>
      </c>
      <c r="W692" s="14">
        <f>Q692/totals!B$2</f>
        <v>0.000495094369</v>
      </c>
      <c r="X692" s="14">
        <f t="shared" si="9"/>
        <v>0.5156658746</v>
      </c>
      <c r="Y692" s="14">
        <f>T692/totals!B$5</f>
        <v>0.00009076701175</v>
      </c>
      <c r="Z692" s="14">
        <f t="shared" si="10"/>
        <v>0.5105517793</v>
      </c>
      <c r="AA692" s="14">
        <f>V692/totals!B$4</f>
        <v>-0.0003054735353</v>
      </c>
      <c r="AB692" s="14">
        <f t="shared" si="11"/>
        <v>0.5230252035</v>
      </c>
    </row>
    <row r="693">
      <c r="A693" s="7">
        <v>1270.0</v>
      </c>
      <c r="B693" s="7" t="str">
        <f>VLOOKUP($A693,product_category,2, False)</f>
        <v>Beverages</v>
      </c>
      <c r="C693" s="7">
        <v>5.56263816E8</v>
      </c>
      <c r="D693" s="9">
        <v>40882.0</v>
      </c>
      <c r="E693" s="10">
        <f t="shared" si="1"/>
        <v>12</v>
      </c>
      <c r="F693" s="10" t="str">
        <f t="shared" si="2"/>
        <v>Dec</v>
      </c>
      <c r="G693" s="11">
        <f t="shared" si="3"/>
        <v>5</v>
      </c>
      <c r="H693" s="7">
        <f t="shared" si="4"/>
        <v>2011</v>
      </c>
      <c r="I693" s="9">
        <v>40884.0</v>
      </c>
      <c r="J693" s="11">
        <f t="shared" si="5"/>
        <v>2</v>
      </c>
      <c r="K693" s="7" t="s">
        <v>110</v>
      </c>
      <c r="L693" s="7" t="s">
        <v>540</v>
      </c>
      <c r="M693" s="7" t="str">
        <f>VLOOKUP(L693,countries, 2,false)</f>
        <v>Spain</v>
      </c>
      <c r="N693" s="7" t="str">
        <f>VLOOKUP(L693,countries, 4,false)</f>
        <v>Europe</v>
      </c>
      <c r="O693" s="7" t="str">
        <f>VLOOKUP(L693,countries, 5,false)</f>
        <v>Southern Europe</v>
      </c>
      <c r="P693" s="7" t="s">
        <v>129</v>
      </c>
      <c r="Q693" s="7">
        <v>9679.0</v>
      </c>
      <c r="R693" s="12">
        <v>47.45</v>
      </c>
      <c r="S693" s="12">
        <v>31.79</v>
      </c>
      <c r="T693" s="13">
        <f t="shared" si="6"/>
        <v>459268.55</v>
      </c>
      <c r="U693" s="13">
        <f t="shared" si="7"/>
        <v>303797.13</v>
      </c>
      <c r="V693" s="13">
        <f t="shared" si="8"/>
        <v>155471.42</v>
      </c>
      <c r="W693" s="14">
        <f>Q693/totals!B$2</f>
        <v>0.001471750122</v>
      </c>
      <c r="X693" s="14">
        <f t="shared" si="9"/>
        <v>0.5171376247</v>
      </c>
      <c r="Y693" s="14">
        <f>T693/totals!B$5</f>
        <v>0.0002698199959</v>
      </c>
      <c r="Z693" s="14">
        <f t="shared" si="10"/>
        <v>0.5108215993</v>
      </c>
      <c r="AA693" s="14">
        <f>V693/totals!B$4</f>
        <v>0.0003100062612</v>
      </c>
      <c r="AB693" s="14">
        <f t="shared" si="11"/>
        <v>0.5233352098</v>
      </c>
    </row>
    <row r="694">
      <c r="A694" s="7">
        <v>5988.0</v>
      </c>
      <c r="B694" s="7" t="str">
        <f>VLOOKUP($A694,product_category,2, False)</f>
        <v>Vegetables</v>
      </c>
      <c r="C694" s="7">
        <v>5.56647908E8</v>
      </c>
      <c r="D694" s="9">
        <v>41182.0</v>
      </c>
      <c r="E694" s="10">
        <f t="shared" si="1"/>
        <v>9</v>
      </c>
      <c r="F694" s="10" t="str">
        <f t="shared" si="2"/>
        <v>Sep</v>
      </c>
      <c r="G694" s="11">
        <f t="shared" si="3"/>
        <v>30</v>
      </c>
      <c r="H694" s="7">
        <f t="shared" si="4"/>
        <v>2012</v>
      </c>
      <c r="I694" s="9">
        <v>41211.0</v>
      </c>
      <c r="J694" s="11">
        <f t="shared" si="5"/>
        <v>29</v>
      </c>
      <c r="K694" s="7" t="s">
        <v>198</v>
      </c>
      <c r="L694" s="7" t="s">
        <v>762</v>
      </c>
      <c r="M694" s="7" t="str">
        <f>VLOOKUP(L694,countries, 2,false)</f>
        <v>United Kingdom</v>
      </c>
      <c r="N694" s="7" t="str">
        <f>VLOOKUP(L694,countries, 4,false)</f>
        <v>Europe</v>
      </c>
      <c r="O694" s="7" t="str">
        <f>VLOOKUP(L694,countries, 5,false)</f>
        <v>Northern Europe</v>
      </c>
      <c r="P694" s="7" t="s">
        <v>129</v>
      </c>
      <c r="Q694" s="7">
        <v>3341.0</v>
      </c>
      <c r="R694" s="12">
        <v>154.06</v>
      </c>
      <c r="S694" s="12">
        <v>90.93</v>
      </c>
      <c r="T694" s="13">
        <f t="shared" si="6"/>
        <v>514714.46</v>
      </c>
      <c r="U694" s="13">
        <f t="shared" si="7"/>
        <v>247219.21</v>
      </c>
      <c r="V694" s="13">
        <f t="shared" si="8"/>
        <v>267495.25</v>
      </c>
      <c r="W694" s="14">
        <f>Q694/totals!B$2</f>
        <v>0.0005080191299</v>
      </c>
      <c r="X694" s="14">
        <f t="shared" si="9"/>
        <v>0.5176456438</v>
      </c>
      <c r="Y694" s="14">
        <f>T694/totals!B$5</f>
        <v>0.0003023944346</v>
      </c>
      <c r="Z694" s="14">
        <f t="shared" si="10"/>
        <v>0.5111239937</v>
      </c>
      <c r="AA694" s="14">
        <f>V694/totals!B$4</f>
        <v>0.0005333790759</v>
      </c>
      <c r="AB694" s="14">
        <f t="shared" si="11"/>
        <v>0.5238685889</v>
      </c>
    </row>
    <row r="695">
      <c r="A695" s="7">
        <v>2103.0</v>
      </c>
      <c r="B695" s="7" t="str">
        <f>VLOOKUP($A695,product_category,2, False)</f>
        <v>Cereal</v>
      </c>
      <c r="C695" s="7">
        <v>5.56947886E8</v>
      </c>
      <c r="D695" s="9">
        <v>40638.0</v>
      </c>
      <c r="E695" s="10">
        <f t="shared" si="1"/>
        <v>4</v>
      </c>
      <c r="F695" s="10" t="str">
        <f t="shared" si="2"/>
        <v>Apr</v>
      </c>
      <c r="G695" s="11">
        <f t="shared" si="3"/>
        <v>5</v>
      </c>
      <c r="H695" s="7">
        <f t="shared" si="4"/>
        <v>2011</v>
      </c>
      <c r="I695" s="9">
        <v>40680.0</v>
      </c>
      <c r="J695" s="11">
        <f t="shared" si="5"/>
        <v>42</v>
      </c>
      <c r="K695" s="7" t="s">
        <v>322</v>
      </c>
      <c r="L695" s="7" t="s">
        <v>56</v>
      </c>
      <c r="M695" s="7" t="str">
        <f>VLOOKUP(L695,countries, 2,false)</f>
        <v>Andorra</v>
      </c>
      <c r="N695" s="7" t="str">
        <f>VLOOKUP(L695,countries, 4,false)</f>
        <v>Europe</v>
      </c>
      <c r="O695" s="7" t="str">
        <f>VLOOKUP(L695,countries, 5,false)</f>
        <v>Southern Europe</v>
      </c>
      <c r="P695" s="7" t="s">
        <v>129</v>
      </c>
      <c r="Q695" s="7">
        <v>2111.0</v>
      </c>
      <c r="R695" s="12">
        <v>205.7</v>
      </c>
      <c r="S695" s="12">
        <v>117.11</v>
      </c>
      <c r="T695" s="13">
        <f t="shared" si="6"/>
        <v>434232.7</v>
      </c>
      <c r="U695" s="13">
        <f t="shared" si="7"/>
        <v>425460.63</v>
      </c>
      <c r="V695" s="13">
        <f t="shared" si="8"/>
        <v>8772.07</v>
      </c>
      <c r="W695" s="14">
        <f>Q695/totals!B$2</f>
        <v>0.0003209902374</v>
      </c>
      <c r="X695" s="14">
        <f t="shared" si="9"/>
        <v>0.517966634</v>
      </c>
      <c r="Y695" s="14">
        <f>T695/totals!B$5</f>
        <v>0.0002551114492</v>
      </c>
      <c r="Z695" s="14">
        <f t="shared" si="10"/>
        <v>0.5113791052</v>
      </c>
      <c r="AA695" s="14">
        <f>V695/totals!B$4</f>
        <v>0.00001749129598</v>
      </c>
      <c r="AB695" s="14">
        <f t="shared" si="11"/>
        <v>0.5238860801</v>
      </c>
    </row>
    <row r="696">
      <c r="A696" s="7">
        <v>2103.0</v>
      </c>
      <c r="B696" s="7" t="str">
        <f>VLOOKUP($A696,product_category,2, False)</f>
        <v>Cereal</v>
      </c>
      <c r="C696" s="7">
        <v>5.59183347E8</v>
      </c>
      <c r="D696" s="9">
        <v>41743.0</v>
      </c>
      <c r="E696" s="10">
        <f t="shared" si="1"/>
        <v>4</v>
      </c>
      <c r="F696" s="10" t="str">
        <f t="shared" si="2"/>
        <v>Apr</v>
      </c>
      <c r="G696" s="11">
        <f t="shared" si="3"/>
        <v>14</v>
      </c>
      <c r="H696" s="7">
        <f t="shared" si="4"/>
        <v>2014</v>
      </c>
      <c r="I696" s="9">
        <v>41780.0</v>
      </c>
      <c r="J696" s="11">
        <f t="shared" si="5"/>
        <v>37</v>
      </c>
      <c r="K696" s="7" t="s">
        <v>322</v>
      </c>
      <c r="L696" s="7" t="s">
        <v>756</v>
      </c>
      <c r="M696" s="7" t="str">
        <f>VLOOKUP(L696,countries, 2,false)</f>
        <v>Ukraine</v>
      </c>
      <c r="N696" s="7" t="str">
        <f>VLOOKUP(L696,countries, 4,false)</f>
        <v>Europe</v>
      </c>
      <c r="O696" s="7" t="str">
        <f>VLOOKUP(L696,countries, 5,false)</f>
        <v>Eastern Europe</v>
      </c>
      <c r="P696" s="7" t="s">
        <v>212</v>
      </c>
      <c r="Q696" s="7">
        <v>3633.0</v>
      </c>
      <c r="R696" s="12">
        <v>205.7</v>
      </c>
      <c r="S696" s="12">
        <v>117.11</v>
      </c>
      <c r="T696" s="13">
        <f t="shared" si="6"/>
        <v>747308.1</v>
      </c>
      <c r="U696" s="13">
        <f t="shared" si="7"/>
        <v>270334.89</v>
      </c>
      <c r="V696" s="13">
        <f t="shared" si="8"/>
        <v>476973.21</v>
      </c>
      <c r="W696" s="14">
        <f>Q696/totals!B$2</f>
        <v>0.0005524194848</v>
      </c>
      <c r="X696" s="14">
        <f t="shared" si="9"/>
        <v>0.5185190535</v>
      </c>
      <c r="Y696" s="14">
        <f>T696/totals!B$5</f>
        <v>0.0004390430577</v>
      </c>
      <c r="Z696" s="14">
        <f t="shared" si="10"/>
        <v>0.5118181482</v>
      </c>
      <c r="AA696" s="14">
        <f>V696/totals!B$4</f>
        <v>0.0009510730751</v>
      </c>
      <c r="AB696" s="14">
        <f t="shared" si="11"/>
        <v>0.5248371532</v>
      </c>
    </row>
    <row r="697">
      <c r="A697" s="7">
        <v>5988.0</v>
      </c>
      <c r="B697" s="7" t="str">
        <f>VLOOKUP($A697,product_category,2, False)</f>
        <v>Vegetables</v>
      </c>
      <c r="C697" s="7">
        <v>5.59417665E8</v>
      </c>
      <c r="D697" s="9">
        <v>41330.0</v>
      </c>
      <c r="E697" s="10">
        <f t="shared" si="1"/>
        <v>2</v>
      </c>
      <c r="F697" s="10" t="str">
        <f t="shared" si="2"/>
        <v>Feb</v>
      </c>
      <c r="G697" s="11">
        <f t="shared" si="3"/>
        <v>25</v>
      </c>
      <c r="H697" s="7">
        <f t="shared" si="4"/>
        <v>2013</v>
      </c>
      <c r="I697" s="9">
        <v>41333.0</v>
      </c>
      <c r="J697" s="11">
        <f t="shared" si="5"/>
        <v>3</v>
      </c>
      <c r="K697" s="7" t="s">
        <v>110</v>
      </c>
      <c r="L697" s="7" t="s">
        <v>200</v>
      </c>
      <c r="M697" s="7" t="str">
        <f>VLOOKUP(L697,countries, 2,false)</f>
        <v>Serbia</v>
      </c>
      <c r="N697" s="7" t="str">
        <f>VLOOKUP(L697,countries, 4,false)</f>
        <v>Europe</v>
      </c>
      <c r="O697" s="7" t="str">
        <f>VLOOKUP(L697,countries, 5,false)</f>
        <v>Southern Europe</v>
      </c>
      <c r="P697" s="7" t="s">
        <v>212</v>
      </c>
      <c r="Q697" s="7">
        <v>2973.0</v>
      </c>
      <c r="R697" s="12">
        <v>154.06</v>
      </c>
      <c r="S697" s="12">
        <v>90.93</v>
      </c>
      <c r="T697" s="13">
        <f t="shared" si="6"/>
        <v>458020.38</v>
      </c>
      <c r="U697" s="13">
        <f t="shared" si="7"/>
        <v>44737.56</v>
      </c>
      <c r="V697" s="13">
        <f t="shared" si="8"/>
        <v>413282.82</v>
      </c>
      <c r="W697" s="14">
        <f>Q697/totals!B$2</f>
        <v>0.0004520625181</v>
      </c>
      <c r="X697" s="14">
        <f t="shared" si="9"/>
        <v>0.518971116</v>
      </c>
      <c r="Y697" s="14">
        <f>T697/totals!B$5</f>
        <v>0.0002690866968</v>
      </c>
      <c r="Z697" s="14">
        <f t="shared" si="10"/>
        <v>0.5120872349</v>
      </c>
      <c r="AA697" s="14">
        <f>V697/totals!B$4</f>
        <v>0.0008240759738</v>
      </c>
      <c r="AB697" s="14">
        <f t="shared" si="11"/>
        <v>0.5256612292</v>
      </c>
    </row>
    <row r="698">
      <c r="A698" s="7">
        <v>5988.0</v>
      </c>
      <c r="B698" s="7" t="str">
        <f>VLOOKUP($A698,product_category,2, False)</f>
        <v>Vegetables</v>
      </c>
      <c r="C698" s="7">
        <v>5.60389268E8</v>
      </c>
      <c r="D698" s="9">
        <v>42391.0</v>
      </c>
      <c r="E698" s="10">
        <f t="shared" si="1"/>
        <v>1</v>
      </c>
      <c r="F698" s="10" t="str">
        <f t="shared" si="2"/>
        <v>Jan</v>
      </c>
      <c r="G698" s="11">
        <f t="shared" si="3"/>
        <v>22</v>
      </c>
      <c r="H698" s="7">
        <f t="shared" si="4"/>
        <v>2016</v>
      </c>
      <c r="I698" s="9">
        <v>42422.0</v>
      </c>
      <c r="J698" s="11">
        <f t="shared" si="5"/>
        <v>31</v>
      </c>
      <c r="K698" s="7" t="s">
        <v>110</v>
      </c>
      <c r="L698" s="7" t="s">
        <v>642</v>
      </c>
      <c r="M698" s="7" t="str">
        <f>VLOOKUP(L698,countries, 2,false)</f>
        <v>San Marino</v>
      </c>
      <c r="N698" s="7" t="str">
        <f>VLOOKUP(L698,countries, 4,false)</f>
        <v>Europe</v>
      </c>
      <c r="O698" s="7" t="str">
        <f>VLOOKUP(L698,countries, 5,false)</f>
        <v>Southern Europe</v>
      </c>
      <c r="P698" s="7" t="s">
        <v>212</v>
      </c>
      <c r="Q698" s="7">
        <v>492.0</v>
      </c>
      <c r="R698" s="12">
        <v>154.06</v>
      </c>
      <c r="S698" s="12">
        <v>90.93</v>
      </c>
      <c r="T698" s="13">
        <f t="shared" si="6"/>
        <v>75797.52</v>
      </c>
      <c r="U698" s="13">
        <f t="shared" si="7"/>
        <v>513935.84</v>
      </c>
      <c r="V698" s="13">
        <f t="shared" si="8"/>
        <v>-438138.32</v>
      </c>
      <c r="W698" s="14">
        <f>Q698/totals!B$2</f>
        <v>0.00007481155699</v>
      </c>
      <c r="X698" s="14">
        <f t="shared" si="9"/>
        <v>0.5190459276</v>
      </c>
      <c r="Y698" s="14">
        <f>T698/totals!B$5</f>
        <v>0.00004453099725</v>
      </c>
      <c r="Z698" s="14">
        <f t="shared" si="10"/>
        <v>0.5121317659</v>
      </c>
      <c r="AA698" s="14">
        <f>V698/totals!B$4</f>
        <v>-0.0008736372412</v>
      </c>
      <c r="AB698" s="14">
        <f t="shared" si="11"/>
        <v>0.524787592</v>
      </c>
    </row>
    <row r="699">
      <c r="A699" s="7">
        <v>8681.0</v>
      </c>
      <c r="B699" s="7" t="str">
        <f>VLOOKUP($A699,product_category,2, False)</f>
        <v>Office Supplies</v>
      </c>
      <c r="C699" s="7">
        <v>5.60762631E8</v>
      </c>
      <c r="D699" s="9">
        <v>42188.0</v>
      </c>
      <c r="E699" s="10">
        <f t="shared" si="1"/>
        <v>7</v>
      </c>
      <c r="F699" s="10" t="str">
        <f t="shared" si="2"/>
        <v>Jul</v>
      </c>
      <c r="G699" s="11">
        <f t="shared" si="3"/>
        <v>3</v>
      </c>
      <c r="H699" s="7">
        <f t="shared" si="4"/>
        <v>2015</v>
      </c>
      <c r="I699" s="9">
        <v>42201.0</v>
      </c>
      <c r="J699" s="11">
        <f t="shared" si="5"/>
        <v>13</v>
      </c>
      <c r="K699" s="7" t="s">
        <v>382</v>
      </c>
      <c r="L699" s="7" t="s">
        <v>762</v>
      </c>
      <c r="M699" s="7" t="str">
        <f>VLOOKUP(L699,countries, 2,false)</f>
        <v>United Kingdom</v>
      </c>
      <c r="N699" s="7" t="str">
        <f>VLOOKUP(L699,countries, 4,false)</f>
        <v>Europe</v>
      </c>
      <c r="O699" s="7" t="str">
        <f>VLOOKUP(L699,countries, 5,false)</f>
        <v>Northern Europe</v>
      </c>
      <c r="P699" s="7" t="s">
        <v>129</v>
      </c>
      <c r="Q699" s="7">
        <v>979.0</v>
      </c>
      <c r="R699" s="12">
        <v>651.21</v>
      </c>
      <c r="S699" s="12">
        <v>524.96</v>
      </c>
      <c r="T699" s="13">
        <f t="shared" si="6"/>
        <v>637534.59</v>
      </c>
      <c r="U699" s="13">
        <f t="shared" si="7"/>
        <v>535248.15</v>
      </c>
      <c r="V699" s="13">
        <f t="shared" si="8"/>
        <v>102286.44</v>
      </c>
      <c r="W699" s="14">
        <f>Q699/totals!B$2</f>
        <v>0.0001488628339</v>
      </c>
      <c r="X699" s="14">
        <f t="shared" si="9"/>
        <v>0.5191947904</v>
      </c>
      <c r="Y699" s="14">
        <f>T699/totals!B$5</f>
        <v>0.0003745511868</v>
      </c>
      <c r="Z699" s="14">
        <f t="shared" si="10"/>
        <v>0.5125063171</v>
      </c>
      <c r="AA699" s="14">
        <f>V699/totals!B$4</f>
        <v>0.000203956694</v>
      </c>
      <c r="AB699" s="14">
        <f t="shared" si="11"/>
        <v>0.5249915486</v>
      </c>
    </row>
    <row r="700">
      <c r="A700" s="7">
        <v>3127.0</v>
      </c>
      <c r="B700" s="7" t="str">
        <f>VLOOKUP($A700,product_category,2, False)</f>
        <v>Personal Care</v>
      </c>
      <c r="C700" s="7">
        <v>5.61534678E8</v>
      </c>
      <c r="D700" s="9">
        <v>41641.0</v>
      </c>
      <c r="E700" s="10">
        <f t="shared" si="1"/>
        <v>1</v>
      </c>
      <c r="F700" s="10" t="str">
        <f t="shared" si="2"/>
        <v>Jan</v>
      </c>
      <c r="G700" s="11">
        <f t="shared" si="3"/>
        <v>2</v>
      </c>
      <c r="H700" s="7">
        <f t="shared" si="4"/>
        <v>2014</v>
      </c>
      <c r="I700" s="9">
        <v>41668.0</v>
      </c>
      <c r="J700" s="11">
        <f t="shared" si="5"/>
        <v>27</v>
      </c>
      <c r="K700" s="7" t="s">
        <v>322</v>
      </c>
      <c r="L700" s="7" t="s">
        <v>231</v>
      </c>
      <c r="M700" s="7" t="str">
        <f>VLOOKUP(L700,countries, 2,false)</f>
        <v>Cyprus</v>
      </c>
      <c r="N700" s="7" t="str">
        <f>VLOOKUP(L700,countries, 4,false)</f>
        <v>Asia</v>
      </c>
      <c r="O700" s="7" t="str">
        <f>VLOOKUP(L700,countries, 5,false)</f>
        <v>Western Asia</v>
      </c>
      <c r="P700" s="7" t="s">
        <v>129</v>
      </c>
      <c r="Q700" s="7">
        <v>9445.0</v>
      </c>
      <c r="R700" s="12">
        <v>81.73</v>
      </c>
      <c r="S700" s="12">
        <v>56.67</v>
      </c>
      <c r="T700" s="13">
        <f t="shared" si="6"/>
        <v>771939.85</v>
      </c>
      <c r="U700" s="13">
        <f t="shared" si="7"/>
        <v>35983.36</v>
      </c>
      <c r="V700" s="13">
        <f t="shared" si="8"/>
        <v>735956.49</v>
      </c>
      <c r="W700" s="14">
        <f>Q700/totals!B$2</f>
        <v>0.001436169016</v>
      </c>
      <c r="X700" s="14">
        <f t="shared" si="9"/>
        <v>0.5206309595</v>
      </c>
      <c r="Y700" s="14">
        <f>T700/totals!B$5</f>
        <v>0.000453514196</v>
      </c>
      <c r="Z700" s="14">
        <f t="shared" si="10"/>
        <v>0.5129598313</v>
      </c>
      <c r="AA700" s="14">
        <f>V700/totals!B$4</f>
        <v>0.001467479488</v>
      </c>
      <c r="AB700" s="14">
        <f t="shared" si="11"/>
        <v>0.5264590281</v>
      </c>
    </row>
    <row r="701">
      <c r="A701" s="7">
        <v>2455.0</v>
      </c>
      <c r="B701" s="7" t="str">
        <f>VLOOKUP($A701,product_category,2, False)</f>
        <v>Clothes</v>
      </c>
      <c r="C701" s="7">
        <v>5.63939225E8</v>
      </c>
      <c r="D701" s="9">
        <v>40493.0</v>
      </c>
      <c r="E701" s="10">
        <f t="shared" si="1"/>
        <v>11</v>
      </c>
      <c r="F701" s="10" t="str">
        <f t="shared" si="2"/>
        <v>Nov</v>
      </c>
      <c r="G701" s="11">
        <f t="shared" si="3"/>
        <v>11</v>
      </c>
      <c r="H701" s="7">
        <f t="shared" si="4"/>
        <v>2010</v>
      </c>
      <c r="I701" s="9">
        <v>40531.0</v>
      </c>
      <c r="J701" s="11">
        <f t="shared" si="5"/>
        <v>38</v>
      </c>
      <c r="K701" s="7" t="s">
        <v>198</v>
      </c>
      <c r="L701" s="7" t="s">
        <v>367</v>
      </c>
      <c r="M701" s="7" t="str">
        <f>VLOOKUP(L701,countries, 2,false)</f>
        <v>Iceland</v>
      </c>
      <c r="N701" s="7" t="str">
        <f>VLOOKUP(L701,countries, 4,false)</f>
        <v>Europe</v>
      </c>
      <c r="O701" s="7" t="str">
        <f>VLOOKUP(L701,countries, 5,false)</f>
        <v>Northern Europe</v>
      </c>
      <c r="P701" s="7" t="s">
        <v>212</v>
      </c>
      <c r="Q701" s="7">
        <v>1004.0</v>
      </c>
      <c r="R701" s="12">
        <v>109.28</v>
      </c>
      <c r="S701" s="12">
        <v>35.84</v>
      </c>
      <c r="T701" s="13">
        <f t="shared" si="6"/>
        <v>109717.12</v>
      </c>
      <c r="U701" s="13">
        <f t="shared" si="7"/>
        <v>54681.06</v>
      </c>
      <c r="V701" s="13">
        <f t="shared" si="8"/>
        <v>55036.06</v>
      </c>
      <c r="W701" s="14">
        <f>Q701/totals!B$2</f>
        <v>0.0001526642342</v>
      </c>
      <c r="X701" s="14">
        <f t="shared" si="9"/>
        <v>0.5207836237</v>
      </c>
      <c r="Y701" s="14">
        <f>T701/totals!B$5</f>
        <v>0.00006445874178</v>
      </c>
      <c r="Z701" s="14">
        <f t="shared" si="10"/>
        <v>0.51302429</v>
      </c>
      <c r="AA701" s="14">
        <f>V701/totals!B$4</f>
        <v>0.0001097405761</v>
      </c>
      <c r="AB701" s="14">
        <f t="shared" si="11"/>
        <v>0.5265687687</v>
      </c>
    </row>
    <row r="702">
      <c r="A702" s="7">
        <v>7331.0</v>
      </c>
      <c r="B702" s="7" t="str">
        <f>VLOOKUP($A702,product_category,2, False)</f>
        <v>Baby Food</v>
      </c>
      <c r="C702" s="7">
        <v>5.64173543E8</v>
      </c>
      <c r="D702" s="9">
        <v>42846.0</v>
      </c>
      <c r="E702" s="10">
        <f t="shared" si="1"/>
        <v>4</v>
      </c>
      <c r="F702" s="10" t="str">
        <f t="shared" si="2"/>
        <v>Apr</v>
      </c>
      <c r="G702" s="11">
        <f t="shared" si="3"/>
        <v>21</v>
      </c>
      <c r="H702" s="7">
        <f t="shared" si="4"/>
        <v>2017</v>
      </c>
      <c r="I702" s="9">
        <v>42851.0</v>
      </c>
      <c r="J702" s="11">
        <f t="shared" si="5"/>
        <v>5</v>
      </c>
      <c r="K702" s="7" t="s">
        <v>322</v>
      </c>
      <c r="L702" s="7" t="s">
        <v>283</v>
      </c>
      <c r="M702" s="7" t="str">
        <f>VLOOKUP(L702,countries, 2,false)</f>
        <v>Finland</v>
      </c>
      <c r="N702" s="7" t="str">
        <f>VLOOKUP(L702,countries, 4,false)</f>
        <v>Europe</v>
      </c>
      <c r="O702" s="7" t="str">
        <f>VLOOKUP(L702,countries, 5,false)</f>
        <v>Northern Europe</v>
      </c>
      <c r="P702" s="7" t="s">
        <v>212</v>
      </c>
      <c r="Q702" s="7">
        <v>343.0</v>
      </c>
      <c r="R702" s="12">
        <v>255.28</v>
      </c>
      <c r="S702" s="12">
        <v>159.42</v>
      </c>
      <c r="T702" s="13">
        <f t="shared" si="6"/>
        <v>87561.04</v>
      </c>
      <c r="U702" s="13">
        <f t="shared" si="7"/>
        <v>240999.99</v>
      </c>
      <c r="V702" s="13">
        <f t="shared" si="8"/>
        <v>-153438.95</v>
      </c>
      <c r="W702" s="14">
        <f>Q702/totals!B$2</f>
        <v>0.00005215521148</v>
      </c>
      <c r="X702" s="14">
        <f t="shared" si="9"/>
        <v>0.5208357789</v>
      </c>
      <c r="Y702" s="14">
        <f>T702/totals!B$5</f>
        <v>0.00005144205815</v>
      </c>
      <c r="Z702" s="14">
        <f t="shared" si="10"/>
        <v>0.5130757321</v>
      </c>
      <c r="AA702" s="14">
        <f>V702/totals!B$4</f>
        <v>-0.000305953565</v>
      </c>
      <c r="AB702" s="14">
        <f t="shared" si="11"/>
        <v>0.5262628151</v>
      </c>
    </row>
    <row r="703">
      <c r="A703" s="7">
        <v>1270.0</v>
      </c>
      <c r="B703" s="7" t="str">
        <f>VLOOKUP($A703,product_category,2, False)</f>
        <v>Beverages</v>
      </c>
      <c r="C703" s="7">
        <v>5.66428315E8</v>
      </c>
      <c r="D703" s="9">
        <v>40984.0</v>
      </c>
      <c r="E703" s="10">
        <f t="shared" si="1"/>
        <v>3</v>
      </c>
      <c r="F703" s="10" t="str">
        <f t="shared" si="2"/>
        <v>Mar</v>
      </c>
      <c r="G703" s="11">
        <f t="shared" si="3"/>
        <v>16</v>
      </c>
      <c r="H703" s="7">
        <f t="shared" si="4"/>
        <v>2012</v>
      </c>
      <c r="I703" s="9">
        <v>40991.0</v>
      </c>
      <c r="J703" s="11">
        <f t="shared" si="5"/>
        <v>7</v>
      </c>
      <c r="K703" s="7" t="s">
        <v>382</v>
      </c>
      <c r="L703" s="7" t="s">
        <v>283</v>
      </c>
      <c r="M703" s="7" t="str">
        <f>VLOOKUP(L703,countries, 2,false)</f>
        <v>Finland</v>
      </c>
      <c r="N703" s="7" t="str">
        <f>VLOOKUP(L703,countries, 4,false)</f>
        <v>Europe</v>
      </c>
      <c r="O703" s="7" t="str">
        <f>VLOOKUP(L703,countries, 5,false)</f>
        <v>Northern Europe</v>
      </c>
      <c r="P703" s="7" t="s">
        <v>129</v>
      </c>
      <c r="Q703" s="7">
        <v>7581.0</v>
      </c>
      <c r="R703" s="12">
        <v>47.45</v>
      </c>
      <c r="S703" s="12">
        <v>31.79</v>
      </c>
      <c r="T703" s="13">
        <f t="shared" si="6"/>
        <v>359718.45</v>
      </c>
      <c r="U703" s="13">
        <f t="shared" si="7"/>
        <v>61657.2</v>
      </c>
      <c r="V703" s="13">
        <f t="shared" si="8"/>
        <v>298061.25</v>
      </c>
      <c r="W703" s="14">
        <f>Q703/totals!B$2</f>
        <v>0.001152736613</v>
      </c>
      <c r="X703" s="14">
        <f t="shared" si="9"/>
        <v>0.5219885155</v>
      </c>
      <c r="Y703" s="14">
        <f>T703/totals!B$5</f>
        <v>0.0002113343723</v>
      </c>
      <c r="Z703" s="14">
        <f t="shared" si="10"/>
        <v>0.5132870665</v>
      </c>
      <c r="AA703" s="14">
        <f>V703/totals!B$4</f>
        <v>0.0005943269426</v>
      </c>
      <c r="AB703" s="14">
        <f t="shared" si="11"/>
        <v>0.5268571421</v>
      </c>
    </row>
    <row r="704">
      <c r="A704" s="7">
        <v>4594.0</v>
      </c>
      <c r="B704" s="7" t="str">
        <f>VLOOKUP($A704,product_category,2, False)</f>
        <v>Fruits</v>
      </c>
      <c r="C704" s="7">
        <v>5.67412793E8</v>
      </c>
      <c r="D704" s="9">
        <v>40989.0</v>
      </c>
      <c r="E704" s="10">
        <f t="shared" si="1"/>
        <v>3</v>
      </c>
      <c r="F704" s="10" t="str">
        <f t="shared" si="2"/>
        <v>Mar</v>
      </c>
      <c r="G704" s="11">
        <f t="shared" si="3"/>
        <v>21</v>
      </c>
      <c r="H704" s="7">
        <f t="shared" si="4"/>
        <v>2012</v>
      </c>
      <c r="I704" s="9">
        <v>40995.0</v>
      </c>
      <c r="J704" s="11">
        <f t="shared" si="5"/>
        <v>6</v>
      </c>
      <c r="K704" s="7" t="s">
        <v>110</v>
      </c>
      <c r="L704" s="7" t="s">
        <v>705</v>
      </c>
      <c r="M704" s="7" t="str">
        <f>VLOOKUP(L704,countries, 2,false)</f>
        <v>Switzerland</v>
      </c>
      <c r="N704" s="7" t="str">
        <f>VLOOKUP(L704,countries, 4,false)</f>
        <v>Europe</v>
      </c>
      <c r="O704" s="7" t="str">
        <f>VLOOKUP(L704,countries, 5,false)</f>
        <v>Western Europe</v>
      </c>
      <c r="P704" s="7" t="s">
        <v>212</v>
      </c>
      <c r="Q704" s="7">
        <v>8910.0</v>
      </c>
      <c r="R704" s="12">
        <v>9.33</v>
      </c>
      <c r="S704" s="12">
        <v>6.92</v>
      </c>
      <c r="T704" s="13">
        <f t="shared" si="6"/>
        <v>83130.3</v>
      </c>
      <c r="U704" s="13">
        <f t="shared" si="7"/>
        <v>2432115.88</v>
      </c>
      <c r="V704" s="13">
        <f t="shared" si="8"/>
        <v>-2348985.58</v>
      </c>
      <c r="W704" s="14">
        <f>Q704/totals!B$2</f>
        <v>0.00135481905</v>
      </c>
      <c r="X704" s="14">
        <f t="shared" si="9"/>
        <v>0.5233433346</v>
      </c>
      <c r="Y704" s="14">
        <f>T704/totals!B$5</f>
        <v>0.00004883900108</v>
      </c>
      <c r="Z704" s="14">
        <f t="shared" si="10"/>
        <v>0.5133359055</v>
      </c>
      <c r="AA704" s="14">
        <f>V704/totals!B$4</f>
        <v>-0.004683820584</v>
      </c>
      <c r="AB704" s="14">
        <f t="shared" si="11"/>
        <v>0.5221733215</v>
      </c>
    </row>
    <row r="705">
      <c r="A705" s="7">
        <v>8293.0</v>
      </c>
      <c r="B705" s="7" t="str">
        <f>VLOOKUP($A705,product_category,2, False)</f>
        <v>Cosmetics</v>
      </c>
      <c r="C705" s="7">
        <v>5.67751824E8</v>
      </c>
      <c r="D705" s="9">
        <v>40837.0</v>
      </c>
      <c r="E705" s="10">
        <f t="shared" si="1"/>
        <v>10</v>
      </c>
      <c r="F705" s="10" t="str">
        <f t="shared" si="2"/>
        <v>Oct</v>
      </c>
      <c r="G705" s="11">
        <f t="shared" si="3"/>
        <v>21</v>
      </c>
      <c r="H705" s="7">
        <f t="shared" si="4"/>
        <v>2011</v>
      </c>
      <c r="I705" s="9">
        <v>40868.0</v>
      </c>
      <c r="J705" s="11">
        <f t="shared" si="5"/>
        <v>31</v>
      </c>
      <c r="K705" s="7" t="s">
        <v>198</v>
      </c>
      <c r="L705" s="7" t="s">
        <v>478</v>
      </c>
      <c r="M705" s="7" t="str">
        <f>VLOOKUP(L705,countries, 2,false)</f>
        <v>Malta</v>
      </c>
      <c r="N705" s="7" t="str">
        <f>VLOOKUP(L705,countries, 4,false)</f>
        <v>Europe</v>
      </c>
      <c r="O705" s="7" t="str">
        <f>VLOOKUP(L705,countries, 5,false)</f>
        <v>Southern Europe</v>
      </c>
      <c r="P705" s="7" t="s">
        <v>129</v>
      </c>
      <c r="Q705" s="7">
        <v>9236.0</v>
      </c>
      <c r="R705" s="12">
        <v>437.2</v>
      </c>
      <c r="S705" s="12">
        <v>263.33</v>
      </c>
      <c r="T705" s="13">
        <f t="shared" si="6"/>
        <v>4037979.2</v>
      </c>
      <c r="U705" s="13">
        <f t="shared" si="7"/>
        <v>885242.4</v>
      </c>
      <c r="V705" s="13">
        <f t="shared" si="8"/>
        <v>3152736.8</v>
      </c>
      <c r="W705" s="14">
        <f>Q705/totals!B$2</f>
        <v>0.00140438931</v>
      </c>
      <c r="X705" s="14">
        <f t="shared" si="9"/>
        <v>0.5247477239</v>
      </c>
      <c r="Y705" s="14">
        <f>T705/totals!B$5</f>
        <v>0.002372310343</v>
      </c>
      <c r="Z705" s="14">
        <f t="shared" si="10"/>
        <v>0.5157082158</v>
      </c>
      <c r="AA705" s="14">
        <f>V705/totals!B$4</f>
        <v>0.006286481128</v>
      </c>
      <c r="AB705" s="14">
        <f t="shared" si="11"/>
        <v>0.5284598026</v>
      </c>
    </row>
    <row r="706">
      <c r="A706" s="7">
        <v>8969.0</v>
      </c>
      <c r="B706" s="7" t="str">
        <f>VLOOKUP($A706,product_category,2, False)</f>
        <v>Snacks</v>
      </c>
      <c r="C706" s="7">
        <v>5.69170606E8</v>
      </c>
      <c r="D706" s="9">
        <v>42832.0</v>
      </c>
      <c r="E706" s="10">
        <f t="shared" si="1"/>
        <v>4</v>
      </c>
      <c r="F706" s="10" t="str">
        <f t="shared" si="2"/>
        <v>Apr</v>
      </c>
      <c r="G706" s="11">
        <f t="shared" si="3"/>
        <v>7</v>
      </c>
      <c r="H706" s="7">
        <f t="shared" si="4"/>
        <v>2017</v>
      </c>
      <c r="I706" s="9">
        <v>42838.0</v>
      </c>
      <c r="J706" s="11">
        <f t="shared" si="5"/>
        <v>6</v>
      </c>
      <c r="K706" s="7" t="s">
        <v>110</v>
      </c>
      <c r="L706" s="7" t="s">
        <v>432</v>
      </c>
      <c r="M706" s="7" t="str">
        <f>VLOOKUP(L706,countries, 2,false)</f>
        <v>Latvia</v>
      </c>
      <c r="N706" s="7" t="str">
        <f>VLOOKUP(L706,countries, 4,false)</f>
        <v>Europe</v>
      </c>
      <c r="O706" s="7" t="str">
        <f>VLOOKUP(L706,countries, 5,false)</f>
        <v>Northern Europe</v>
      </c>
      <c r="P706" s="7" t="s">
        <v>212</v>
      </c>
      <c r="Q706" s="7">
        <v>9085.0</v>
      </c>
      <c r="R706" s="12">
        <v>152.58</v>
      </c>
      <c r="S706" s="12">
        <v>97.44</v>
      </c>
      <c r="T706" s="13">
        <f t="shared" si="6"/>
        <v>1386189.3</v>
      </c>
      <c r="U706" s="13">
        <f t="shared" si="7"/>
        <v>534607.15</v>
      </c>
      <c r="V706" s="13">
        <f t="shared" si="8"/>
        <v>851582.15</v>
      </c>
      <c r="W706" s="14">
        <f>Q706/totals!B$2</f>
        <v>0.001381428852</v>
      </c>
      <c r="X706" s="14">
        <f t="shared" si="9"/>
        <v>0.5261291527</v>
      </c>
      <c r="Y706" s="14">
        <f>T706/totals!B$5</f>
        <v>0.0008143853771</v>
      </c>
      <c r="Z706" s="14">
        <f t="shared" si="10"/>
        <v>0.5165226012</v>
      </c>
      <c r="AA706" s="14">
        <f>V706/totals!B$4</f>
        <v>0.001698034265</v>
      </c>
      <c r="AB706" s="14">
        <f t="shared" si="11"/>
        <v>0.5301578369</v>
      </c>
    </row>
    <row r="707">
      <c r="A707" s="7">
        <v>2103.0</v>
      </c>
      <c r="B707" s="7" t="str">
        <f>VLOOKUP($A707,product_category,2, False)</f>
        <v>Cereal</v>
      </c>
      <c r="C707" s="7">
        <v>5.69864976E8</v>
      </c>
      <c r="D707" s="9">
        <v>42295.0</v>
      </c>
      <c r="E707" s="10">
        <f t="shared" si="1"/>
        <v>10</v>
      </c>
      <c r="F707" s="10" t="str">
        <f t="shared" si="2"/>
        <v>Oct</v>
      </c>
      <c r="G707" s="11">
        <f t="shared" si="3"/>
        <v>18</v>
      </c>
      <c r="H707" s="7">
        <f t="shared" si="4"/>
        <v>2015</v>
      </c>
      <c r="I707" s="9">
        <v>42338.0</v>
      </c>
      <c r="J707" s="11">
        <f t="shared" si="5"/>
        <v>43</v>
      </c>
      <c r="K707" s="7" t="s">
        <v>110</v>
      </c>
      <c r="L707" s="7" t="s">
        <v>705</v>
      </c>
      <c r="M707" s="7" t="str">
        <f>VLOOKUP(L707,countries, 2,false)</f>
        <v>Switzerland</v>
      </c>
      <c r="N707" s="7" t="str">
        <f>VLOOKUP(L707,countries, 4,false)</f>
        <v>Europe</v>
      </c>
      <c r="O707" s="7" t="str">
        <f>VLOOKUP(L707,countries, 5,false)</f>
        <v>Western Europe</v>
      </c>
      <c r="P707" s="7" t="s">
        <v>212</v>
      </c>
      <c r="Q707" s="7">
        <v>4565.0</v>
      </c>
      <c r="R707" s="12">
        <v>205.7</v>
      </c>
      <c r="S707" s="12">
        <v>117.11</v>
      </c>
      <c r="T707" s="13">
        <f t="shared" si="6"/>
        <v>939020.5</v>
      </c>
      <c r="U707" s="13">
        <f t="shared" si="7"/>
        <v>1143041.4</v>
      </c>
      <c r="V707" s="13">
        <f t="shared" si="8"/>
        <v>-204020.9</v>
      </c>
      <c r="W707" s="14">
        <f>Q707/totals!B$2</f>
        <v>0.0006941356863</v>
      </c>
      <c r="X707" s="14">
        <f t="shared" si="9"/>
        <v>0.5268232884</v>
      </c>
      <c r="Y707" s="14">
        <f>T707/totals!B$5</f>
        <v>0.000551673977</v>
      </c>
      <c r="Z707" s="14">
        <f t="shared" si="10"/>
        <v>0.5170742752</v>
      </c>
      <c r="AA707" s="14">
        <f>V707/totals!B$4</f>
        <v>-0.0004068127532</v>
      </c>
      <c r="AB707" s="14">
        <f t="shared" si="11"/>
        <v>0.5297510241</v>
      </c>
    </row>
    <row r="708">
      <c r="A708" s="7">
        <v>7331.0</v>
      </c>
      <c r="B708" s="7" t="str">
        <f>VLOOKUP($A708,product_category,2, False)</f>
        <v>Baby Food</v>
      </c>
      <c r="C708" s="7">
        <v>5.69941365E8</v>
      </c>
      <c r="D708" s="9">
        <v>42667.0</v>
      </c>
      <c r="E708" s="10">
        <f t="shared" si="1"/>
        <v>10</v>
      </c>
      <c r="F708" s="10" t="str">
        <f t="shared" si="2"/>
        <v>Oct</v>
      </c>
      <c r="G708" s="11">
        <f t="shared" si="3"/>
        <v>24</v>
      </c>
      <c r="H708" s="7">
        <f t="shared" si="4"/>
        <v>2016</v>
      </c>
      <c r="I708" s="9">
        <v>42700.0</v>
      </c>
      <c r="J708" s="11">
        <f t="shared" si="5"/>
        <v>33</v>
      </c>
      <c r="K708" s="7" t="s">
        <v>110</v>
      </c>
      <c r="L708" s="7" t="s">
        <v>56</v>
      </c>
      <c r="M708" s="7" t="str">
        <f>VLOOKUP(L708,countries, 2,false)</f>
        <v>Andorra</v>
      </c>
      <c r="N708" s="7" t="str">
        <f>VLOOKUP(L708,countries, 4,false)</f>
        <v>Europe</v>
      </c>
      <c r="O708" s="7" t="str">
        <f>VLOOKUP(L708,countries, 5,false)</f>
        <v>Southern Europe</v>
      </c>
      <c r="P708" s="7" t="s">
        <v>129</v>
      </c>
      <c r="Q708" s="7">
        <v>7170.0</v>
      </c>
      <c r="R708" s="12">
        <v>255.28</v>
      </c>
      <c r="S708" s="12">
        <v>159.42</v>
      </c>
      <c r="T708" s="13">
        <f t="shared" si="6"/>
        <v>1830357.6</v>
      </c>
      <c r="U708" s="13">
        <f t="shared" si="7"/>
        <v>2781056.36</v>
      </c>
      <c r="V708" s="13">
        <f t="shared" si="8"/>
        <v>-950698.76</v>
      </c>
      <c r="W708" s="14">
        <f>Q708/totals!B$2</f>
        <v>0.001090241593</v>
      </c>
      <c r="X708" s="14">
        <f t="shared" si="9"/>
        <v>0.52791353</v>
      </c>
      <c r="Y708" s="14">
        <f>T708/totals!B$5</f>
        <v>0.001075333985</v>
      </c>
      <c r="Z708" s="14">
        <f t="shared" si="10"/>
        <v>0.5181496091</v>
      </c>
      <c r="AA708" s="14">
        <f>V708/totals!B$4</f>
        <v>-0.001895670395</v>
      </c>
      <c r="AB708" s="14">
        <f t="shared" si="11"/>
        <v>0.5278553538</v>
      </c>
    </row>
    <row r="709">
      <c r="A709" s="7">
        <v>7940.0</v>
      </c>
      <c r="B709" s="7" t="str">
        <f>VLOOKUP($A709,product_category,2, False)</f>
        <v>Household</v>
      </c>
      <c r="C709" s="7">
        <v>5.7047652E8</v>
      </c>
      <c r="D709" s="9">
        <v>40532.0</v>
      </c>
      <c r="E709" s="10">
        <f t="shared" si="1"/>
        <v>12</v>
      </c>
      <c r="F709" s="10" t="str">
        <f t="shared" si="2"/>
        <v>Dec</v>
      </c>
      <c r="G709" s="11">
        <f t="shared" si="3"/>
        <v>20</v>
      </c>
      <c r="H709" s="7">
        <f t="shared" si="4"/>
        <v>2010</v>
      </c>
      <c r="I709" s="9">
        <v>40536.0</v>
      </c>
      <c r="J709" s="11">
        <f t="shared" si="5"/>
        <v>4</v>
      </c>
      <c r="K709" s="7" t="s">
        <v>322</v>
      </c>
      <c r="L709" s="7" t="s">
        <v>28</v>
      </c>
      <c r="M709" s="7" t="str">
        <f>VLOOKUP(L709,countries, 2,false)</f>
        <v>Albania</v>
      </c>
      <c r="N709" s="7" t="str">
        <f>VLOOKUP(L709,countries, 4,false)</f>
        <v>Europe</v>
      </c>
      <c r="O709" s="7" t="str">
        <f>VLOOKUP(L709,countries, 5,false)</f>
        <v>Southern Europe</v>
      </c>
      <c r="P709" s="7" t="s">
        <v>129</v>
      </c>
      <c r="Q709" s="7">
        <v>5534.0</v>
      </c>
      <c r="R709" s="12">
        <v>668.27</v>
      </c>
      <c r="S709" s="12">
        <v>502.54</v>
      </c>
      <c r="T709" s="13">
        <f t="shared" si="6"/>
        <v>3698206.18</v>
      </c>
      <c r="U709" s="13">
        <f t="shared" si="7"/>
        <v>153859.05</v>
      </c>
      <c r="V709" s="13">
        <f t="shared" si="8"/>
        <v>3544347.13</v>
      </c>
      <c r="W709" s="14">
        <f>Q709/totals!B$2</f>
        <v>0.0008414779601</v>
      </c>
      <c r="X709" s="14">
        <f t="shared" si="9"/>
        <v>0.528755008</v>
      </c>
      <c r="Y709" s="14">
        <f>T709/totals!B$5</f>
        <v>0.002172693899</v>
      </c>
      <c r="Z709" s="14">
        <f t="shared" si="10"/>
        <v>0.520322303</v>
      </c>
      <c r="AA709" s="14">
        <f>V709/totals!B$4</f>
        <v>0.00706734268</v>
      </c>
      <c r="AB709" s="14">
        <f t="shared" si="11"/>
        <v>0.5349226964</v>
      </c>
    </row>
    <row r="710">
      <c r="A710" s="7">
        <v>3127.0</v>
      </c>
      <c r="B710" s="7" t="str">
        <f>VLOOKUP($A710,product_category,2, False)</f>
        <v>Personal Care</v>
      </c>
      <c r="C710" s="7">
        <v>5.70703542E8</v>
      </c>
      <c r="D710" s="9">
        <v>40440.0</v>
      </c>
      <c r="E710" s="10">
        <f t="shared" si="1"/>
        <v>9</v>
      </c>
      <c r="F710" s="10" t="str">
        <f t="shared" si="2"/>
        <v>Sep</v>
      </c>
      <c r="G710" s="11">
        <f t="shared" si="3"/>
        <v>19</v>
      </c>
      <c r="H710" s="7">
        <f t="shared" si="4"/>
        <v>2010</v>
      </c>
      <c r="I710" s="9">
        <v>40485.0</v>
      </c>
      <c r="J710" s="11">
        <f t="shared" si="5"/>
        <v>45</v>
      </c>
      <c r="K710" s="7" t="s">
        <v>198</v>
      </c>
      <c r="L710" s="7" t="s">
        <v>367</v>
      </c>
      <c r="M710" s="7" t="str">
        <f>VLOOKUP(L710,countries, 2,false)</f>
        <v>Iceland</v>
      </c>
      <c r="N710" s="7" t="str">
        <f>VLOOKUP(L710,countries, 4,false)</f>
        <v>Europe</v>
      </c>
      <c r="O710" s="7" t="str">
        <f>VLOOKUP(L710,countries, 5,false)</f>
        <v>Northern Europe</v>
      </c>
      <c r="P710" s="7" t="s">
        <v>212</v>
      </c>
      <c r="Q710" s="7">
        <v>2715.0</v>
      </c>
      <c r="R710" s="12">
        <v>81.73</v>
      </c>
      <c r="S710" s="12">
        <v>56.67</v>
      </c>
      <c r="T710" s="13">
        <f t="shared" si="6"/>
        <v>221896.95</v>
      </c>
      <c r="U710" s="13">
        <f t="shared" si="7"/>
        <v>4130878.8</v>
      </c>
      <c r="V710" s="13">
        <f t="shared" si="8"/>
        <v>-3908981.85</v>
      </c>
      <c r="W710" s="14">
        <f>Q710/totals!B$2</f>
        <v>0.0004128320675</v>
      </c>
      <c r="X710" s="14">
        <f t="shared" si="9"/>
        <v>0.52916784</v>
      </c>
      <c r="Y710" s="14">
        <f>T710/totals!B$5</f>
        <v>0.0001303643242</v>
      </c>
      <c r="Z710" s="14">
        <f t="shared" si="10"/>
        <v>0.5204526674</v>
      </c>
      <c r="AA710" s="14">
        <f>V710/totals!B$4</f>
        <v>-0.007794415516</v>
      </c>
      <c r="AB710" s="14">
        <f t="shared" si="11"/>
        <v>0.5271282809</v>
      </c>
    </row>
    <row r="711">
      <c r="A711" s="7">
        <v>7940.0</v>
      </c>
      <c r="B711" s="7" t="str">
        <f>VLOOKUP($A711,product_category,2, False)</f>
        <v>Household</v>
      </c>
      <c r="C711" s="7">
        <v>5.71161448E8</v>
      </c>
      <c r="D711" s="9">
        <v>41876.0</v>
      </c>
      <c r="E711" s="10">
        <f t="shared" si="1"/>
        <v>8</v>
      </c>
      <c r="F711" s="10" t="str">
        <f t="shared" si="2"/>
        <v>Aug</v>
      </c>
      <c r="G711" s="11">
        <f t="shared" si="3"/>
        <v>25</v>
      </c>
      <c r="H711" s="7">
        <f t="shared" si="4"/>
        <v>2014</v>
      </c>
      <c r="I711" s="9">
        <v>41912.0</v>
      </c>
      <c r="J711" s="11">
        <f t="shared" si="5"/>
        <v>36</v>
      </c>
      <c r="K711" s="7" t="s">
        <v>322</v>
      </c>
      <c r="L711" s="7" t="s">
        <v>234</v>
      </c>
      <c r="M711" s="7" t="str">
        <f>VLOOKUP(L711,countries, 2,false)</f>
        <v>Czech Republic</v>
      </c>
      <c r="N711" s="7" t="str">
        <f>VLOOKUP(L711,countries, 4,false)</f>
        <v>Europe</v>
      </c>
      <c r="O711" s="7" t="str">
        <f>VLOOKUP(L711,countries, 5,false)</f>
        <v>Eastern Europe</v>
      </c>
      <c r="P711" s="7" t="s">
        <v>129</v>
      </c>
      <c r="Q711" s="7">
        <v>8220.0</v>
      </c>
      <c r="R711" s="12">
        <v>668.27</v>
      </c>
      <c r="S711" s="12">
        <v>502.54</v>
      </c>
      <c r="T711" s="13">
        <f t="shared" si="6"/>
        <v>5493179.4</v>
      </c>
      <c r="U711" s="13">
        <f t="shared" si="7"/>
        <v>554400.21</v>
      </c>
      <c r="V711" s="13">
        <f t="shared" si="8"/>
        <v>4938779.19</v>
      </c>
      <c r="W711" s="14">
        <f>Q711/totals!B$2</f>
        <v>0.001249900403</v>
      </c>
      <c r="X711" s="14">
        <f t="shared" si="9"/>
        <v>0.5304177404</v>
      </c>
      <c r="Y711" s="14">
        <f>T711/totals!B$5</f>
        <v>0.003227239582</v>
      </c>
      <c r="Z711" s="14">
        <f t="shared" si="10"/>
        <v>0.5236799069</v>
      </c>
      <c r="AA711" s="14">
        <f>V711/totals!B$4</f>
        <v>0.009847806571</v>
      </c>
      <c r="AB711" s="14">
        <f t="shared" si="11"/>
        <v>0.5369760875</v>
      </c>
    </row>
    <row r="712">
      <c r="A712" s="7">
        <v>5988.0</v>
      </c>
      <c r="B712" s="7" t="str">
        <f>VLOOKUP($A712,product_category,2, False)</f>
        <v>Vegetables</v>
      </c>
      <c r="C712" s="7">
        <v>5.71323239E8</v>
      </c>
      <c r="D712" s="9">
        <v>42711.0</v>
      </c>
      <c r="E712" s="10">
        <f t="shared" si="1"/>
        <v>12</v>
      </c>
      <c r="F712" s="10" t="str">
        <f t="shared" si="2"/>
        <v>Dec</v>
      </c>
      <c r="G712" s="11">
        <f t="shared" si="3"/>
        <v>7</v>
      </c>
      <c r="H712" s="7">
        <f t="shared" si="4"/>
        <v>2016</v>
      </c>
      <c r="I712" s="9">
        <v>42736.0</v>
      </c>
      <c r="J712" s="11">
        <f t="shared" si="5"/>
        <v>25</v>
      </c>
      <c r="K712" s="7" t="s">
        <v>110</v>
      </c>
      <c r="L712" s="7" t="s">
        <v>77</v>
      </c>
      <c r="M712" s="7" t="str">
        <f>VLOOKUP(L712,countries, 2,false)</f>
        <v>Armenia</v>
      </c>
      <c r="N712" s="7" t="str">
        <f>VLOOKUP(L712,countries, 4,false)</f>
        <v>Asia</v>
      </c>
      <c r="O712" s="7" t="str">
        <f>VLOOKUP(L712,countries, 5,false)</f>
        <v>Western Asia</v>
      </c>
      <c r="P712" s="7" t="s">
        <v>129</v>
      </c>
      <c r="Q712" s="7">
        <v>6097.0</v>
      </c>
      <c r="R712" s="12">
        <v>154.06</v>
      </c>
      <c r="S712" s="12">
        <v>90.93</v>
      </c>
      <c r="T712" s="13">
        <f t="shared" si="6"/>
        <v>939303.82</v>
      </c>
      <c r="U712" s="13">
        <f t="shared" si="7"/>
        <v>491510.67</v>
      </c>
      <c r="V712" s="13">
        <f t="shared" si="8"/>
        <v>447793.15</v>
      </c>
      <c r="W712" s="14">
        <f>Q712/totals!B$2</f>
        <v>0.0009270854938</v>
      </c>
      <c r="X712" s="14">
        <f t="shared" si="9"/>
        <v>0.5313448259</v>
      </c>
      <c r="Y712" s="14">
        <f>T712/totals!B$5</f>
        <v>0.0005518404273</v>
      </c>
      <c r="Z712" s="14">
        <f t="shared" si="10"/>
        <v>0.5242317474</v>
      </c>
      <c r="AA712" s="14">
        <f>V712/totals!B$4</f>
        <v>0.0008928887394</v>
      </c>
      <c r="AB712" s="14">
        <f t="shared" si="11"/>
        <v>0.5378689762</v>
      </c>
    </row>
    <row r="713">
      <c r="A713" s="7">
        <v>2103.0</v>
      </c>
      <c r="B713" s="7" t="str">
        <f>VLOOKUP($A713,product_category,2, False)</f>
        <v>Cereal</v>
      </c>
      <c r="C713" s="7">
        <v>5.72634732E8</v>
      </c>
      <c r="D713" s="9">
        <v>42443.0</v>
      </c>
      <c r="E713" s="10">
        <f t="shared" si="1"/>
        <v>3</v>
      </c>
      <c r="F713" s="10" t="str">
        <f t="shared" si="2"/>
        <v>Mar</v>
      </c>
      <c r="G713" s="11">
        <f t="shared" si="3"/>
        <v>14</v>
      </c>
      <c r="H713" s="7">
        <f t="shared" si="4"/>
        <v>2016</v>
      </c>
      <c r="I713" s="9">
        <v>42461.0</v>
      </c>
      <c r="J713" s="11">
        <f t="shared" si="5"/>
        <v>18</v>
      </c>
      <c r="K713" s="7" t="s">
        <v>382</v>
      </c>
      <c r="L713" s="7" t="s">
        <v>609</v>
      </c>
      <c r="M713" s="7" t="str">
        <f>VLOOKUP(L713,countries, 2,false)</f>
        <v>Romania</v>
      </c>
      <c r="N713" s="7" t="str">
        <f>VLOOKUP(L713,countries, 4,false)</f>
        <v>Europe</v>
      </c>
      <c r="O713" s="7" t="str">
        <f>VLOOKUP(L713,countries, 5,false)</f>
        <v>Eastern Europe</v>
      </c>
      <c r="P713" s="7" t="s">
        <v>129</v>
      </c>
      <c r="Q713" s="7">
        <v>4197.0</v>
      </c>
      <c r="R713" s="12">
        <v>205.7</v>
      </c>
      <c r="S713" s="12">
        <v>117.11</v>
      </c>
      <c r="T713" s="13">
        <f t="shared" si="6"/>
        <v>863322.9</v>
      </c>
      <c r="U713" s="13">
        <f t="shared" si="7"/>
        <v>727677.92</v>
      </c>
      <c r="V713" s="13">
        <f t="shared" si="8"/>
        <v>135644.98</v>
      </c>
      <c r="W713" s="14">
        <f>Q713/totals!B$2</f>
        <v>0.0006381790745</v>
      </c>
      <c r="X713" s="14">
        <f t="shared" si="9"/>
        <v>0.531983005</v>
      </c>
      <c r="Y713" s="14">
        <f>T713/totals!B$5</f>
        <v>0.0005072016827</v>
      </c>
      <c r="Z713" s="14">
        <f t="shared" si="10"/>
        <v>0.5247389491</v>
      </c>
      <c r="AA713" s="14">
        <f>V713/totals!B$4</f>
        <v>0.0002704728181</v>
      </c>
      <c r="AB713" s="14">
        <f t="shared" si="11"/>
        <v>0.538139449</v>
      </c>
    </row>
    <row r="714">
      <c r="A714" s="7">
        <v>7940.0</v>
      </c>
      <c r="B714" s="7" t="str">
        <f>VLOOKUP($A714,product_category,2, False)</f>
        <v>Household</v>
      </c>
      <c r="C714" s="7">
        <v>5.74247491E8</v>
      </c>
      <c r="D714" s="9">
        <v>41248.0</v>
      </c>
      <c r="E714" s="10">
        <f t="shared" si="1"/>
        <v>12</v>
      </c>
      <c r="F714" s="10" t="str">
        <f t="shared" si="2"/>
        <v>Dec</v>
      </c>
      <c r="G714" s="11">
        <f t="shared" si="3"/>
        <v>5</v>
      </c>
      <c r="H714" s="7">
        <f t="shared" si="4"/>
        <v>2012</v>
      </c>
      <c r="I714" s="9">
        <v>41260.0</v>
      </c>
      <c r="J714" s="11">
        <f t="shared" si="5"/>
        <v>12</v>
      </c>
      <c r="K714" s="7" t="s">
        <v>382</v>
      </c>
      <c r="L714" s="7" t="s">
        <v>234</v>
      </c>
      <c r="M714" s="7" t="str">
        <f>VLOOKUP(L714,countries, 2,false)</f>
        <v>Czech Republic</v>
      </c>
      <c r="N714" s="7" t="str">
        <f>VLOOKUP(L714,countries, 4,false)</f>
        <v>Europe</v>
      </c>
      <c r="O714" s="7" t="str">
        <f>VLOOKUP(L714,countries, 5,false)</f>
        <v>Eastern Europe</v>
      </c>
      <c r="P714" s="7" t="s">
        <v>212</v>
      </c>
      <c r="Q714" s="7">
        <v>1448.0</v>
      </c>
      <c r="R714" s="12">
        <v>668.27</v>
      </c>
      <c r="S714" s="12">
        <v>502.54</v>
      </c>
      <c r="T714" s="13">
        <f t="shared" si="6"/>
        <v>967654.96</v>
      </c>
      <c r="U714" s="13">
        <f t="shared" si="7"/>
        <v>520076.75</v>
      </c>
      <c r="V714" s="13">
        <f t="shared" si="8"/>
        <v>447578.21</v>
      </c>
      <c r="W714" s="14">
        <f>Q714/totals!B$2</f>
        <v>0.0002201771027</v>
      </c>
      <c r="X714" s="14">
        <f t="shared" si="9"/>
        <v>0.5322031821</v>
      </c>
      <c r="Y714" s="14">
        <f>T714/totals!B$5</f>
        <v>0.000568496705</v>
      </c>
      <c r="Z714" s="14">
        <f t="shared" si="10"/>
        <v>0.5253074458</v>
      </c>
      <c r="AA714" s="14">
        <f>V714/totals!B$4</f>
        <v>0.0008924601542</v>
      </c>
      <c r="AB714" s="14">
        <f t="shared" si="11"/>
        <v>0.5390319092</v>
      </c>
    </row>
    <row r="715">
      <c r="A715" s="7">
        <v>8293.0</v>
      </c>
      <c r="B715" s="7" t="str">
        <f>VLOOKUP($A715,product_category,2, False)</f>
        <v>Cosmetics</v>
      </c>
      <c r="C715" s="7">
        <v>5.74925124E8</v>
      </c>
      <c r="D715" s="9">
        <v>42914.0</v>
      </c>
      <c r="E715" s="10">
        <f t="shared" si="1"/>
        <v>6</v>
      </c>
      <c r="F715" s="10" t="str">
        <f t="shared" si="2"/>
        <v>Jun</v>
      </c>
      <c r="G715" s="11">
        <f t="shared" si="3"/>
        <v>28</v>
      </c>
      <c r="H715" s="7">
        <f t="shared" si="4"/>
        <v>2017</v>
      </c>
      <c r="I715" s="9">
        <v>42929.0</v>
      </c>
      <c r="J715" s="11">
        <f t="shared" si="5"/>
        <v>15</v>
      </c>
      <c r="K715" s="7" t="s">
        <v>110</v>
      </c>
      <c r="L715" s="7" t="s">
        <v>756</v>
      </c>
      <c r="M715" s="7" t="str">
        <f>VLOOKUP(L715,countries, 2,false)</f>
        <v>Ukraine</v>
      </c>
      <c r="N715" s="7" t="str">
        <f>VLOOKUP(L715,countries, 4,false)</f>
        <v>Europe</v>
      </c>
      <c r="O715" s="7" t="str">
        <f>VLOOKUP(L715,countries, 5,false)</f>
        <v>Eastern Europe</v>
      </c>
      <c r="P715" s="7" t="s">
        <v>212</v>
      </c>
      <c r="Q715" s="7">
        <v>1975.0</v>
      </c>
      <c r="R715" s="12">
        <v>437.2</v>
      </c>
      <c r="S715" s="12">
        <v>263.33</v>
      </c>
      <c r="T715" s="13">
        <f t="shared" si="6"/>
        <v>863470</v>
      </c>
      <c r="U715" s="13">
        <f t="shared" si="7"/>
        <v>589901.76</v>
      </c>
      <c r="V715" s="13">
        <f t="shared" si="8"/>
        <v>273568.24</v>
      </c>
      <c r="W715" s="14">
        <f>Q715/totals!B$2</f>
        <v>0.00030031062</v>
      </c>
      <c r="X715" s="14">
        <f t="shared" si="9"/>
        <v>0.5325034927</v>
      </c>
      <c r="Y715" s="14">
        <f>T715/totals!B$5</f>
        <v>0.0005072881039</v>
      </c>
      <c r="Z715" s="14">
        <f t="shared" si="10"/>
        <v>0.5258147339</v>
      </c>
      <c r="AA715" s="14">
        <f>V715/totals!B$4</f>
        <v>0.0005454884715</v>
      </c>
      <c r="AB715" s="14">
        <f t="shared" si="11"/>
        <v>0.5395773977</v>
      </c>
    </row>
    <row r="716">
      <c r="A716" s="7">
        <v>8969.0</v>
      </c>
      <c r="B716" s="7" t="str">
        <f>VLOOKUP($A716,product_category,2, False)</f>
        <v>Snacks</v>
      </c>
      <c r="C716" s="7">
        <v>5.7547959E8</v>
      </c>
      <c r="D716" s="9">
        <v>40578.0</v>
      </c>
      <c r="E716" s="10">
        <f t="shared" si="1"/>
        <v>2</v>
      </c>
      <c r="F716" s="10" t="str">
        <f t="shared" si="2"/>
        <v>Feb</v>
      </c>
      <c r="G716" s="11">
        <f t="shared" si="3"/>
        <v>4</v>
      </c>
      <c r="H716" s="7">
        <f t="shared" si="4"/>
        <v>2011</v>
      </c>
      <c r="I716" s="9">
        <v>40624.0</v>
      </c>
      <c r="J716" s="11">
        <f t="shared" si="5"/>
        <v>46</v>
      </c>
      <c r="K716" s="7" t="s">
        <v>322</v>
      </c>
      <c r="L716" s="7" t="s">
        <v>56</v>
      </c>
      <c r="M716" s="7" t="str">
        <f>VLOOKUP(L716,countries, 2,false)</f>
        <v>Andorra</v>
      </c>
      <c r="N716" s="7" t="str">
        <f>VLOOKUP(L716,countries, 4,false)</f>
        <v>Europe</v>
      </c>
      <c r="O716" s="7" t="str">
        <f>VLOOKUP(L716,countries, 5,false)</f>
        <v>Southern Europe</v>
      </c>
      <c r="P716" s="7" t="s">
        <v>129</v>
      </c>
      <c r="Q716" s="7">
        <v>6054.0</v>
      </c>
      <c r="R716" s="12">
        <v>152.58</v>
      </c>
      <c r="S716" s="12">
        <v>97.44</v>
      </c>
      <c r="T716" s="13">
        <f t="shared" si="6"/>
        <v>923719.32</v>
      </c>
      <c r="U716" s="13">
        <f t="shared" si="7"/>
        <v>3945599.36</v>
      </c>
      <c r="V716" s="13">
        <f t="shared" si="8"/>
        <v>-3021880.04</v>
      </c>
      <c r="W716" s="14">
        <f>Q716/totals!B$2</f>
        <v>0.0009205470854</v>
      </c>
      <c r="X716" s="14">
        <f t="shared" si="9"/>
        <v>0.5334240398</v>
      </c>
      <c r="Y716" s="14">
        <f>T716/totals!B$5</f>
        <v>0.000542684543</v>
      </c>
      <c r="Z716" s="14">
        <f t="shared" si="10"/>
        <v>0.5263574184</v>
      </c>
      <c r="AA716" s="14">
        <f>V716/totals!B$4</f>
        <v>-0.006025555905</v>
      </c>
      <c r="AB716" s="14">
        <f t="shared" si="11"/>
        <v>0.5335518418</v>
      </c>
    </row>
    <row r="717">
      <c r="A717" s="7">
        <v>8681.0</v>
      </c>
      <c r="B717" s="7" t="str">
        <f>VLOOKUP($A717,product_category,2, False)</f>
        <v>Office Supplies</v>
      </c>
      <c r="C717" s="7">
        <v>5.75552117E8</v>
      </c>
      <c r="D717" s="9">
        <v>42097.0</v>
      </c>
      <c r="E717" s="10">
        <f t="shared" si="1"/>
        <v>4</v>
      </c>
      <c r="F717" s="10" t="str">
        <f t="shared" si="2"/>
        <v>Apr</v>
      </c>
      <c r="G717" s="11">
        <f t="shared" si="3"/>
        <v>3</v>
      </c>
      <c r="H717" s="7">
        <f t="shared" si="4"/>
        <v>2015</v>
      </c>
      <c r="I717" s="9">
        <v>42120.0</v>
      </c>
      <c r="J717" s="11">
        <f t="shared" si="5"/>
        <v>23</v>
      </c>
      <c r="K717" s="7" t="s">
        <v>198</v>
      </c>
      <c r="L717" s="7" t="s">
        <v>88</v>
      </c>
      <c r="M717" s="7" t="str">
        <f>VLOOKUP(L717,countries, 2,false)</f>
        <v>Austria</v>
      </c>
      <c r="N717" s="7" t="str">
        <f>VLOOKUP(L717,countries, 4,false)</f>
        <v>Europe</v>
      </c>
      <c r="O717" s="7" t="str">
        <f>VLOOKUP(L717,countries, 5,false)</f>
        <v>Western Europe</v>
      </c>
      <c r="P717" s="7" t="s">
        <v>212</v>
      </c>
      <c r="Q717" s="7">
        <v>7516.0</v>
      </c>
      <c r="R717" s="12">
        <v>651.21</v>
      </c>
      <c r="S717" s="12">
        <v>524.96</v>
      </c>
      <c r="T717" s="13">
        <f t="shared" si="6"/>
        <v>4894494.36</v>
      </c>
      <c r="U717" s="13">
        <f t="shared" si="7"/>
        <v>3496233.6</v>
      </c>
      <c r="V717" s="13">
        <f t="shared" si="8"/>
        <v>1398260.76</v>
      </c>
      <c r="W717" s="14">
        <f>Q717/totals!B$2</f>
        <v>0.001142852972</v>
      </c>
      <c r="X717" s="14">
        <f t="shared" si="9"/>
        <v>0.5345668928</v>
      </c>
      <c r="Y717" s="14">
        <f>T717/totals!B$5</f>
        <v>0.002875512482</v>
      </c>
      <c r="Z717" s="14">
        <f t="shared" si="10"/>
        <v>0.5292329309</v>
      </c>
      <c r="AA717" s="14">
        <f>V717/totals!B$4</f>
        <v>0.002788098226</v>
      </c>
      <c r="AB717" s="14">
        <f t="shared" si="11"/>
        <v>0.53633994</v>
      </c>
    </row>
    <row r="718">
      <c r="A718" s="7">
        <v>8681.0</v>
      </c>
      <c r="B718" s="7" t="str">
        <f>VLOOKUP($A718,product_category,2, False)</f>
        <v>Office Supplies</v>
      </c>
      <c r="C718" s="7">
        <v>5.75583016E8</v>
      </c>
      <c r="D718" s="9">
        <v>41221.0</v>
      </c>
      <c r="E718" s="10">
        <f t="shared" si="1"/>
        <v>11</v>
      </c>
      <c r="F718" s="10" t="str">
        <f t="shared" si="2"/>
        <v>Nov</v>
      </c>
      <c r="G718" s="11">
        <f t="shared" si="3"/>
        <v>8</v>
      </c>
      <c r="H718" s="7">
        <f t="shared" si="4"/>
        <v>2012</v>
      </c>
      <c r="I718" s="9">
        <v>41237.0</v>
      </c>
      <c r="J718" s="11">
        <f t="shared" si="5"/>
        <v>16</v>
      </c>
      <c r="K718" s="7" t="s">
        <v>198</v>
      </c>
      <c r="L718" s="7" t="s">
        <v>136</v>
      </c>
      <c r="M718" s="7" t="str">
        <f>VLOOKUP(L718,countries, 2,false)</f>
        <v>Bosnia and Herzegovina</v>
      </c>
      <c r="N718" s="7" t="str">
        <f>VLOOKUP(L718,countries, 4,false)</f>
        <v>Europe</v>
      </c>
      <c r="O718" s="7" t="str">
        <f>VLOOKUP(L718,countries, 5,false)</f>
        <v>Southern Europe</v>
      </c>
      <c r="P718" s="7" t="s">
        <v>212</v>
      </c>
      <c r="Q718" s="7">
        <v>6660.0</v>
      </c>
      <c r="R718" s="12">
        <v>651.21</v>
      </c>
      <c r="S718" s="12">
        <v>524.96</v>
      </c>
      <c r="T718" s="13">
        <f t="shared" si="6"/>
        <v>4337058.6</v>
      </c>
      <c r="U718" s="13">
        <f t="shared" si="7"/>
        <v>494672.43</v>
      </c>
      <c r="V718" s="13">
        <f t="shared" si="8"/>
        <v>3842386.17</v>
      </c>
      <c r="W718" s="14">
        <f>Q718/totals!B$2</f>
        <v>0.001012693028</v>
      </c>
      <c r="X718" s="14">
        <f t="shared" si="9"/>
        <v>0.5355795858</v>
      </c>
      <c r="Y718" s="14">
        <f>T718/totals!B$5</f>
        <v>0.00254801931</v>
      </c>
      <c r="Z718" s="14">
        <f t="shared" si="10"/>
        <v>0.5317809502</v>
      </c>
      <c r="AA718" s="14">
        <f>V718/totals!B$4</f>
        <v>0.007661625336</v>
      </c>
      <c r="AB718" s="14">
        <f t="shared" si="11"/>
        <v>0.5440015653</v>
      </c>
    </row>
    <row r="719">
      <c r="A719" s="7">
        <v>3127.0</v>
      </c>
      <c r="B719" s="7" t="str">
        <f>VLOOKUP($A719,product_category,2, False)</f>
        <v>Personal Care</v>
      </c>
      <c r="C719" s="7">
        <v>5.75758969E8</v>
      </c>
      <c r="D719" s="9">
        <v>40617.0</v>
      </c>
      <c r="E719" s="10">
        <f t="shared" si="1"/>
        <v>3</v>
      </c>
      <c r="F719" s="10" t="str">
        <f t="shared" si="2"/>
        <v>Mar</v>
      </c>
      <c r="G719" s="11">
        <f t="shared" si="3"/>
        <v>15</v>
      </c>
      <c r="H719" s="7">
        <f t="shared" si="4"/>
        <v>2011</v>
      </c>
      <c r="I719" s="9">
        <v>40631.0</v>
      </c>
      <c r="J719" s="11">
        <f t="shared" si="5"/>
        <v>14</v>
      </c>
      <c r="K719" s="7" t="s">
        <v>382</v>
      </c>
      <c r="L719" s="7" t="s">
        <v>286</v>
      </c>
      <c r="M719" s="7" t="str">
        <f>VLOOKUP(L719,countries, 2,false)</f>
        <v>France</v>
      </c>
      <c r="N719" s="7" t="str">
        <f>VLOOKUP(L719,countries, 4,false)</f>
        <v>Europe</v>
      </c>
      <c r="O719" s="7" t="str">
        <f>VLOOKUP(L719,countries, 5,false)</f>
        <v>Western Europe</v>
      </c>
      <c r="P719" s="7" t="s">
        <v>129</v>
      </c>
      <c r="Q719" s="7">
        <v>8729.0</v>
      </c>
      <c r="R719" s="12">
        <v>81.73</v>
      </c>
      <c r="S719" s="12">
        <v>56.67</v>
      </c>
      <c r="T719" s="13">
        <f t="shared" si="6"/>
        <v>713421.17</v>
      </c>
      <c r="U719" s="13">
        <f t="shared" si="7"/>
        <v>2532971.27</v>
      </c>
      <c r="V719" s="13">
        <f t="shared" si="8"/>
        <v>-1819550.1</v>
      </c>
      <c r="W719" s="14">
        <f>Q719/totals!B$2</f>
        <v>0.001327296912</v>
      </c>
      <c r="X719" s="14">
        <f t="shared" si="9"/>
        <v>0.5369068827</v>
      </c>
      <c r="Y719" s="14">
        <f>T719/totals!B$5</f>
        <v>0.0004191345068</v>
      </c>
      <c r="Z719" s="14">
        <f t="shared" si="10"/>
        <v>0.5322000847</v>
      </c>
      <c r="AA719" s="14">
        <f>V719/totals!B$4</f>
        <v>-0.003628139008</v>
      </c>
      <c r="AB719" s="14">
        <f t="shared" si="11"/>
        <v>0.5403734263</v>
      </c>
    </row>
    <row r="720">
      <c r="A720" s="7">
        <v>8293.0</v>
      </c>
      <c r="B720" s="7" t="str">
        <f>VLOOKUP($A720,product_category,2, False)</f>
        <v>Cosmetics</v>
      </c>
      <c r="C720" s="7">
        <v>5.7694472E8</v>
      </c>
      <c r="D720" s="9">
        <v>42643.0</v>
      </c>
      <c r="E720" s="10">
        <f t="shared" si="1"/>
        <v>9</v>
      </c>
      <c r="F720" s="10" t="str">
        <f t="shared" si="2"/>
        <v>Sep</v>
      </c>
      <c r="G720" s="11">
        <f t="shared" si="3"/>
        <v>30</v>
      </c>
      <c r="H720" s="7">
        <f t="shared" si="4"/>
        <v>2016</v>
      </c>
      <c r="I720" s="9">
        <v>42652.0</v>
      </c>
      <c r="J720" s="11">
        <f t="shared" si="5"/>
        <v>9</v>
      </c>
      <c r="K720" s="7" t="s">
        <v>322</v>
      </c>
      <c r="L720" s="7" t="s">
        <v>28</v>
      </c>
      <c r="M720" s="7" t="str">
        <f>VLOOKUP(L720,countries, 2,false)</f>
        <v>Albania</v>
      </c>
      <c r="N720" s="7" t="str">
        <f>VLOOKUP(L720,countries, 4,false)</f>
        <v>Europe</v>
      </c>
      <c r="O720" s="7" t="str">
        <f>VLOOKUP(L720,countries, 5,false)</f>
        <v>Southern Europe</v>
      </c>
      <c r="P720" s="7" t="s">
        <v>212</v>
      </c>
      <c r="Q720" s="7">
        <v>9619.0</v>
      </c>
      <c r="R720" s="12">
        <v>437.2</v>
      </c>
      <c r="S720" s="12">
        <v>263.33</v>
      </c>
      <c r="T720" s="13">
        <f t="shared" si="6"/>
        <v>4205426.8</v>
      </c>
      <c r="U720" s="13">
        <f t="shared" si="7"/>
        <v>175393.65</v>
      </c>
      <c r="V720" s="13">
        <f t="shared" si="8"/>
        <v>4030033.15</v>
      </c>
      <c r="W720" s="14">
        <f>Q720/totals!B$2</f>
        <v>0.001462626761</v>
      </c>
      <c r="X720" s="14">
        <f t="shared" si="9"/>
        <v>0.5383695095</v>
      </c>
      <c r="Y720" s="14">
        <f>T720/totals!B$5</f>
        <v>0.002470685707</v>
      </c>
      <c r="Z720" s="14">
        <f t="shared" si="10"/>
        <v>0.5346707704</v>
      </c>
      <c r="AA720" s="14">
        <f>V720/totals!B$4</f>
        <v>0.008035788888</v>
      </c>
      <c r="AB720" s="14">
        <f t="shared" si="11"/>
        <v>0.5484092152</v>
      </c>
    </row>
    <row r="721">
      <c r="A721" s="7">
        <v>3127.0</v>
      </c>
      <c r="B721" s="7" t="str">
        <f>VLOOKUP($A721,product_category,2, False)</f>
        <v>Personal Care</v>
      </c>
      <c r="C721" s="7">
        <v>5.77530944E8</v>
      </c>
      <c r="D721" s="9">
        <v>41021.0</v>
      </c>
      <c r="E721" s="10">
        <f t="shared" si="1"/>
        <v>4</v>
      </c>
      <c r="F721" s="10" t="str">
        <f t="shared" si="2"/>
        <v>Apr</v>
      </c>
      <c r="G721" s="11">
        <f t="shared" si="3"/>
        <v>22</v>
      </c>
      <c r="H721" s="7">
        <f t="shared" si="4"/>
        <v>2012</v>
      </c>
      <c r="I721" s="9">
        <v>41044.0</v>
      </c>
      <c r="J721" s="11">
        <f t="shared" si="5"/>
        <v>23</v>
      </c>
      <c r="K721" s="7" t="s">
        <v>198</v>
      </c>
      <c r="L721" s="7" t="s">
        <v>234</v>
      </c>
      <c r="M721" s="7" t="str">
        <f>VLOOKUP(L721,countries, 2,false)</f>
        <v>Czech Republic</v>
      </c>
      <c r="N721" s="7" t="str">
        <f>VLOOKUP(L721,countries, 4,false)</f>
        <v>Europe</v>
      </c>
      <c r="O721" s="7" t="str">
        <f>VLOOKUP(L721,countries, 5,false)</f>
        <v>Eastern Europe</v>
      </c>
      <c r="P721" s="7" t="s">
        <v>129</v>
      </c>
      <c r="Q721" s="7">
        <v>3095.0</v>
      </c>
      <c r="R721" s="12">
        <v>81.73</v>
      </c>
      <c r="S721" s="12">
        <v>56.67</v>
      </c>
      <c r="T721" s="13">
        <f t="shared" si="6"/>
        <v>252954.35</v>
      </c>
      <c r="U721" s="13">
        <f t="shared" si="7"/>
        <v>2665519.21</v>
      </c>
      <c r="V721" s="13">
        <f t="shared" si="8"/>
        <v>-2412564.86</v>
      </c>
      <c r="W721" s="14">
        <f>Q721/totals!B$2</f>
        <v>0.0004706133514</v>
      </c>
      <c r="X721" s="14">
        <f t="shared" si="9"/>
        <v>0.5388401228</v>
      </c>
      <c r="Y721" s="14">
        <f>T721/totals!B$5</f>
        <v>0.000148610528</v>
      </c>
      <c r="Z721" s="14">
        <f t="shared" si="10"/>
        <v>0.5348193809</v>
      </c>
      <c r="AA721" s="14">
        <f>V721/totals!B$4</f>
        <v>-0.004810596135</v>
      </c>
      <c r="AB721" s="14">
        <f t="shared" si="11"/>
        <v>0.5435986191</v>
      </c>
    </row>
    <row r="722">
      <c r="A722" s="7">
        <v>8875.0</v>
      </c>
      <c r="B722" s="7" t="str">
        <f>VLOOKUP($A722,product_category,2, False)</f>
        <v>Meat</v>
      </c>
      <c r="C722" s="7">
        <v>5.78356206E8</v>
      </c>
      <c r="D722" s="9">
        <v>42194.0</v>
      </c>
      <c r="E722" s="10">
        <f t="shared" si="1"/>
        <v>7</v>
      </c>
      <c r="F722" s="10" t="str">
        <f t="shared" si="2"/>
        <v>Jul</v>
      </c>
      <c r="G722" s="11">
        <f t="shared" si="3"/>
        <v>9</v>
      </c>
      <c r="H722" s="7">
        <f t="shared" si="4"/>
        <v>2015</v>
      </c>
      <c r="I722" s="9">
        <v>42200.0</v>
      </c>
      <c r="J722" s="11">
        <f t="shared" si="5"/>
        <v>6</v>
      </c>
      <c r="K722" s="7" t="s">
        <v>110</v>
      </c>
      <c r="L722" s="7" t="s">
        <v>367</v>
      </c>
      <c r="M722" s="7" t="str">
        <f>VLOOKUP(L722,countries, 2,false)</f>
        <v>Iceland</v>
      </c>
      <c r="N722" s="7" t="str">
        <f>VLOOKUP(L722,countries, 4,false)</f>
        <v>Europe</v>
      </c>
      <c r="O722" s="7" t="str">
        <f>VLOOKUP(L722,countries, 5,false)</f>
        <v>Northern Europe</v>
      </c>
      <c r="P722" s="7" t="s">
        <v>129</v>
      </c>
      <c r="Q722" s="7">
        <v>7309.0</v>
      </c>
      <c r="R722" s="12">
        <v>421.89</v>
      </c>
      <c r="S722" s="12">
        <v>364.69</v>
      </c>
      <c r="T722" s="13">
        <f t="shared" si="6"/>
        <v>3083594.01</v>
      </c>
      <c r="U722" s="13">
        <f t="shared" si="7"/>
        <v>63158.84</v>
      </c>
      <c r="V722" s="13">
        <f t="shared" si="8"/>
        <v>3020435.17</v>
      </c>
      <c r="W722" s="14">
        <f>Q722/totals!B$2</f>
        <v>0.001111377378</v>
      </c>
      <c r="X722" s="14">
        <f t="shared" si="9"/>
        <v>0.5399515002</v>
      </c>
      <c r="Y722" s="14">
        <f>T722/totals!B$5</f>
        <v>0.00181160962</v>
      </c>
      <c r="Z722" s="14">
        <f t="shared" si="10"/>
        <v>0.5366309906</v>
      </c>
      <c r="AA722" s="14">
        <f>V722/totals!B$4</f>
        <v>0.00602267487</v>
      </c>
      <c r="AB722" s="14">
        <f t="shared" si="11"/>
        <v>0.5496212939</v>
      </c>
    </row>
    <row r="723">
      <c r="A723" s="7">
        <v>4594.0</v>
      </c>
      <c r="B723" s="7" t="str">
        <f>VLOOKUP($A723,product_category,2, False)</f>
        <v>Fruits</v>
      </c>
      <c r="C723" s="7">
        <v>5.78666484E8</v>
      </c>
      <c r="D723" s="9">
        <v>41357.0</v>
      </c>
      <c r="E723" s="10">
        <f t="shared" si="1"/>
        <v>3</v>
      </c>
      <c r="F723" s="10" t="str">
        <f t="shared" si="2"/>
        <v>Mar</v>
      </c>
      <c r="G723" s="11">
        <f t="shared" si="3"/>
        <v>24</v>
      </c>
      <c r="H723" s="7">
        <f t="shared" si="4"/>
        <v>2013</v>
      </c>
      <c r="I723" s="9">
        <v>41375.0</v>
      </c>
      <c r="J723" s="11">
        <f t="shared" si="5"/>
        <v>18</v>
      </c>
      <c r="K723" s="7" t="s">
        <v>382</v>
      </c>
      <c r="L723" s="7" t="s">
        <v>612</v>
      </c>
      <c r="M723" s="7" t="str">
        <f>VLOOKUP(L723,countries, 2,false)</f>
        <v>Russia</v>
      </c>
      <c r="N723" s="7" t="str">
        <f>VLOOKUP(L723,countries, 4,false)</f>
        <v>Europe</v>
      </c>
      <c r="O723" s="7" t="str">
        <f>VLOOKUP(L723,countries, 5,false)</f>
        <v>Eastern Europe</v>
      </c>
      <c r="P723" s="7" t="s">
        <v>212</v>
      </c>
      <c r="Q723" s="7">
        <v>9127.0</v>
      </c>
      <c r="R723" s="12">
        <v>9.33</v>
      </c>
      <c r="S723" s="12">
        <v>6.92</v>
      </c>
      <c r="T723" s="13">
        <f t="shared" si="6"/>
        <v>85154.91</v>
      </c>
      <c r="U723" s="13">
        <f t="shared" si="7"/>
        <v>533668.17</v>
      </c>
      <c r="V723" s="13">
        <f t="shared" si="8"/>
        <v>-448513.26</v>
      </c>
      <c r="W723" s="14">
        <f>Q723/totals!B$2</f>
        <v>0.001387815205</v>
      </c>
      <c r="X723" s="14">
        <f t="shared" si="9"/>
        <v>0.5413393154</v>
      </c>
      <c r="Y723" s="14">
        <f>T723/totals!B$5</f>
        <v>0.00005002845823</v>
      </c>
      <c r="Z723" s="14">
        <f t="shared" si="10"/>
        <v>0.536681019</v>
      </c>
      <c r="AA723" s="14">
        <f>V723/totals!B$4</f>
        <v>-0.0008943246213</v>
      </c>
      <c r="AB723" s="14">
        <f t="shared" si="11"/>
        <v>0.5487269693</v>
      </c>
    </row>
    <row r="724">
      <c r="A724" s="7">
        <v>5988.0</v>
      </c>
      <c r="B724" s="7" t="str">
        <f>VLOOKUP($A724,product_category,2, False)</f>
        <v>Vegetables</v>
      </c>
      <c r="C724" s="7">
        <v>5.79094779E8</v>
      </c>
      <c r="D724" s="9">
        <v>40520.0</v>
      </c>
      <c r="E724" s="10">
        <f t="shared" si="1"/>
        <v>12</v>
      </c>
      <c r="F724" s="10" t="str">
        <f t="shared" si="2"/>
        <v>Dec</v>
      </c>
      <c r="G724" s="11">
        <f t="shared" si="3"/>
        <v>8</v>
      </c>
      <c r="H724" s="7">
        <f t="shared" si="4"/>
        <v>2010</v>
      </c>
      <c r="I724" s="9">
        <v>40523.0</v>
      </c>
      <c r="J724" s="11">
        <f t="shared" si="5"/>
        <v>3</v>
      </c>
      <c r="K724" s="7" t="s">
        <v>110</v>
      </c>
      <c r="L724" s="7" t="s">
        <v>231</v>
      </c>
      <c r="M724" s="7" t="str">
        <f>VLOOKUP(L724,countries, 2,false)</f>
        <v>Cyprus</v>
      </c>
      <c r="N724" s="7" t="str">
        <f>VLOOKUP(L724,countries, 4,false)</f>
        <v>Asia</v>
      </c>
      <c r="O724" s="7" t="str">
        <f>VLOOKUP(L724,countries, 5,false)</f>
        <v>Western Asia</v>
      </c>
      <c r="P724" s="7" t="s">
        <v>212</v>
      </c>
      <c r="Q724" s="7">
        <v>5869.0</v>
      </c>
      <c r="R724" s="12">
        <v>154.06</v>
      </c>
      <c r="S724" s="12">
        <v>90.93</v>
      </c>
      <c r="T724" s="13">
        <f t="shared" si="6"/>
        <v>904178.14</v>
      </c>
      <c r="U724" s="13">
        <f t="shared" si="7"/>
        <v>34309.36</v>
      </c>
      <c r="V724" s="13">
        <f t="shared" si="8"/>
        <v>869868.78</v>
      </c>
      <c r="W724" s="14">
        <f>Q724/totals!B$2</f>
        <v>0.0008924167235</v>
      </c>
      <c r="X724" s="14">
        <f t="shared" si="9"/>
        <v>0.5422317321</v>
      </c>
      <c r="Y724" s="14">
        <f>T724/totals!B$5</f>
        <v>0.0005312041115</v>
      </c>
      <c r="Z724" s="14">
        <f t="shared" si="10"/>
        <v>0.5372122231</v>
      </c>
      <c r="AA724" s="14">
        <f>V724/totals!B$4</f>
        <v>0.001734497364</v>
      </c>
      <c r="AB724" s="14">
        <f t="shared" si="11"/>
        <v>0.5504614667</v>
      </c>
    </row>
    <row r="725">
      <c r="A725" s="7">
        <v>4594.0</v>
      </c>
      <c r="B725" s="7" t="str">
        <f>VLOOKUP($A725,product_category,2, False)</f>
        <v>Fruits</v>
      </c>
      <c r="C725" s="7">
        <v>5.79463422E8</v>
      </c>
      <c r="D725" s="9">
        <v>42641.0</v>
      </c>
      <c r="E725" s="10">
        <f t="shared" si="1"/>
        <v>9</v>
      </c>
      <c r="F725" s="10" t="str">
        <f t="shared" si="2"/>
        <v>Sep</v>
      </c>
      <c r="G725" s="11">
        <f t="shared" si="3"/>
        <v>28</v>
      </c>
      <c r="H725" s="7">
        <f t="shared" si="4"/>
        <v>2016</v>
      </c>
      <c r="I725" s="9">
        <v>42675.0</v>
      </c>
      <c r="J725" s="11">
        <f t="shared" si="5"/>
        <v>34</v>
      </c>
      <c r="K725" s="7" t="s">
        <v>322</v>
      </c>
      <c r="L725" s="7" t="s">
        <v>264</v>
      </c>
      <c r="M725" s="7" t="str">
        <f>VLOOKUP(L725,countries, 2,false)</f>
        <v>Estonia</v>
      </c>
      <c r="N725" s="7" t="str">
        <f>VLOOKUP(L725,countries, 4,false)</f>
        <v>Europe</v>
      </c>
      <c r="O725" s="7" t="str">
        <f>VLOOKUP(L725,countries, 5,false)</f>
        <v>Northern Europe</v>
      </c>
      <c r="P725" s="7" t="s">
        <v>129</v>
      </c>
      <c r="Q725" s="7">
        <v>4958.0</v>
      </c>
      <c r="R725" s="12">
        <v>9.33</v>
      </c>
      <c r="S725" s="12">
        <v>6.92</v>
      </c>
      <c r="T725" s="13">
        <f t="shared" si="6"/>
        <v>46258.14</v>
      </c>
      <c r="U725" s="13">
        <f t="shared" si="7"/>
        <v>1102867.56</v>
      </c>
      <c r="V725" s="13">
        <f t="shared" si="8"/>
        <v>-1056609.42</v>
      </c>
      <c r="W725" s="14">
        <f>Q725/totals!B$2</f>
        <v>0.0007538936983</v>
      </c>
      <c r="X725" s="14">
        <f t="shared" si="9"/>
        <v>0.5429856258</v>
      </c>
      <c r="Y725" s="14">
        <f>T725/totals!B$5</f>
        <v>0.00002717662933</v>
      </c>
      <c r="Z725" s="14">
        <f t="shared" si="10"/>
        <v>0.5372393998</v>
      </c>
      <c r="AA725" s="14">
        <f>V725/totals!B$4</f>
        <v>-0.002106853696</v>
      </c>
      <c r="AB725" s="14">
        <f t="shared" si="11"/>
        <v>0.548354613</v>
      </c>
    </row>
    <row r="726">
      <c r="A726" s="7">
        <v>7331.0</v>
      </c>
      <c r="B726" s="7" t="str">
        <f>VLOOKUP($A726,product_category,2, False)</f>
        <v>Baby Food</v>
      </c>
      <c r="C726" s="7">
        <v>5.80314862E8</v>
      </c>
      <c r="D726" s="9">
        <v>42496.0</v>
      </c>
      <c r="E726" s="10">
        <f t="shared" si="1"/>
        <v>5</v>
      </c>
      <c r="F726" s="10" t="str">
        <f t="shared" si="2"/>
        <v>May</v>
      </c>
      <c r="G726" s="11">
        <f t="shared" si="3"/>
        <v>6</v>
      </c>
      <c r="H726" s="7">
        <f t="shared" si="4"/>
        <v>2016</v>
      </c>
      <c r="I726" s="9">
        <v>42502.0</v>
      </c>
      <c r="J726" s="11">
        <f t="shared" si="5"/>
        <v>6</v>
      </c>
      <c r="K726" s="7" t="s">
        <v>198</v>
      </c>
      <c r="L726" s="7" t="s">
        <v>367</v>
      </c>
      <c r="M726" s="7" t="str">
        <f>VLOOKUP(L726,countries, 2,false)</f>
        <v>Iceland</v>
      </c>
      <c r="N726" s="7" t="str">
        <f>VLOOKUP(L726,countries, 4,false)</f>
        <v>Europe</v>
      </c>
      <c r="O726" s="7" t="str">
        <f>VLOOKUP(L726,countries, 5,false)</f>
        <v>Northern Europe</v>
      </c>
      <c r="P726" s="7" t="s">
        <v>212</v>
      </c>
      <c r="Q726" s="7">
        <v>6918.0</v>
      </c>
      <c r="R726" s="12">
        <v>255.28</v>
      </c>
      <c r="S726" s="12">
        <v>159.42</v>
      </c>
      <c r="T726" s="13">
        <f t="shared" si="6"/>
        <v>1766027.04</v>
      </c>
      <c r="U726" s="13">
        <f t="shared" si="7"/>
        <v>590937.06</v>
      </c>
      <c r="V726" s="13">
        <f t="shared" si="8"/>
        <v>1175089.98</v>
      </c>
      <c r="W726" s="14">
        <f>Q726/totals!B$2</f>
        <v>0.001051923478</v>
      </c>
      <c r="X726" s="14">
        <f t="shared" si="9"/>
        <v>0.5440375493</v>
      </c>
      <c r="Y726" s="14">
        <f>T726/totals!B$5</f>
        <v>0.00103753982</v>
      </c>
      <c r="Z726" s="14">
        <f t="shared" si="10"/>
        <v>0.5382769396</v>
      </c>
      <c r="AA726" s="14">
        <f>V726/totals!B$4</f>
        <v>0.002343101074</v>
      </c>
      <c r="AB726" s="14">
        <f t="shared" si="11"/>
        <v>0.5506977141</v>
      </c>
    </row>
    <row r="727">
      <c r="A727" s="7">
        <v>2103.0</v>
      </c>
      <c r="B727" s="7" t="str">
        <f>VLOOKUP($A727,product_category,2, False)</f>
        <v>Cereal</v>
      </c>
      <c r="C727" s="7">
        <v>5.80342328E8</v>
      </c>
      <c r="D727" s="9">
        <v>40796.0</v>
      </c>
      <c r="E727" s="10">
        <f t="shared" si="1"/>
        <v>9</v>
      </c>
      <c r="F727" s="10" t="str">
        <f t="shared" si="2"/>
        <v>Sep</v>
      </c>
      <c r="G727" s="11">
        <f t="shared" si="3"/>
        <v>10</v>
      </c>
      <c r="H727" s="7">
        <f t="shared" si="4"/>
        <v>2011</v>
      </c>
      <c r="I727" s="9">
        <v>40830.0</v>
      </c>
      <c r="J727" s="11">
        <f t="shared" si="5"/>
        <v>34</v>
      </c>
      <c r="K727" s="7" t="s">
        <v>382</v>
      </c>
      <c r="L727" s="7" t="s">
        <v>77</v>
      </c>
      <c r="M727" s="7" t="str">
        <f>VLOOKUP(L727,countries, 2,false)</f>
        <v>Armenia</v>
      </c>
      <c r="N727" s="7" t="str">
        <f>VLOOKUP(L727,countries, 4,false)</f>
        <v>Asia</v>
      </c>
      <c r="O727" s="7" t="str">
        <f>VLOOKUP(L727,countries, 5,false)</f>
        <v>Western Asia</v>
      </c>
      <c r="P727" s="7" t="s">
        <v>212</v>
      </c>
      <c r="Q727" s="7">
        <v>5046.0</v>
      </c>
      <c r="R727" s="12">
        <v>205.7</v>
      </c>
      <c r="S727" s="12">
        <v>117.11</v>
      </c>
      <c r="T727" s="13">
        <f t="shared" si="6"/>
        <v>1037962.2</v>
      </c>
      <c r="U727" s="13">
        <f t="shared" si="7"/>
        <v>100597.49</v>
      </c>
      <c r="V727" s="13">
        <f t="shared" si="8"/>
        <v>937364.71</v>
      </c>
      <c r="W727" s="14">
        <f>Q727/totals!B$2</f>
        <v>0.0007672746271</v>
      </c>
      <c r="X727" s="14">
        <f t="shared" si="9"/>
        <v>0.5448048239</v>
      </c>
      <c r="Y727" s="14">
        <f>T727/totals!B$5</f>
        <v>0.000609802166</v>
      </c>
      <c r="Z727" s="14">
        <f t="shared" si="10"/>
        <v>0.5388867417</v>
      </c>
      <c r="AA727" s="14">
        <f>V727/totals!B$4</f>
        <v>0.00186908262</v>
      </c>
      <c r="AB727" s="14">
        <f t="shared" si="11"/>
        <v>0.5525667967</v>
      </c>
    </row>
    <row r="728">
      <c r="A728" s="7">
        <v>2103.0</v>
      </c>
      <c r="B728" s="7" t="str">
        <f>VLOOKUP($A728,product_category,2, False)</f>
        <v>Cereal</v>
      </c>
      <c r="C728" s="7">
        <v>5.80463349E8</v>
      </c>
      <c r="D728" s="9">
        <v>40826.0</v>
      </c>
      <c r="E728" s="10">
        <f t="shared" si="1"/>
        <v>10</v>
      </c>
      <c r="F728" s="10" t="str">
        <f t="shared" si="2"/>
        <v>Oct</v>
      </c>
      <c r="G728" s="11">
        <f t="shared" si="3"/>
        <v>10</v>
      </c>
      <c r="H728" s="7">
        <f t="shared" si="4"/>
        <v>2011</v>
      </c>
      <c r="I728" s="9">
        <v>40855.0</v>
      </c>
      <c r="J728" s="11">
        <f t="shared" si="5"/>
        <v>29</v>
      </c>
      <c r="K728" s="7" t="s">
        <v>198</v>
      </c>
      <c r="L728" s="7" t="s">
        <v>756</v>
      </c>
      <c r="M728" s="7" t="str">
        <f>VLOOKUP(L728,countries, 2,false)</f>
        <v>Ukraine</v>
      </c>
      <c r="N728" s="7" t="str">
        <f>VLOOKUP(L728,countries, 4,false)</f>
        <v>Europe</v>
      </c>
      <c r="O728" s="7" t="str">
        <f>VLOOKUP(L728,countries, 5,false)</f>
        <v>Eastern Europe</v>
      </c>
      <c r="P728" s="7" t="s">
        <v>212</v>
      </c>
      <c r="Q728" s="7">
        <v>859.0</v>
      </c>
      <c r="R728" s="12">
        <v>205.7</v>
      </c>
      <c r="S728" s="12">
        <v>117.11</v>
      </c>
      <c r="T728" s="13">
        <f t="shared" si="6"/>
        <v>176696.3</v>
      </c>
      <c r="U728" s="13">
        <f t="shared" si="7"/>
        <v>70796.33</v>
      </c>
      <c r="V728" s="13">
        <f t="shared" si="8"/>
        <v>105899.97</v>
      </c>
      <c r="W728" s="14">
        <f>Q728/totals!B$2</f>
        <v>0.0001306161127</v>
      </c>
      <c r="X728" s="14">
        <f t="shared" si="9"/>
        <v>0.5449354401</v>
      </c>
      <c r="Y728" s="14">
        <f>T728/totals!B$5</f>
        <v>0.0001038089696</v>
      </c>
      <c r="Z728" s="14">
        <f t="shared" si="10"/>
        <v>0.5389905507</v>
      </c>
      <c r="AA728" s="14">
        <f>V728/totals!B$4</f>
        <v>0.0002111619856</v>
      </c>
      <c r="AB728" s="14">
        <f t="shared" si="11"/>
        <v>0.5527779587</v>
      </c>
    </row>
    <row r="729">
      <c r="A729" s="7">
        <v>1270.0</v>
      </c>
      <c r="B729" s="7" t="str">
        <f>VLOOKUP($A729,product_category,2, False)</f>
        <v>Beverages</v>
      </c>
      <c r="C729" s="7">
        <v>5.8056935E8</v>
      </c>
      <c r="D729" s="9">
        <v>40704.0</v>
      </c>
      <c r="E729" s="10">
        <f t="shared" si="1"/>
        <v>6</v>
      </c>
      <c r="F729" s="10" t="str">
        <f t="shared" si="2"/>
        <v>Jun</v>
      </c>
      <c r="G729" s="11">
        <f t="shared" si="3"/>
        <v>10</v>
      </c>
      <c r="H729" s="7">
        <f t="shared" si="4"/>
        <v>2011</v>
      </c>
      <c r="I729" s="9">
        <v>40727.0</v>
      </c>
      <c r="J729" s="11">
        <f t="shared" si="5"/>
        <v>23</v>
      </c>
      <c r="K729" s="7" t="s">
        <v>110</v>
      </c>
      <c r="L729" s="7" t="s">
        <v>383</v>
      </c>
      <c r="M729" s="7" t="str">
        <f>VLOOKUP(L729,countries, 2,false)</f>
        <v>Ireland</v>
      </c>
      <c r="N729" s="7" t="str">
        <f>VLOOKUP(L729,countries, 4,false)</f>
        <v>Europe</v>
      </c>
      <c r="O729" s="7" t="str">
        <f>VLOOKUP(L729,countries, 5,false)</f>
        <v>Northern Europe</v>
      </c>
      <c r="P729" s="7" t="s">
        <v>212</v>
      </c>
      <c r="Q729" s="7">
        <v>2227.0</v>
      </c>
      <c r="R729" s="12">
        <v>47.45</v>
      </c>
      <c r="S729" s="12">
        <v>31.79</v>
      </c>
      <c r="T729" s="13">
        <f t="shared" si="6"/>
        <v>105671.15</v>
      </c>
      <c r="U729" s="13">
        <f t="shared" si="7"/>
        <v>2738716.32</v>
      </c>
      <c r="V729" s="13">
        <f t="shared" si="8"/>
        <v>-2633045.17</v>
      </c>
      <c r="W729" s="14">
        <f>Q729/totals!B$2</f>
        <v>0.0003386287346</v>
      </c>
      <c r="X729" s="14">
        <f t="shared" si="9"/>
        <v>0.5452740688</v>
      </c>
      <c r="Y729" s="14">
        <f>T729/totals!B$5</f>
        <v>0.00006208173685</v>
      </c>
      <c r="Z729" s="14">
        <f t="shared" si="10"/>
        <v>0.5390526325</v>
      </c>
      <c r="AA729" s="14">
        <f>V729/totals!B$4</f>
        <v>-0.005250228554</v>
      </c>
      <c r="AB729" s="14">
        <f t="shared" si="11"/>
        <v>0.5475277301</v>
      </c>
    </row>
    <row r="730">
      <c r="A730" s="7">
        <v>8681.0</v>
      </c>
      <c r="B730" s="7" t="str">
        <f>VLOOKUP($A730,product_category,2, False)</f>
        <v>Office Supplies</v>
      </c>
      <c r="C730" s="7">
        <v>5.8078221E8</v>
      </c>
      <c r="D730" s="9">
        <v>42051.0</v>
      </c>
      <c r="E730" s="10">
        <f t="shared" si="1"/>
        <v>2</v>
      </c>
      <c r="F730" s="10" t="str">
        <f t="shared" si="2"/>
        <v>Feb</v>
      </c>
      <c r="G730" s="11">
        <f t="shared" si="3"/>
        <v>16</v>
      </c>
      <c r="H730" s="7">
        <f t="shared" si="4"/>
        <v>2015</v>
      </c>
      <c r="I730" s="9">
        <v>42055.0</v>
      </c>
      <c r="J730" s="11">
        <f t="shared" si="5"/>
        <v>4</v>
      </c>
      <c r="K730" s="7" t="s">
        <v>198</v>
      </c>
      <c r="L730" s="7" t="e">
        <v>#N/A</v>
      </c>
      <c r="M730" s="7"/>
      <c r="N730" s="7"/>
      <c r="O730" s="7"/>
      <c r="P730" s="7" t="s">
        <v>129</v>
      </c>
      <c r="Q730" s="7">
        <v>5217.0</v>
      </c>
      <c r="R730" s="12">
        <v>651.21</v>
      </c>
      <c r="S730" s="12">
        <v>524.96</v>
      </c>
      <c r="T730" s="13">
        <f t="shared" si="6"/>
        <v>3397362.57</v>
      </c>
      <c r="U730" s="13">
        <f t="shared" si="7"/>
        <v>682664.64</v>
      </c>
      <c r="V730" s="13">
        <f t="shared" si="8"/>
        <v>2714697.93</v>
      </c>
      <c r="W730" s="14">
        <f>Q730/totals!B$2</f>
        <v>0.0007932762049</v>
      </c>
      <c r="X730" s="14">
        <f t="shared" si="9"/>
        <v>0.546067345</v>
      </c>
      <c r="Y730" s="14">
        <f>T730/totals!B$5</f>
        <v>0.001995948459</v>
      </c>
      <c r="Z730" s="14">
        <f t="shared" si="10"/>
        <v>0.5410485809</v>
      </c>
      <c r="AA730" s="14">
        <f>V730/totals!B$4</f>
        <v>0.005413042188</v>
      </c>
      <c r="AB730" s="14">
        <f t="shared" si="11"/>
        <v>0.5529407723</v>
      </c>
    </row>
    <row r="731">
      <c r="A731" s="7">
        <v>8969.0</v>
      </c>
      <c r="B731" s="7" t="str">
        <f>VLOOKUP($A731,product_category,2, False)</f>
        <v>Snacks</v>
      </c>
      <c r="C731" s="7">
        <v>5.81193768E8</v>
      </c>
      <c r="D731" s="9">
        <v>40651.0</v>
      </c>
      <c r="E731" s="10">
        <f t="shared" si="1"/>
        <v>4</v>
      </c>
      <c r="F731" s="10" t="str">
        <f t="shared" si="2"/>
        <v>Apr</v>
      </c>
      <c r="G731" s="11">
        <f t="shared" si="3"/>
        <v>18</v>
      </c>
      <c r="H731" s="7">
        <f t="shared" si="4"/>
        <v>2011</v>
      </c>
      <c r="I731" s="9">
        <v>40657.0</v>
      </c>
      <c r="J731" s="11">
        <f t="shared" si="5"/>
        <v>6</v>
      </c>
      <c r="K731" s="7" t="s">
        <v>110</v>
      </c>
      <c r="L731" s="7" t="s">
        <v>231</v>
      </c>
      <c r="M731" s="7" t="str">
        <f>VLOOKUP(L731,countries, 2,false)</f>
        <v>Cyprus</v>
      </c>
      <c r="N731" s="7" t="str">
        <f>VLOOKUP(L731,countries, 4,false)</f>
        <v>Asia</v>
      </c>
      <c r="O731" s="7" t="str">
        <f>VLOOKUP(L731,countries, 5,false)</f>
        <v>Western Asia</v>
      </c>
      <c r="P731" s="7" t="s">
        <v>129</v>
      </c>
      <c r="Q731" s="7">
        <v>7006.0</v>
      </c>
      <c r="R731" s="12">
        <v>152.58</v>
      </c>
      <c r="S731" s="12">
        <v>97.44</v>
      </c>
      <c r="T731" s="13">
        <f t="shared" si="6"/>
        <v>1068975.48</v>
      </c>
      <c r="U731" s="13">
        <f t="shared" si="7"/>
        <v>684459.48</v>
      </c>
      <c r="V731" s="13">
        <f t="shared" si="8"/>
        <v>384516</v>
      </c>
      <c r="W731" s="14">
        <f>Q731/totals!B$2</f>
        <v>0.001065304407</v>
      </c>
      <c r="X731" s="14">
        <f t="shared" si="9"/>
        <v>0.5471326494</v>
      </c>
      <c r="Y731" s="14">
        <f>T731/totals!B$5</f>
        <v>0.0006280224493</v>
      </c>
      <c r="Z731" s="14">
        <f t="shared" si="10"/>
        <v>0.5416766034</v>
      </c>
      <c r="AA731" s="14">
        <f>V731/totals!B$4</f>
        <v>0.0007667156286</v>
      </c>
      <c r="AB731" s="14">
        <f t="shared" si="11"/>
        <v>0.5537074879</v>
      </c>
    </row>
    <row r="732">
      <c r="A732" s="7">
        <v>7940.0</v>
      </c>
      <c r="B732" s="7" t="str">
        <f>VLOOKUP($A732,product_category,2, False)</f>
        <v>Household</v>
      </c>
      <c r="C732" s="7">
        <v>5.82560193E8</v>
      </c>
      <c r="D732" s="9">
        <v>42515.0</v>
      </c>
      <c r="E732" s="10">
        <f t="shared" si="1"/>
        <v>5</v>
      </c>
      <c r="F732" s="10" t="str">
        <f t="shared" si="2"/>
        <v>May</v>
      </c>
      <c r="G732" s="11">
        <f t="shared" si="3"/>
        <v>25</v>
      </c>
      <c r="H732" s="7">
        <f t="shared" si="4"/>
        <v>2016</v>
      </c>
      <c r="I732" s="9">
        <v>42518.0</v>
      </c>
      <c r="J732" s="11">
        <f t="shared" si="5"/>
        <v>3</v>
      </c>
      <c r="K732" s="7" t="s">
        <v>322</v>
      </c>
      <c r="L732" s="7" t="s">
        <v>222</v>
      </c>
      <c r="M732" s="7" t="str">
        <f>VLOOKUP(L732,countries, 2,false)</f>
        <v>Croatia</v>
      </c>
      <c r="N732" s="7" t="str">
        <f>VLOOKUP(L732,countries, 4,false)</f>
        <v>Europe</v>
      </c>
      <c r="O732" s="7" t="str">
        <f>VLOOKUP(L732,countries, 5,false)</f>
        <v>Southern Europe</v>
      </c>
      <c r="P732" s="7" t="s">
        <v>129</v>
      </c>
      <c r="Q732" s="7">
        <v>1362.0</v>
      </c>
      <c r="R732" s="12">
        <v>668.27</v>
      </c>
      <c r="S732" s="12">
        <v>502.54</v>
      </c>
      <c r="T732" s="13">
        <f t="shared" si="6"/>
        <v>910183.74</v>
      </c>
      <c r="U732" s="13">
        <f t="shared" si="7"/>
        <v>1195040.12</v>
      </c>
      <c r="V732" s="13">
        <f t="shared" si="8"/>
        <v>-284856.38</v>
      </c>
      <c r="W732" s="14">
        <f>Q732/totals!B$2</f>
        <v>0.0002071002858</v>
      </c>
      <c r="X732" s="14">
        <f t="shared" si="9"/>
        <v>0.5473397497</v>
      </c>
      <c r="Y732" s="14">
        <f>T732/totals!B$5</f>
        <v>0.0005347323979</v>
      </c>
      <c r="Z732" s="14">
        <f t="shared" si="10"/>
        <v>0.5422113358</v>
      </c>
      <c r="AA732" s="14">
        <f>V732/totals!B$4</f>
        <v>-0.0005679967504</v>
      </c>
      <c r="AB732" s="14">
        <f t="shared" si="11"/>
        <v>0.5531394912</v>
      </c>
    </row>
    <row r="733">
      <c r="A733" s="7">
        <v>7940.0</v>
      </c>
      <c r="B733" s="7" t="str">
        <f>VLOOKUP($A733,product_category,2, False)</f>
        <v>Household</v>
      </c>
      <c r="C733" s="7">
        <v>5.82563626E8</v>
      </c>
      <c r="D733" s="9">
        <v>40574.0</v>
      </c>
      <c r="E733" s="10">
        <f t="shared" si="1"/>
        <v>1</v>
      </c>
      <c r="F733" s="10" t="str">
        <f t="shared" si="2"/>
        <v>Jan</v>
      </c>
      <c r="G733" s="11">
        <f t="shared" si="3"/>
        <v>31</v>
      </c>
      <c r="H733" s="7">
        <f t="shared" si="4"/>
        <v>2011</v>
      </c>
      <c r="I733" s="9">
        <v>40593.0</v>
      </c>
      <c r="J733" s="11">
        <f t="shared" si="5"/>
        <v>19</v>
      </c>
      <c r="K733" s="7" t="s">
        <v>110</v>
      </c>
      <c r="L733" s="7" t="e">
        <v>#N/A</v>
      </c>
      <c r="M733" s="7"/>
      <c r="N733" s="7"/>
      <c r="O733" s="7"/>
      <c r="P733" s="7" t="s">
        <v>129</v>
      </c>
      <c r="Q733" s="7">
        <v>2378.0</v>
      </c>
      <c r="R733" s="12">
        <v>668.27</v>
      </c>
      <c r="S733" s="12">
        <v>502.54</v>
      </c>
      <c r="T733" s="13">
        <f t="shared" si="6"/>
        <v>1589146.06</v>
      </c>
      <c r="U733" s="13">
        <f t="shared" si="7"/>
        <v>1585379.2</v>
      </c>
      <c r="V733" s="13">
        <f t="shared" si="8"/>
        <v>3766.86</v>
      </c>
      <c r="W733" s="14">
        <f>Q733/totals!B$2</f>
        <v>0.0003615891921</v>
      </c>
      <c r="X733" s="14">
        <f t="shared" si="9"/>
        <v>0.5477013389</v>
      </c>
      <c r="Y733" s="14">
        <f>T733/totals!B$5</f>
        <v>0.0009336223511</v>
      </c>
      <c r="Z733" s="14">
        <f t="shared" si="10"/>
        <v>0.5431449581</v>
      </c>
      <c r="AA733" s="14">
        <f>V733/totals!B$4</f>
        <v>0.000007511027975</v>
      </c>
      <c r="AB733" s="14">
        <f t="shared" si="11"/>
        <v>0.5531470022</v>
      </c>
    </row>
    <row r="734">
      <c r="A734" s="7">
        <v>8681.0</v>
      </c>
      <c r="B734" s="7" t="str">
        <f>VLOOKUP($A734,product_category,2, False)</f>
        <v>Office Supplies</v>
      </c>
      <c r="C734" s="7">
        <v>5.82836139E8</v>
      </c>
      <c r="D734" s="9">
        <v>41729.0</v>
      </c>
      <c r="E734" s="10">
        <f t="shared" si="1"/>
        <v>3</v>
      </c>
      <c r="F734" s="10" t="str">
        <f t="shared" si="2"/>
        <v>Mar</v>
      </c>
      <c r="G734" s="11">
        <f t="shared" si="3"/>
        <v>31</v>
      </c>
      <c r="H734" s="7">
        <f t="shared" si="4"/>
        <v>2014</v>
      </c>
      <c r="I734" s="9">
        <v>41734.0</v>
      </c>
      <c r="J734" s="11">
        <f t="shared" si="5"/>
        <v>5</v>
      </c>
      <c r="K734" s="7" t="s">
        <v>382</v>
      </c>
      <c r="L734" s="7" t="s">
        <v>56</v>
      </c>
      <c r="M734" s="7" t="str">
        <f>VLOOKUP(L734,countries, 2,false)</f>
        <v>Andorra</v>
      </c>
      <c r="N734" s="7" t="str">
        <f>VLOOKUP(L734,countries, 4,false)</f>
        <v>Europe</v>
      </c>
      <c r="O734" s="7" t="str">
        <f>VLOOKUP(L734,countries, 5,false)</f>
        <v>Southern Europe</v>
      </c>
      <c r="P734" s="7" t="s">
        <v>129</v>
      </c>
      <c r="Q734" s="7">
        <v>3020.0</v>
      </c>
      <c r="R734" s="12">
        <v>651.21</v>
      </c>
      <c r="S734" s="12">
        <v>524.96</v>
      </c>
      <c r="T734" s="13">
        <f t="shared" si="6"/>
        <v>1966654.2</v>
      </c>
      <c r="U734" s="13">
        <f t="shared" si="7"/>
        <v>2092946.84</v>
      </c>
      <c r="V734" s="13">
        <f t="shared" si="8"/>
        <v>-126292.64</v>
      </c>
      <c r="W734" s="14">
        <f>Q734/totals!B$2</f>
        <v>0.0004592091506</v>
      </c>
      <c r="X734" s="14">
        <f t="shared" si="9"/>
        <v>0.548160548</v>
      </c>
      <c r="Y734" s="14">
        <f>T734/totals!B$5</f>
        <v>0.001155408156</v>
      </c>
      <c r="Z734" s="14">
        <f t="shared" si="10"/>
        <v>0.5443003663</v>
      </c>
      <c r="AA734" s="14">
        <f>V734/totals!B$4</f>
        <v>-0.0002518244777</v>
      </c>
      <c r="AB734" s="14">
        <f t="shared" si="11"/>
        <v>0.5528951777</v>
      </c>
    </row>
    <row r="735">
      <c r="A735" s="7">
        <v>8293.0</v>
      </c>
      <c r="B735" s="7" t="str">
        <f>VLOOKUP($A735,product_category,2, False)</f>
        <v>Cosmetics</v>
      </c>
      <c r="C735" s="7">
        <v>5.83089339E8</v>
      </c>
      <c r="D735" s="9">
        <v>40320.0</v>
      </c>
      <c r="E735" s="10">
        <f t="shared" si="1"/>
        <v>5</v>
      </c>
      <c r="F735" s="10" t="str">
        <f t="shared" si="2"/>
        <v>May</v>
      </c>
      <c r="G735" s="11">
        <f t="shared" si="3"/>
        <v>22</v>
      </c>
      <c r="H735" s="7">
        <f t="shared" si="4"/>
        <v>2010</v>
      </c>
      <c r="I735" s="9">
        <v>40355.0</v>
      </c>
      <c r="J735" s="11">
        <f t="shared" si="5"/>
        <v>35</v>
      </c>
      <c r="K735" s="7" t="s">
        <v>198</v>
      </c>
      <c r="L735" s="7" t="s">
        <v>316</v>
      </c>
      <c r="M735" s="7" t="str">
        <f>VLOOKUP(L735,countries, 2,false)</f>
        <v>Greece</v>
      </c>
      <c r="N735" s="7" t="str">
        <f>VLOOKUP(L735,countries, 4,false)</f>
        <v>Europe</v>
      </c>
      <c r="O735" s="7" t="str">
        <f>VLOOKUP(L735,countries, 5,false)</f>
        <v>Southern Europe</v>
      </c>
      <c r="P735" s="7" t="s">
        <v>129</v>
      </c>
      <c r="Q735" s="7">
        <v>7948.0</v>
      </c>
      <c r="R735" s="12">
        <v>437.2</v>
      </c>
      <c r="S735" s="12">
        <v>263.33</v>
      </c>
      <c r="T735" s="13">
        <f t="shared" si="6"/>
        <v>3474865.6</v>
      </c>
      <c r="U735" s="13">
        <f t="shared" si="7"/>
        <v>512534.4</v>
      </c>
      <c r="V735" s="13">
        <f t="shared" si="8"/>
        <v>2962331.2</v>
      </c>
      <c r="W735" s="14">
        <f>Q735/totals!B$2</f>
        <v>0.001208541169</v>
      </c>
      <c r="X735" s="14">
        <f t="shared" si="9"/>
        <v>0.5493690892</v>
      </c>
      <c r="Y735" s="14">
        <f>T735/totals!B$5</f>
        <v>0.002041481443</v>
      </c>
      <c r="Z735" s="14">
        <f t="shared" si="10"/>
        <v>0.5463418477</v>
      </c>
      <c r="AA735" s="14">
        <f>V735/totals!B$4</f>
        <v>0.005906816955</v>
      </c>
      <c r="AB735" s="14">
        <f t="shared" si="11"/>
        <v>0.5588019947</v>
      </c>
    </row>
    <row r="736">
      <c r="A736" s="7">
        <v>8969.0</v>
      </c>
      <c r="B736" s="7" t="str">
        <f>VLOOKUP($A736,product_category,2, False)</f>
        <v>Snacks</v>
      </c>
      <c r="C736" s="7">
        <v>5.83451974E8</v>
      </c>
      <c r="D736" s="9">
        <v>42380.0</v>
      </c>
      <c r="E736" s="10">
        <f t="shared" si="1"/>
        <v>1</v>
      </c>
      <c r="F736" s="10" t="str">
        <f t="shared" si="2"/>
        <v>Jan</v>
      </c>
      <c r="G736" s="11">
        <f t="shared" si="3"/>
        <v>11</v>
      </c>
      <c r="H736" s="7">
        <f t="shared" si="4"/>
        <v>2016</v>
      </c>
      <c r="I736" s="9">
        <v>42405.0</v>
      </c>
      <c r="J736" s="11">
        <f t="shared" si="5"/>
        <v>25</v>
      </c>
      <c r="K736" s="7" t="s">
        <v>382</v>
      </c>
      <c r="L736" s="7" t="e">
        <v>#N/A</v>
      </c>
      <c r="M736" s="7"/>
      <c r="N736" s="7"/>
      <c r="O736" s="7"/>
      <c r="P736" s="7" t="s">
        <v>212</v>
      </c>
      <c r="Q736" s="7">
        <v>5260.0</v>
      </c>
      <c r="R736" s="12">
        <v>152.58</v>
      </c>
      <c r="S736" s="12">
        <v>97.44</v>
      </c>
      <c r="T736" s="13">
        <f t="shared" si="6"/>
        <v>802570.8</v>
      </c>
      <c r="U736" s="13">
        <f t="shared" si="7"/>
        <v>494508</v>
      </c>
      <c r="V736" s="13">
        <f t="shared" si="8"/>
        <v>308062.8</v>
      </c>
      <c r="W736" s="14">
        <f>Q736/totals!B$2</f>
        <v>0.0007998146133</v>
      </c>
      <c r="X736" s="14">
        <f t="shared" si="9"/>
        <v>0.5501689038</v>
      </c>
      <c r="Y736" s="14">
        <f>T736/totals!B$5</f>
        <v>0.0004715098606</v>
      </c>
      <c r="Z736" s="14">
        <f t="shared" si="10"/>
        <v>0.5468133576</v>
      </c>
      <c r="AA736" s="14">
        <f>V736/totals!B$4</f>
        <v>0.0006142697921</v>
      </c>
      <c r="AB736" s="14">
        <f t="shared" si="11"/>
        <v>0.5594162645</v>
      </c>
    </row>
    <row r="737">
      <c r="A737" s="7">
        <v>8969.0</v>
      </c>
      <c r="B737" s="7" t="str">
        <f>VLOOKUP($A737,product_category,2, False)</f>
        <v>Snacks</v>
      </c>
      <c r="C737" s="7">
        <v>5.83654105E8</v>
      </c>
      <c r="D737" s="9">
        <v>40458.0</v>
      </c>
      <c r="E737" s="10">
        <f t="shared" si="1"/>
        <v>10</v>
      </c>
      <c r="F737" s="10" t="str">
        <f t="shared" si="2"/>
        <v>Oct</v>
      </c>
      <c r="G737" s="11">
        <f t="shared" si="3"/>
        <v>7</v>
      </c>
      <c r="H737" s="7">
        <f t="shared" si="4"/>
        <v>2010</v>
      </c>
      <c r="I737" s="9">
        <v>40470.0</v>
      </c>
      <c r="J737" s="11">
        <f t="shared" si="5"/>
        <v>12</v>
      </c>
      <c r="K737" s="7" t="s">
        <v>198</v>
      </c>
      <c r="L737" s="7" t="s">
        <v>597</v>
      </c>
      <c r="M737" s="7" t="str">
        <f>VLOOKUP(L737,countries, 2,false)</f>
        <v>Portugal</v>
      </c>
      <c r="N737" s="7" t="str">
        <f>VLOOKUP(L737,countries, 4,false)</f>
        <v>Europe</v>
      </c>
      <c r="O737" s="7" t="str">
        <f>VLOOKUP(L737,countries, 5,false)</f>
        <v>Southern Europe</v>
      </c>
      <c r="P737" s="7" t="s">
        <v>129</v>
      </c>
      <c r="Q737" s="7">
        <v>5075.0</v>
      </c>
      <c r="R737" s="12">
        <v>152.58</v>
      </c>
      <c r="S737" s="12">
        <v>97.44</v>
      </c>
      <c r="T737" s="13">
        <f t="shared" si="6"/>
        <v>774343.5</v>
      </c>
      <c r="U737" s="13">
        <f t="shared" si="7"/>
        <v>388463.42</v>
      </c>
      <c r="V737" s="13">
        <f t="shared" si="8"/>
        <v>385880.08</v>
      </c>
      <c r="W737" s="14">
        <f>Q737/totals!B$2</f>
        <v>0.0007716842514</v>
      </c>
      <c r="X737" s="14">
        <f t="shared" si="9"/>
        <v>0.5509405881</v>
      </c>
      <c r="Y737" s="14">
        <f>T737/totals!B$5</f>
        <v>0.0004549263389</v>
      </c>
      <c r="Z737" s="14">
        <f t="shared" si="10"/>
        <v>0.5472682839</v>
      </c>
      <c r="AA737" s="14">
        <f>V737/totals!B$4</f>
        <v>0.0007694355713</v>
      </c>
      <c r="AB737" s="14">
        <f t="shared" si="11"/>
        <v>0.5601857001</v>
      </c>
    </row>
    <row r="738">
      <c r="A738" s="7">
        <v>7940.0</v>
      </c>
      <c r="B738" s="7" t="str">
        <f>VLOOKUP($A738,product_category,2, False)</f>
        <v>Household</v>
      </c>
      <c r="C738" s="7">
        <v>5.85362994E8</v>
      </c>
      <c r="D738" s="9">
        <v>40229.0</v>
      </c>
      <c r="E738" s="10">
        <f t="shared" si="1"/>
        <v>2</v>
      </c>
      <c r="F738" s="10" t="str">
        <f t="shared" si="2"/>
        <v>Feb</v>
      </c>
      <c r="G738" s="11">
        <f t="shared" si="3"/>
        <v>20</v>
      </c>
      <c r="H738" s="7">
        <f t="shared" si="4"/>
        <v>2010</v>
      </c>
      <c r="I738" s="9">
        <v>40279.0</v>
      </c>
      <c r="J738" s="11">
        <f t="shared" si="5"/>
        <v>50</v>
      </c>
      <c r="K738" s="7" t="s">
        <v>322</v>
      </c>
      <c r="L738" s="7" t="s">
        <v>439</v>
      </c>
      <c r="M738" s="7" t="str">
        <f>VLOOKUP(L738,countries, 2,false)</f>
        <v>Slovakia</v>
      </c>
      <c r="N738" s="7" t="str">
        <f>VLOOKUP(L738,countries, 4,false)</f>
        <v>Europe</v>
      </c>
      <c r="O738" s="7" t="str">
        <f>VLOOKUP(L738,countries, 5,false)</f>
        <v>Eastern Europe</v>
      </c>
      <c r="P738" s="7" t="s">
        <v>212</v>
      </c>
      <c r="Q738" s="7">
        <v>773.0</v>
      </c>
      <c r="R738" s="12">
        <v>668.27</v>
      </c>
      <c r="S738" s="12">
        <v>502.54</v>
      </c>
      <c r="T738" s="13">
        <f t="shared" si="6"/>
        <v>516572.71</v>
      </c>
      <c r="U738" s="13">
        <f t="shared" si="7"/>
        <v>363840.96</v>
      </c>
      <c r="V738" s="13">
        <f t="shared" si="8"/>
        <v>152731.75</v>
      </c>
      <c r="W738" s="14">
        <f>Q738/totals!B$2</f>
        <v>0.0001175392958</v>
      </c>
      <c r="X738" s="14">
        <f t="shared" si="9"/>
        <v>0.5510581274</v>
      </c>
      <c r="Y738" s="14">
        <f>T738/totals!B$5</f>
        <v>0.0003034861553</v>
      </c>
      <c r="Z738" s="14">
        <f t="shared" si="10"/>
        <v>0.5475717701</v>
      </c>
      <c r="AA738" s="14">
        <f>V738/totals!B$4</f>
        <v>0.0003045434253</v>
      </c>
      <c r="AB738" s="14">
        <f t="shared" si="11"/>
        <v>0.5604902435</v>
      </c>
    </row>
    <row r="739">
      <c r="A739" s="7">
        <v>8969.0</v>
      </c>
      <c r="B739" s="7" t="str">
        <f>VLOOKUP($A739,product_category,2, False)</f>
        <v>Snacks</v>
      </c>
      <c r="C739" s="7">
        <v>5.85677134E8</v>
      </c>
      <c r="D739" s="9">
        <v>41012.0</v>
      </c>
      <c r="E739" s="10">
        <f t="shared" si="1"/>
        <v>4</v>
      </c>
      <c r="F739" s="10" t="str">
        <f t="shared" si="2"/>
        <v>Apr</v>
      </c>
      <c r="G739" s="11">
        <f t="shared" si="3"/>
        <v>13</v>
      </c>
      <c r="H739" s="7">
        <f t="shared" si="4"/>
        <v>2012</v>
      </c>
      <c r="I739" s="9">
        <v>41033.0</v>
      </c>
      <c r="J739" s="11">
        <f t="shared" si="5"/>
        <v>21</v>
      </c>
      <c r="K739" s="7" t="s">
        <v>382</v>
      </c>
      <c r="L739" s="7" t="s">
        <v>237</v>
      </c>
      <c r="M739" s="7" t="str">
        <f>VLOOKUP(L739,countries, 2,false)</f>
        <v>Denmark</v>
      </c>
      <c r="N739" s="7" t="str">
        <f>VLOOKUP(L739,countries, 4,false)</f>
        <v>Europe</v>
      </c>
      <c r="O739" s="7" t="str">
        <f>VLOOKUP(L739,countries, 5,false)</f>
        <v>Northern Europe</v>
      </c>
      <c r="P739" s="7" t="s">
        <v>129</v>
      </c>
      <c r="Q739" s="7">
        <v>3734.0</v>
      </c>
      <c r="R739" s="12">
        <v>152.58</v>
      </c>
      <c r="S739" s="12">
        <v>97.44</v>
      </c>
      <c r="T739" s="13">
        <f t="shared" si="6"/>
        <v>569733.72</v>
      </c>
      <c r="U739" s="13">
        <f t="shared" si="7"/>
        <v>5126759.36</v>
      </c>
      <c r="V739" s="13">
        <f t="shared" si="8"/>
        <v>-4557025.64</v>
      </c>
      <c r="W739" s="14">
        <f>Q739/totals!B$2</f>
        <v>0.0005677771418</v>
      </c>
      <c r="X739" s="14">
        <f t="shared" si="9"/>
        <v>0.5516259045</v>
      </c>
      <c r="Y739" s="14">
        <f>T739/totals!B$5</f>
        <v>0.0003347182166</v>
      </c>
      <c r="Z739" s="14">
        <f t="shared" si="10"/>
        <v>0.5479064883</v>
      </c>
      <c r="AA739" s="14">
        <f>V739/totals!B$4</f>
        <v>-0.009086599201</v>
      </c>
      <c r="AB739" s="14">
        <f t="shared" si="11"/>
        <v>0.5514036443</v>
      </c>
    </row>
    <row r="740">
      <c r="A740" s="7">
        <v>8681.0</v>
      </c>
      <c r="B740" s="7" t="str">
        <f>VLOOKUP($A740,product_category,2, False)</f>
        <v>Office Supplies</v>
      </c>
      <c r="C740" s="7">
        <v>5.86812674E8</v>
      </c>
      <c r="D740" s="9">
        <v>41348.0</v>
      </c>
      <c r="E740" s="10">
        <f t="shared" si="1"/>
        <v>3</v>
      </c>
      <c r="F740" s="10" t="str">
        <f t="shared" si="2"/>
        <v>Mar</v>
      </c>
      <c r="G740" s="11">
        <f t="shared" si="3"/>
        <v>15</v>
      </c>
      <c r="H740" s="7">
        <f t="shared" si="4"/>
        <v>2013</v>
      </c>
      <c r="I740" s="9">
        <v>41364.0</v>
      </c>
      <c r="J740" s="11">
        <f t="shared" si="5"/>
        <v>16</v>
      </c>
      <c r="K740" s="7" t="s">
        <v>110</v>
      </c>
      <c r="L740" s="7" t="s">
        <v>612</v>
      </c>
      <c r="M740" s="7" t="str">
        <f>VLOOKUP(L740,countries, 2,false)</f>
        <v>Russia</v>
      </c>
      <c r="N740" s="7" t="str">
        <f>VLOOKUP(L740,countries, 4,false)</f>
        <v>Europe</v>
      </c>
      <c r="O740" s="7" t="str">
        <f>VLOOKUP(L740,countries, 5,false)</f>
        <v>Eastern Europe</v>
      </c>
      <c r="P740" s="7" t="s">
        <v>212</v>
      </c>
      <c r="Q740" s="7">
        <v>9766.0</v>
      </c>
      <c r="R740" s="12">
        <v>651.21</v>
      </c>
      <c r="S740" s="12">
        <v>524.96</v>
      </c>
      <c r="T740" s="13">
        <f t="shared" si="6"/>
        <v>6359716.86</v>
      </c>
      <c r="U740" s="13">
        <f t="shared" si="7"/>
        <v>283640.42</v>
      </c>
      <c r="V740" s="13">
        <f t="shared" si="8"/>
        <v>6076076.44</v>
      </c>
      <c r="W740" s="14">
        <f>Q740/totals!B$2</f>
        <v>0.001484978995</v>
      </c>
      <c r="X740" s="14">
        <f t="shared" si="9"/>
        <v>0.5531108835</v>
      </c>
      <c r="Y740" s="14">
        <f>T740/totals!B$5</f>
        <v>0.003736329817</v>
      </c>
      <c r="Z740" s="14">
        <f t="shared" si="10"/>
        <v>0.5516428181</v>
      </c>
      <c r="AA740" s="14">
        <f>V740/totals!B$4</f>
        <v>0.01211554985</v>
      </c>
      <c r="AB740" s="14">
        <f t="shared" si="11"/>
        <v>0.5635191941</v>
      </c>
    </row>
    <row r="741">
      <c r="A741" s="7">
        <v>2103.0</v>
      </c>
      <c r="B741" s="7" t="str">
        <f>VLOOKUP($A741,product_category,2, False)</f>
        <v>Cereal</v>
      </c>
      <c r="C741" s="7">
        <v>5.87598884E8</v>
      </c>
      <c r="D741" s="9">
        <v>42129.0</v>
      </c>
      <c r="E741" s="10">
        <f t="shared" si="1"/>
        <v>5</v>
      </c>
      <c r="F741" s="10" t="str">
        <f t="shared" si="2"/>
        <v>May</v>
      </c>
      <c r="G741" s="11">
        <f t="shared" si="3"/>
        <v>5</v>
      </c>
      <c r="H741" s="7">
        <f t="shared" si="4"/>
        <v>2015</v>
      </c>
      <c r="I741" s="9">
        <v>42168.0</v>
      </c>
      <c r="J741" s="11">
        <f t="shared" si="5"/>
        <v>39</v>
      </c>
      <c r="K741" s="7" t="s">
        <v>382</v>
      </c>
      <c r="L741" s="7" t="s">
        <v>316</v>
      </c>
      <c r="M741" s="7" t="str">
        <f>VLOOKUP(L741,countries, 2,false)</f>
        <v>Greece</v>
      </c>
      <c r="N741" s="7" t="str">
        <f>VLOOKUP(L741,countries, 4,false)</f>
        <v>Europe</v>
      </c>
      <c r="O741" s="7" t="str">
        <f>VLOOKUP(L741,countries, 5,false)</f>
        <v>Southern Europe</v>
      </c>
      <c r="P741" s="7" t="s">
        <v>129</v>
      </c>
      <c r="Q741" s="7">
        <v>2422.0</v>
      </c>
      <c r="R741" s="12">
        <v>205.7</v>
      </c>
      <c r="S741" s="12">
        <v>117.11</v>
      </c>
      <c r="T741" s="13">
        <f t="shared" si="6"/>
        <v>498205.4</v>
      </c>
      <c r="U741" s="13">
        <f t="shared" si="7"/>
        <v>295883.52</v>
      </c>
      <c r="V741" s="13">
        <f t="shared" si="8"/>
        <v>202321.88</v>
      </c>
      <c r="W741" s="14">
        <f>Q741/totals!B$2</f>
        <v>0.0003682796565</v>
      </c>
      <c r="X741" s="14">
        <f t="shared" si="9"/>
        <v>0.5534791632</v>
      </c>
      <c r="Y741" s="14">
        <f>T741/totals!B$5</f>
        <v>0.0002926953718</v>
      </c>
      <c r="Z741" s="14">
        <f t="shared" si="10"/>
        <v>0.5519355135</v>
      </c>
      <c r="AA741" s="14">
        <f>V741/totals!B$4</f>
        <v>0.0004034249483</v>
      </c>
      <c r="AB741" s="14">
        <f t="shared" si="11"/>
        <v>0.5639226191</v>
      </c>
    </row>
    <row r="742">
      <c r="A742" s="7">
        <v>7331.0</v>
      </c>
      <c r="B742" s="7" t="str">
        <f>VLOOKUP($A742,product_category,2, False)</f>
        <v>Baby Food</v>
      </c>
      <c r="C742" s="7">
        <v>5.87799727E8</v>
      </c>
      <c r="D742" s="9">
        <v>40589.0</v>
      </c>
      <c r="E742" s="10">
        <f t="shared" si="1"/>
        <v>2</v>
      </c>
      <c r="F742" s="10" t="str">
        <f t="shared" si="2"/>
        <v>Feb</v>
      </c>
      <c r="G742" s="11">
        <f t="shared" si="3"/>
        <v>15</v>
      </c>
      <c r="H742" s="7">
        <f t="shared" si="4"/>
        <v>2011</v>
      </c>
      <c r="I742" s="9">
        <v>40629.0</v>
      </c>
      <c r="J742" s="11">
        <f t="shared" si="5"/>
        <v>40</v>
      </c>
      <c r="K742" s="7" t="s">
        <v>322</v>
      </c>
      <c r="L742" s="7" t="s">
        <v>642</v>
      </c>
      <c r="M742" s="7" t="str">
        <f>VLOOKUP(L742,countries, 2,false)</f>
        <v>San Marino</v>
      </c>
      <c r="N742" s="7" t="str">
        <f>VLOOKUP(L742,countries, 4,false)</f>
        <v>Europe</v>
      </c>
      <c r="O742" s="7" t="str">
        <f>VLOOKUP(L742,countries, 5,false)</f>
        <v>Southern Europe</v>
      </c>
      <c r="P742" s="7" t="s">
        <v>212</v>
      </c>
      <c r="Q742" s="7">
        <v>1856.0</v>
      </c>
      <c r="R742" s="12">
        <v>255.28</v>
      </c>
      <c r="S742" s="12">
        <v>159.42</v>
      </c>
      <c r="T742" s="13">
        <f t="shared" si="6"/>
        <v>473799.68</v>
      </c>
      <c r="U742" s="13">
        <f t="shared" si="7"/>
        <v>315765.24</v>
      </c>
      <c r="V742" s="13">
        <f t="shared" si="8"/>
        <v>158034.44</v>
      </c>
      <c r="W742" s="14">
        <f>Q742/totals!B$2</f>
        <v>0.0002822159548</v>
      </c>
      <c r="X742" s="14">
        <f t="shared" si="9"/>
        <v>0.5537613791</v>
      </c>
      <c r="Y742" s="14">
        <f>T742/totals!B$5</f>
        <v>0.000278357026</v>
      </c>
      <c r="Z742" s="14">
        <f t="shared" si="10"/>
        <v>0.5522138705</v>
      </c>
      <c r="AA742" s="14">
        <f>V742/totals!B$4</f>
        <v>0.0003151168612</v>
      </c>
      <c r="AB742" s="14">
        <f t="shared" si="11"/>
        <v>0.5642377359</v>
      </c>
    </row>
    <row r="743">
      <c r="A743" s="7">
        <v>3127.0</v>
      </c>
      <c r="B743" s="7" t="str">
        <f>VLOOKUP($A743,product_category,2, False)</f>
        <v>Personal Care</v>
      </c>
      <c r="C743" s="7">
        <v>5.87846076E8</v>
      </c>
      <c r="D743" s="9">
        <v>40659.0</v>
      </c>
      <c r="E743" s="10">
        <f t="shared" si="1"/>
        <v>4</v>
      </c>
      <c r="F743" s="10" t="str">
        <f t="shared" si="2"/>
        <v>Apr</v>
      </c>
      <c r="G743" s="11">
        <f t="shared" si="3"/>
        <v>26</v>
      </c>
      <c r="H743" s="7">
        <f t="shared" si="4"/>
        <v>2011</v>
      </c>
      <c r="I743" s="9">
        <v>40687.0</v>
      </c>
      <c r="J743" s="11">
        <f t="shared" si="5"/>
        <v>28</v>
      </c>
      <c r="K743" s="7" t="s">
        <v>198</v>
      </c>
      <c r="L743" s="7" t="s">
        <v>702</v>
      </c>
      <c r="M743" s="7" t="str">
        <f>VLOOKUP(L743,countries, 2,false)</f>
        <v>Sweden</v>
      </c>
      <c r="N743" s="7" t="str">
        <f>VLOOKUP(L743,countries, 4,false)</f>
        <v>Europe</v>
      </c>
      <c r="O743" s="7" t="str">
        <f>VLOOKUP(L743,countries, 5,false)</f>
        <v>Northern Europe</v>
      </c>
      <c r="P743" s="7" t="s">
        <v>129</v>
      </c>
      <c r="Q743" s="7">
        <v>5572.0</v>
      </c>
      <c r="R743" s="12">
        <v>81.73</v>
      </c>
      <c r="S743" s="12">
        <v>56.67</v>
      </c>
      <c r="T743" s="13">
        <f t="shared" si="6"/>
        <v>455399.56</v>
      </c>
      <c r="U743" s="13">
        <f t="shared" si="7"/>
        <v>431995.41</v>
      </c>
      <c r="V743" s="13">
        <f t="shared" si="8"/>
        <v>23404.15</v>
      </c>
      <c r="W743" s="14">
        <f>Q743/totals!B$2</f>
        <v>0.0008472560885</v>
      </c>
      <c r="X743" s="14">
        <f t="shared" si="9"/>
        <v>0.5546086352</v>
      </c>
      <c r="Y743" s="14">
        <f>T743/totals!B$5</f>
        <v>0.0002675469666</v>
      </c>
      <c r="Z743" s="14">
        <f t="shared" si="10"/>
        <v>0.5524814175</v>
      </c>
      <c r="AA743" s="14">
        <f>V743/totals!B$4</f>
        <v>0.00004666731054</v>
      </c>
      <c r="AB743" s="14">
        <f t="shared" si="11"/>
        <v>0.5642844032</v>
      </c>
    </row>
    <row r="744">
      <c r="A744" s="7">
        <v>3127.0</v>
      </c>
      <c r="B744" s="7" t="str">
        <f>VLOOKUP($A744,product_category,2, False)</f>
        <v>Personal Care</v>
      </c>
      <c r="C744" s="7">
        <v>5.88528859E8</v>
      </c>
      <c r="D744" s="9">
        <v>40797.0</v>
      </c>
      <c r="E744" s="10">
        <f t="shared" si="1"/>
        <v>9</v>
      </c>
      <c r="F744" s="10" t="str">
        <f t="shared" si="2"/>
        <v>Sep</v>
      </c>
      <c r="G744" s="11">
        <f t="shared" si="3"/>
        <v>11</v>
      </c>
      <c r="H744" s="7">
        <f t="shared" si="4"/>
        <v>2011</v>
      </c>
      <c r="I744" s="9">
        <v>40828.0</v>
      </c>
      <c r="J744" s="11">
        <f t="shared" si="5"/>
        <v>31</v>
      </c>
      <c r="K744" s="7" t="s">
        <v>322</v>
      </c>
      <c r="L744" s="7" t="s">
        <v>316</v>
      </c>
      <c r="M744" s="7" t="str">
        <f>VLOOKUP(L744,countries, 2,false)</f>
        <v>Greece</v>
      </c>
      <c r="N744" s="7" t="str">
        <f>VLOOKUP(L744,countries, 4,false)</f>
        <v>Europe</v>
      </c>
      <c r="O744" s="7" t="str">
        <f>VLOOKUP(L744,countries, 5,false)</f>
        <v>Southern Europe</v>
      </c>
      <c r="P744" s="7" t="s">
        <v>129</v>
      </c>
      <c r="Q744" s="7">
        <v>7623.0</v>
      </c>
      <c r="R744" s="12">
        <v>81.73</v>
      </c>
      <c r="S744" s="12">
        <v>56.67</v>
      </c>
      <c r="T744" s="13">
        <f t="shared" si="6"/>
        <v>623027.79</v>
      </c>
      <c r="U744" s="13">
        <f t="shared" si="7"/>
        <v>367504.95</v>
      </c>
      <c r="V744" s="13">
        <f t="shared" si="8"/>
        <v>255522.84</v>
      </c>
      <c r="W744" s="14">
        <f>Q744/totals!B$2</f>
        <v>0.001159122965</v>
      </c>
      <c r="X744" s="14">
        <f t="shared" si="9"/>
        <v>0.5557677582</v>
      </c>
      <c r="Y744" s="14">
        <f>T744/totals!B$5</f>
        <v>0.0003660284506</v>
      </c>
      <c r="Z744" s="14">
        <f t="shared" si="10"/>
        <v>0.5528474459</v>
      </c>
      <c r="AA744" s="14">
        <f>V744/totals!B$4</f>
        <v>0.0005095063792</v>
      </c>
      <c r="AB744" s="14">
        <f t="shared" si="11"/>
        <v>0.5647939096</v>
      </c>
    </row>
    <row r="745">
      <c r="A745" s="7">
        <v>3127.0</v>
      </c>
      <c r="B745" s="7" t="str">
        <f>VLOOKUP($A745,product_category,2, False)</f>
        <v>Personal Care</v>
      </c>
      <c r="C745" s="7">
        <v>5.89842927E8</v>
      </c>
      <c r="D745" s="9">
        <v>42530.0</v>
      </c>
      <c r="E745" s="10">
        <f t="shared" si="1"/>
        <v>6</v>
      </c>
      <c r="F745" s="10" t="str">
        <f t="shared" si="2"/>
        <v>Jun</v>
      </c>
      <c r="G745" s="11">
        <f t="shared" si="3"/>
        <v>9</v>
      </c>
      <c r="H745" s="7">
        <f t="shared" si="4"/>
        <v>2016</v>
      </c>
      <c r="I745" s="9">
        <v>42579.0</v>
      </c>
      <c r="J745" s="11">
        <f t="shared" si="5"/>
        <v>49</v>
      </c>
      <c r="K745" s="7" t="s">
        <v>110</v>
      </c>
      <c r="L745" s="7" t="s">
        <v>392</v>
      </c>
      <c r="M745" s="7" t="str">
        <f>VLOOKUP(L745,countries, 2,false)</f>
        <v>Italy</v>
      </c>
      <c r="N745" s="7" t="str">
        <f>VLOOKUP(L745,countries, 4,false)</f>
        <v>Europe</v>
      </c>
      <c r="O745" s="7" t="str">
        <f>VLOOKUP(L745,countries, 5,false)</f>
        <v>Southern Europe</v>
      </c>
      <c r="P745" s="7" t="s">
        <v>212</v>
      </c>
      <c r="Q745" s="7">
        <v>6485.0</v>
      </c>
      <c r="R745" s="12">
        <v>81.73</v>
      </c>
      <c r="S745" s="12">
        <v>56.67</v>
      </c>
      <c r="T745" s="13">
        <f t="shared" si="6"/>
        <v>530019.05</v>
      </c>
      <c r="U745" s="13">
        <f t="shared" si="7"/>
        <v>28233.6</v>
      </c>
      <c r="V745" s="13">
        <f t="shared" si="8"/>
        <v>501785.45</v>
      </c>
      <c r="W745" s="14">
        <f>Q745/totals!B$2</f>
        <v>0.0009860832257</v>
      </c>
      <c r="X745" s="14">
        <f t="shared" si="9"/>
        <v>0.5567538414</v>
      </c>
      <c r="Y745" s="14">
        <f>T745/totals!B$5</f>
        <v>0.000311385872</v>
      </c>
      <c r="Z745" s="14">
        <f t="shared" si="10"/>
        <v>0.5531588318</v>
      </c>
      <c r="AA745" s="14">
        <f>V745/totals!B$4</f>
        <v>0.001000548083</v>
      </c>
      <c r="AB745" s="14">
        <f t="shared" si="11"/>
        <v>0.5657944577</v>
      </c>
    </row>
    <row r="746">
      <c r="A746" s="7">
        <v>4594.0</v>
      </c>
      <c r="B746" s="7" t="str">
        <f>VLOOKUP($A746,product_category,2, False)</f>
        <v>Fruits</v>
      </c>
      <c r="C746" s="7">
        <v>5.91287887E8</v>
      </c>
      <c r="D746" s="9">
        <v>40441.0</v>
      </c>
      <c r="E746" s="10">
        <f t="shared" si="1"/>
        <v>9</v>
      </c>
      <c r="F746" s="10" t="str">
        <f t="shared" si="2"/>
        <v>Sep</v>
      </c>
      <c r="G746" s="11">
        <f t="shared" si="3"/>
        <v>20</v>
      </c>
      <c r="H746" s="7">
        <f t="shared" si="4"/>
        <v>2010</v>
      </c>
      <c r="I746" s="9">
        <v>40453.0</v>
      </c>
      <c r="J746" s="11">
        <f t="shared" si="5"/>
        <v>12</v>
      </c>
      <c r="K746" s="7" t="s">
        <v>322</v>
      </c>
      <c r="L746" s="7" t="s">
        <v>283</v>
      </c>
      <c r="M746" s="7" t="str">
        <f>VLOOKUP(L746,countries, 2,false)</f>
        <v>Finland</v>
      </c>
      <c r="N746" s="7" t="str">
        <f>VLOOKUP(L746,countries, 4,false)</f>
        <v>Europe</v>
      </c>
      <c r="O746" s="7" t="str">
        <f>VLOOKUP(L746,countries, 5,false)</f>
        <v>Northern Europe</v>
      </c>
      <c r="P746" s="7" t="s">
        <v>212</v>
      </c>
      <c r="Q746" s="7">
        <v>4080.0</v>
      </c>
      <c r="R746" s="12">
        <v>9.33</v>
      </c>
      <c r="S746" s="12">
        <v>6.92</v>
      </c>
      <c r="T746" s="13">
        <f t="shared" si="6"/>
        <v>38066.4</v>
      </c>
      <c r="U746" s="13">
        <f t="shared" si="7"/>
        <v>933015.37</v>
      </c>
      <c r="V746" s="13">
        <f t="shared" si="8"/>
        <v>-894948.97</v>
      </c>
      <c r="W746" s="14">
        <f>Q746/totals!B$2</f>
        <v>0.0006203885214</v>
      </c>
      <c r="X746" s="14">
        <f t="shared" si="9"/>
        <v>0.5573742299</v>
      </c>
      <c r="Y746" s="14">
        <f>T746/totals!B$5</f>
        <v>0.00002236398702</v>
      </c>
      <c r="Z746" s="14">
        <f t="shared" si="10"/>
        <v>0.5531811958</v>
      </c>
      <c r="AA746" s="14">
        <f>V746/totals!B$4</f>
        <v>-0.001784506658</v>
      </c>
      <c r="AB746" s="14">
        <f t="shared" si="11"/>
        <v>0.5640099511</v>
      </c>
    </row>
    <row r="747">
      <c r="A747" s="7">
        <v>2103.0</v>
      </c>
      <c r="B747" s="7" t="str">
        <f>VLOOKUP($A747,product_category,2, False)</f>
        <v>Cereal</v>
      </c>
      <c r="C747" s="7">
        <v>5.91774117E8</v>
      </c>
      <c r="D747" s="9">
        <v>41767.0</v>
      </c>
      <c r="E747" s="10">
        <f t="shared" si="1"/>
        <v>5</v>
      </c>
      <c r="F747" s="10" t="str">
        <f t="shared" si="2"/>
        <v>May</v>
      </c>
      <c r="G747" s="11">
        <f t="shared" si="3"/>
        <v>8</v>
      </c>
      <c r="H747" s="7">
        <f t="shared" si="4"/>
        <v>2014</v>
      </c>
      <c r="I747" s="9">
        <v>41789.0</v>
      </c>
      <c r="J747" s="11">
        <f t="shared" si="5"/>
        <v>22</v>
      </c>
      <c r="K747" s="7" t="s">
        <v>110</v>
      </c>
      <c r="L747" s="7" t="s">
        <v>642</v>
      </c>
      <c r="M747" s="7" t="str">
        <f>VLOOKUP(L747,countries, 2,false)</f>
        <v>San Marino</v>
      </c>
      <c r="N747" s="7" t="str">
        <f>VLOOKUP(L747,countries, 4,false)</f>
        <v>Europe</v>
      </c>
      <c r="O747" s="7" t="str">
        <f>VLOOKUP(L747,countries, 5,false)</f>
        <v>Southern Europe</v>
      </c>
      <c r="P747" s="7" t="s">
        <v>129</v>
      </c>
      <c r="Q747" s="7">
        <v>7967.0</v>
      </c>
      <c r="R747" s="12">
        <v>205.7</v>
      </c>
      <c r="S747" s="12">
        <v>117.11</v>
      </c>
      <c r="T747" s="13">
        <f t="shared" si="6"/>
        <v>1638811.9</v>
      </c>
      <c r="U747" s="13">
        <f t="shared" si="7"/>
        <v>597112.32</v>
      </c>
      <c r="V747" s="13">
        <f t="shared" si="8"/>
        <v>1041699.58</v>
      </c>
      <c r="W747" s="14">
        <f>Q747/totals!B$2</f>
        <v>0.001211430233</v>
      </c>
      <c r="X747" s="14">
        <f t="shared" si="9"/>
        <v>0.5585856601</v>
      </c>
      <c r="Y747" s="14">
        <f>T747/totals!B$5</f>
        <v>0.0009628010021</v>
      </c>
      <c r="Z747" s="14">
        <f t="shared" si="10"/>
        <v>0.5541439968</v>
      </c>
      <c r="AA747" s="14">
        <f>V747/totals!B$4</f>
        <v>0.002077123834</v>
      </c>
      <c r="AB747" s="14">
        <f t="shared" si="11"/>
        <v>0.5660870749</v>
      </c>
    </row>
    <row r="748">
      <c r="A748" s="7">
        <v>8969.0</v>
      </c>
      <c r="B748" s="7" t="str">
        <f>VLOOKUP($A748,product_category,2, False)</f>
        <v>Snacks</v>
      </c>
      <c r="C748" s="7">
        <v>5.93018233E8</v>
      </c>
      <c r="D748" s="9">
        <v>41218.0</v>
      </c>
      <c r="E748" s="10">
        <f t="shared" si="1"/>
        <v>11</v>
      </c>
      <c r="F748" s="10" t="str">
        <f t="shared" si="2"/>
        <v>Nov</v>
      </c>
      <c r="G748" s="11">
        <f t="shared" si="3"/>
        <v>5</v>
      </c>
      <c r="H748" s="7">
        <f t="shared" si="4"/>
        <v>2012</v>
      </c>
      <c r="I748" s="9">
        <v>41254.0</v>
      </c>
      <c r="J748" s="11">
        <f t="shared" si="5"/>
        <v>36</v>
      </c>
      <c r="K748" s="7" t="s">
        <v>110</v>
      </c>
      <c r="L748" s="7" t="s">
        <v>231</v>
      </c>
      <c r="M748" s="7" t="str">
        <f>VLOOKUP(L748,countries, 2,false)</f>
        <v>Cyprus</v>
      </c>
      <c r="N748" s="7" t="str">
        <f>VLOOKUP(L748,countries, 4,false)</f>
        <v>Asia</v>
      </c>
      <c r="O748" s="7" t="str">
        <f>VLOOKUP(L748,countries, 5,false)</f>
        <v>Western Asia</v>
      </c>
      <c r="P748" s="7" t="s">
        <v>129</v>
      </c>
      <c r="Q748" s="7">
        <v>6128.0</v>
      </c>
      <c r="R748" s="12">
        <v>152.58</v>
      </c>
      <c r="S748" s="12">
        <v>97.44</v>
      </c>
      <c r="T748" s="13">
        <f t="shared" si="6"/>
        <v>935010.24</v>
      </c>
      <c r="U748" s="13">
        <f t="shared" si="7"/>
        <v>274391.04</v>
      </c>
      <c r="V748" s="13">
        <f t="shared" si="8"/>
        <v>660619.2</v>
      </c>
      <c r="W748" s="14">
        <f>Q748/totals!B$2</f>
        <v>0.0009317992301</v>
      </c>
      <c r="X748" s="14">
        <f t="shared" si="9"/>
        <v>0.5595174594</v>
      </c>
      <c r="Y748" s="14">
        <f>T748/totals!B$5</f>
        <v>0.0005493179517</v>
      </c>
      <c r="Z748" s="14">
        <f t="shared" si="10"/>
        <v>0.5546933147</v>
      </c>
      <c r="AA748" s="14">
        <f>V748/totals!B$4</f>
        <v>0.001317258749</v>
      </c>
      <c r="AB748" s="14">
        <f t="shared" si="11"/>
        <v>0.5674043336</v>
      </c>
    </row>
    <row r="749">
      <c r="A749" s="7">
        <v>2455.0</v>
      </c>
      <c r="B749" s="7" t="str">
        <f>VLOOKUP($A749,product_category,2, False)</f>
        <v>Clothes</v>
      </c>
      <c r="C749" s="7">
        <v>5.93158566E8</v>
      </c>
      <c r="D749" s="9">
        <v>41046.0</v>
      </c>
      <c r="E749" s="10">
        <f t="shared" si="1"/>
        <v>5</v>
      </c>
      <c r="F749" s="10" t="str">
        <f t="shared" si="2"/>
        <v>May</v>
      </c>
      <c r="G749" s="11">
        <f t="shared" si="3"/>
        <v>17</v>
      </c>
      <c r="H749" s="7">
        <f t="shared" si="4"/>
        <v>2012</v>
      </c>
      <c r="I749" s="9">
        <v>41085.0</v>
      </c>
      <c r="J749" s="11">
        <f t="shared" si="5"/>
        <v>39</v>
      </c>
      <c r="K749" s="7" t="s">
        <v>198</v>
      </c>
      <c r="L749" s="7" t="s">
        <v>231</v>
      </c>
      <c r="M749" s="7" t="str">
        <f>VLOOKUP(L749,countries, 2,false)</f>
        <v>Cyprus</v>
      </c>
      <c r="N749" s="7" t="str">
        <f>VLOOKUP(L749,countries, 4,false)</f>
        <v>Asia</v>
      </c>
      <c r="O749" s="7" t="str">
        <f>VLOOKUP(L749,countries, 5,false)</f>
        <v>Western Asia</v>
      </c>
      <c r="P749" s="7" t="s">
        <v>129</v>
      </c>
      <c r="Q749" s="7">
        <v>7656.0</v>
      </c>
      <c r="R749" s="12">
        <v>109.28</v>
      </c>
      <c r="S749" s="12">
        <v>35.84</v>
      </c>
      <c r="T749" s="13">
        <f t="shared" si="6"/>
        <v>836647.68</v>
      </c>
      <c r="U749" s="13">
        <f t="shared" si="7"/>
        <v>209622.33</v>
      </c>
      <c r="V749" s="13">
        <f t="shared" si="8"/>
        <v>627025.35</v>
      </c>
      <c r="W749" s="14">
        <f>Q749/totals!B$2</f>
        <v>0.001164140814</v>
      </c>
      <c r="X749" s="14">
        <f t="shared" si="9"/>
        <v>0.5606816002</v>
      </c>
      <c r="Y749" s="14">
        <f>T749/totals!B$5</f>
        <v>0.000491530007</v>
      </c>
      <c r="Z749" s="14">
        <f t="shared" si="10"/>
        <v>0.5551848447</v>
      </c>
      <c r="AA749" s="14">
        <f>V749/totals!B$4</f>
        <v>0.001250273423</v>
      </c>
      <c r="AB749" s="14">
        <f t="shared" si="11"/>
        <v>0.5686546071</v>
      </c>
    </row>
    <row r="750">
      <c r="A750" s="7">
        <v>3127.0</v>
      </c>
      <c r="B750" s="7" t="str">
        <f>VLOOKUP($A750,product_category,2, False)</f>
        <v>Personal Care</v>
      </c>
      <c r="C750" s="7">
        <v>5.94699656E8</v>
      </c>
      <c r="D750" s="9">
        <v>42688.0</v>
      </c>
      <c r="E750" s="10">
        <f t="shared" si="1"/>
        <v>11</v>
      </c>
      <c r="F750" s="10" t="str">
        <f t="shared" si="2"/>
        <v>Nov</v>
      </c>
      <c r="G750" s="11">
        <f t="shared" si="3"/>
        <v>14</v>
      </c>
      <c r="H750" s="7">
        <f t="shared" si="4"/>
        <v>2016</v>
      </c>
      <c r="I750" s="9">
        <v>42734.0</v>
      </c>
      <c r="J750" s="11">
        <f t="shared" si="5"/>
        <v>46</v>
      </c>
      <c r="K750" s="7" t="s">
        <v>322</v>
      </c>
      <c r="L750" s="7" t="s">
        <v>323</v>
      </c>
      <c r="M750" s="7" t="str">
        <f>VLOOKUP(L750,countries, 2,false)</f>
        <v>Montenegro</v>
      </c>
      <c r="N750" s="7" t="str">
        <f>VLOOKUP(L750,countries, 4,false)</f>
        <v>Europe</v>
      </c>
      <c r="O750" s="7" t="str">
        <f>VLOOKUP(L750,countries, 5,false)</f>
        <v>Southern Europe</v>
      </c>
      <c r="P750" s="7" t="s">
        <v>212</v>
      </c>
      <c r="Q750" s="7">
        <v>3699.0</v>
      </c>
      <c r="R750" s="12">
        <v>81.73</v>
      </c>
      <c r="S750" s="12">
        <v>56.67</v>
      </c>
      <c r="T750" s="13">
        <f t="shared" si="6"/>
        <v>302319.27</v>
      </c>
      <c r="U750" s="13">
        <f t="shared" si="7"/>
        <v>423891.6</v>
      </c>
      <c r="V750" s="13">
        <f t="shared" si="8"/>
        <v>-121572.33</v>
      </c>
      <c r="W750" s="14">
        <f>Q750/totals!B$2</f>
        <v>0.0005624551815</v>
      </c>
      <c r="X750" s="14">
        <f t="shared" si="9"/>
        <v>0.5612440554</v>
      </c>
      <c r="Y750" s="14">
        <f>T750/totals!B$5</f>
        <v>0.0001776123887</v>
      </c>
      <c r="Z750" s="14">
        <f t="shared" si="10"/>
        <v>0.5553624571</v>
      </c>
      <c r="AA750" s="14">
        <f>V750/totals!B$4</f>
        <v>-0.0002424122934</v>
      </c>
      <c r="AB750" s="14">
        <f t="shared" si="11"/>
        <v>0.5684121948</v>
      </c>
    </row>
    <row r="751">
      <c r="A751" s="7">
        <v>3127.0</v>
      </c>
      <c r="B751" s="7" t="str">
        <f>VLOOKUP($A751,product_category,2, False)</f>
        <v>Personal Care</v>
      </c>
      <c r="C751" s="7">
        <v>5.94813811E8</v>
      </c>
      <c r="D751" s="9">
        <v>41068.0</v>
      </c>
      <c r="E751" s="10">
        <f t="shared" si="1"/>
        <v>6</v>
      </c>
      <c r="F751" s="10" t="str">
        <f t="shared" si="2"/>
        <v>Jun</v>
      </c>
      <c r="G751" s="11">
        <f t="shared" si="3"/>
        <v>8</v>
      </c>
      <c r="H751" s="7">
        <f t="shared" si="4"/>
        <v>2012</v>
      </c>
      <c r="I751" s="9">
        <v>41077.0</v>
      </c>
      <c r="J751" s="11">
        <f t="shared" si="5"/>
        <v>9</v>
      </c>
      <c r="K751" s="7" t="s">
        <v>110</v>
      </c>
      <c r="L751" s="7" t="s">
        <v>111</v>
      </c>
      <c r="M751" s="7" t="str">
        <f>VLOOKUP(L751,countries, 2,false)</f>
        <v>Norway</v>
      </c>
      <c r="N751" s="7" t="str">
        <f>VLOOKUP(L751,countries, 4,false)</f>
        <v>Europe</v>
      </c>
      <c r="O751" s="7" t="str">
        <f>VLOOKUP(L751,countries, 5,false)</f>
        <v>Northern Europe</v>
      </c>
      <c r="P751" s="7" t="s">
        <v>212</v>
      </c>
      <c r="Q751" s="7">
        <v>7480.0</v>
      </c>
      <c r="R751" s="12">
        <v>81.73</v>
      </c>
      <c r="S751" s="12">
        <v>56.67</v>
      </c>
      <c r="T751" s="13">
        <f t="shared" si="6"/>
        <v>611340.4</v>
      </c>
      <c r="U751" s="13">
        <f t="shared" si="7"/>
        <v>967481.76</v>
      </c>
      <c r="V751" s="13">
        <f t="shared" si="8"/>
        <v>-356141.36</v>
      </c>
      <c r="W751" s="14">
        <f>Q751/totals!B$2</f>
        <v>0.001137378956</v>
      </c>
      <c r="X751" s="14">
        <f t="shared" si="9"/>
        <v>0.5623814343</v>
      </c>
      <c r="Y751" s="14">
        <f>T751/totals!B$5</f>
        <v>0.000359162116</v>
      </c>
      <c r="Z751" s="14">
        <f t="shared" si="10"/>
        <v>0.5557216192</v>
      </c>
      <c r="AA751" s="14">
        <f>V751/totals!B$4</f>
        <v>-0.0007101372809</v>
      </c>
      <c r="AB751" s="14">
        <f t="shared" si="11"/>
        <v>0.5677020575</v>
      </c>
    </row>
    <row r="752">
      <c r="A752" s="7">
        <v>8969.0</v>
      </c>
      <c r="B752" s="7" t="str">
        <f>VLOOKUP($A752,product_category,2, False)</f>
        <v>Snacks</v>
      </c>
      <c r="C752" s="7">
        <v>5.94991052E8</v>
      </c>
      <c r="D752" s="9">
        <v>42847.0</v>
      </c>
      <c r="E752" s="10">
        <f t="shared" si="1"/>
        <v>4</v>
      </c>
      <c r="F752" s="10" t="str">
        <f t="shared" si="2"/>
        <v>Apr</v>
      </c>
      <c r="G752" s="11">
        <f t="shared" si="3"/>
        <v>22</v>
      </c>
      <c r="H752" s="7">
        <f t="shared" si="4"/>
        <v>2017</v>
      </c>
      <c r="I752" s="9">
        <v>42892.0</v>
      </c>
      <c r="J752" s="11">
        <f t="shared" si="5"/>
        <v>45</v>
      </c>
      <c r="K752" s="7" t="s">
        <v>110</v>
      </c>
      <c r="L752" s="7" t="s">
        <v>454</v>
      </c>
      <c r="M752" s="7" t="str">
        <f>VLOOKUP(L752,countries, 2,false)</f>
        <v>Luxembourg</v>
      </c>
      <c r="N752" s="7" t="str">
        <f>VLOOKUP(L752,countries, 4,false)</f>
        <v>Europe</v>
      </c>
      <c r="O752" s="7" t="str">
        <f>VLOOKUP(L752,countries, 5,false)</f>
        <v>Western Europe</v>
      </c>
      <c r="P752" s="7" t="s">
        <v>212</v>
      </c>
      <c r="Q752" s="7">
        <v>9929.0</v>
      </c>
      <c r="R752" s="12">
        <v>152.58</v>
      </c>
      <c r="S752" s="12">
        <v>97.44</v>
      </c>
      <c r="T752" s="13">
        <f t="shared" si="6"/>
        <v>1514966.82</v>
      </c>
      <c r="U752" s="13">
        <f t="shared" si="7"/>
        <v>383372.55</v>
      </c>
      <c r="V752" s="13">
        <f t="shared" si="8"/>
        <v>1131594.27</v>
      </c>
      <c r="W752" s="14">
        <f>Q752/totals!B$2</f>
        <v>0.001509764125</v>
      </c>
      <c r="X752" s="14">
        <f t="shared" si="9"/>
        <v>0.5638911985</v>
      </c>
      <c r="Y752" s="14">
        <f>T752/totals!B$5</f>
        <v>0.0008900420924</v>
      </c>
      <c r="Z752" s="14">
        <f t="shared" si="10"/>
        <v>0.5566116613</v>
      </c>
      <c r="AA752" s="14">
        <f>V752/totals!B$4</f>
        <v>0.002256371678</v>
      </c>
      <c r="AB752" s="14">
        <f t="shared" si="11"/>
        <v>0.5699584292</v>
      </c>
    </row>
    <row r="753">
      <c r="A753" s="7">
        <v>3127.0</v>
      </c>
      <c r="B753" s="7" t="str">
        <f>VLOOKUP($A753,product_category,2, False)</f>
        <v>Personal Care</v>
      </c>
      <c r="C753" s="7">
        <v>5.95385873E8</v>
      </c>
      <c r="D753" s="9">
        <v>40884.0</v>
      </c>
      <c r="E753" s="10">
        <f t="shared" si="1"/>
        <v>12</v>
      </c>
      <c r="F753" s="10" t="str">
        <f t="shared" si="2"/>
        <v>Dec</v>
      </c>
      <c r="G753" s="11">
        <f t="shared" si="3"/>
        <v>7</v>
      </c>
      <c r="H753" s="7">
        <f t="shared" si="4"/>
        <v>2011</v>
      </c>
      <c r="I753" s="9">
        <v>40898.0</v>
      </c>
      <c r="J753" s="11">
        <f t="shared" si="5"/>
        <v>14</v>
      </c>
      <c r="K753" s="7" t="s">
        <v>110</v>
      </c>
      <c r="L753" s="7" t="s">
        <v>454</v>
      </c>
      <c r="M753" s="7" t="str">
        <f>VLOOKUP(L753,countries, 2,false)</f>
        <v>Luxembourg</v>
      </c>
      <c r="N753" s="7" t="str">
        <f>VLOOKUP(L753,countries, 4,false)</f>
        <v>Europe</v>
      </c>
      <c r="O753" s="7" t="str">
        <f>VLOOKUP(L753,countries, 5,false)</f>
        <v>Western Europe</v>
      </c>
      <c r="P753" s="7" t="s">
        <v>212</v>
      </c>
      <c r="Q753" s="7">
        <v>6765.0</v>
      </c>
      <c r="R753" s="12">
        <v>81.73</v>
      </c>
      <c r="S753" s="12">
        <v>56.67</v>
      </c>
      <c r="T753" s="13">
        <f t="shared" si="6"/>
        <v>552903.45</v>
      </c>
      <c r="U753" s="13">
        <f t="shared" si="7"/>
        <v>303880.61</v>
      </c>
      <c r="V753" s="13">
        <f t="shared" si="8"/>
        <v>249022.84</v>
      </c>
      <c r="W753" s="14">
        <f>Q753/totals!B$2</f>
        <v>0.001028658909</v>
      </c>
      <c r="X753" s="14">
        <f t="shared" si="9"/>
        <v>0.5649198574</v>
      </c>
      <c r="Y753" s="14">
        <f>T753/totals!B$5</f>
        <v>0.0003248304432</v>
      </c>
      <c r="Z753" s="14">
        <f t="shared" si="10"/>
        <v>0.5569364918</v>
      </c>
      <c r="AA753" s="14">
        <f>V753/totals!B$4</f>
        <v>0.000496545536</v>
      </c>
      <c r="AB753" s="14">
        <f t="shared" si="11"/>
        <v>0.5704549747</v>
      </c>
    </row>
    <row r="754">
      <c r="A754" s="7">
        <v>1270.0</v>
      </c>
      <c r="B754" s="7" t="str">
        <f>VLOOKUP($A754,product_category,2, False)</f>
        <v>Beverages</v>
      </c>
      <c r="C754" s="7">
        <v>5.95395314E8</v>
      </c>
      <c r="D754" s="9">
        <v>41769.0</v>
      </c>
      <c r="E754" s="10">
        <f t="shared" si="1"/>
        <v>5</v>
      </c>
      <c r="F754" s="10" t="str">
        <f t="shared" si="2"/>
        <v>May</v>
      </c>
      <c r="G754" s="11">
        <f t="shared" si="3"/>
        <v>10</v>
      </c>
      <c r="H754" s="7">
        <f t="shared" si="4"/>
        <v>2014</v>
      </c>
      <c r="I754" s="9">
        <v>41789.0</v>
      </c>
      <c r="J754" s="11">
        <f t="shared" si="5"/>
        <v>20</v>
      </c>
      <c r="K754" s="7" t="s">
        <v>110</v>
      </c>
      <c r="L754" s="7" t="s">
        <v>642</v>
      </c>
      <c r="M754" s="7" t="str">
        <f>VLOOKUP(L754,countries, 2,false)</f>
        <v>San Marino</v>
      </c>
      <c r="N754" s="7" t="str">
        <f>VLOOKUP(L754,countries, 4,false)</f>
        <v>Europe</v>
      </c>
      <c r="O754" s="7" t="str">
        <f>VLOOKUP(L754,countries, 5,false)</f>
        <v>Southern Europe</v>
      </c>
      <c r="P754" s="7" t="s">
        <v>212</v>
      </c>
      <c r="Q754" s="7">
        <v>9559.0</v>
      </c>
      <c r="R754" s="12">
        <v>47.45</v>
      </c>
      <c r="S754" s="12">
        <v>31.79</v>
      </c>
      <c r="T754" s="13">
        <f t="shared" si="6"/>
        <v>453574.55</v>
      </c>
      <c r="U754" s="13">
        <f t="shared" si="7"/>
        <v>540065.1</v>
      </c>
      <c r="V754" s="13">
        <f t="shared" si="8"/>
        <v>-86490.55</v>
      </c>
      <c r="W754" s="14">
        <f>Q754/totals!B$2</f>
        <v>0.001453503401</v>
      </c>
      <c r="X754" s="14">
        <f t="shared" si="9"/>
        <v>0.5663733608</v>
      </c>
      <c r="Y754" s="14">
        <f>T754/totals!B$5</f>
        <v>0.0002664747744</v>
      </c>
      <c r="Z754" s="14">
        <f t="shared" si="10"/>
        <v>0.5572029665</v>
      </c>
      <c r="AA754" s="14">
        <f>V754/totals!B$4</f>
        <v>-0.0001724600704</v>
      </c>
      <c r="AB754" s="14">
        <f t="shared" si="11"/>
        <v>0.5702825146</v>
      </c>
    </row>
    <row r="755">
      <c r="A755" s="7">
        <v>3127.0</v>
      </c>
      <c r="B755" s="7" t="str">
        <f>VLOOKUP($A755,product_category,2, False)</f>
        <v>Personal Care</v>
      </c>
      <c r="C755" s="7">
        <v>5.95496594E8</v>
      </c>
      <c r="D755" s="9">
        <v>41206.0</v>
      </c>
      <c r="E755" s="10">
        <f t="shared" si="1"/>
        <v>10</v>
      </c>
      <c r="F755" s="10" t="str">
        <f t="shared" si="2"/>
        <v>Oct</v>
      </c>
      <c r="G755" s="11">
        <f t="shared" si="3"/>
        <v>24</v>
      </c>
      <c r="H755" s="7">
        <f t="shared" si="4"/>
        <v>2012</v>
      </c>
      <c r="I755" s="9">
        <v>41217.0</v>
      </c>
      <c r="J755" s="11">
        <f t="shared" si="5"/>
        <v>11</v>
      </c>
      <c r="K755" s="7" t="s">
        <v>382</v>
      </c>
      <c r="L755" s="7" t="s">
        <v>155</v>
      </c>
      <c r="M755" s="7" t="str">
        <f>VLOOKUP(L755,countries, 2,false)</f>
        <v>Bulgaria</v>
      </c>
      <c r="N755" s="7" t="str">
        <f>VLOOKUP(L755,countries, 4,false)</f>
        <v>Europe</v>
      </c>
      <c r="O755" s="7" t="str">
        <f>VLOOKUP(L755,countries, 5,false)</f>
        <v>Eastern Europe</v>
      </c>
      <c r="P755" s="7" t="s">
        <v>212</v>
      </c>
      <c r="Q755" s="7">
        <v>9530.0</v>
      </c>
      <c r="R755" s="12">
        <v>81.73</v>
      </c>
      <c r="S755" s="12">
        <v>56.67</v>
      </c>
      <c r="T755" s="13">
        <f t="shared" si="6"/>
        <v>778886.9</v>
      </c>
      <c r="U755" s="13">
        <f t="shared" si="7"/>
        <v>2009441.9</v>
      </c>
      <c r="V755" s="13">
        <f t="shared" si="8"/>
        <v>-1230555</v>
      </c>
      <c r="W755" s="14">
        <f>Q755/totals!B$2</f>
        <v>0.001449093777</v>
      </c>
      <c r="X755" s="14">
        <f t="shared" si="9"/>
        <v>0.5678224545</v>
      </c>
      <c r="Y755" s="14">
        <f>T755/totals!B$5</f>
        <v>0.0004575955837</v>
      </c>
      <c r="Z755" s="14">
        <f t="shared" si="10"/>
        <v>0.5576605621</v>
      </c>
      <c r="AA755" s="14">
        <f>V755/totals!B$4</f>
        <v>-0.002453696986</v>
      </c>
      <c r="AB755" s="14">
        <f t="shared" si="11"/>
        <v>0.5678288176</v>
      </c>
    </row>
    <row r="756">
      <c r="A756" s="7">
        <v>8875.0</v>
      </c>
      <c r="B756" s="7" t="str">
        <f>VLOOKUP($A756,product_category,2, False)</f>
        <v>Meat</v>
      </c>
      <c r="C756" s="7">
        <v>5.95922315E8</v>
      </c>
      <c r="D756" s="9">
        <v>41133.0</v>
      </c>
      <c r="E756" s="10">
        <f t="shared" si="1"/>
        <v>8</v>
      </c>
      <c r="F756" s="10" t="str">
        <f t="shared" si="2"/>
        <v>Aug</v>
      </c>
      <c r="G756" s="11">
        <f t="shared" si="3"/>
        <v>12</v>
      </c>
      <c r="H756" s="7">
        <f t="shared" si="4"/>
        <v>2012</v>
      </c>
      <c r="I756" s="9">
        <v>41156.0</v>
      </c>
      <c r="J756" s="11">
        <f t="shared" si="5"/>
        <v>23</v>
      </c>
      <c r="K756" s="7" t="s">
        <v>110</v>
      </c>
      <c r="L756" s="7" t="s">
        <v>237</v>
      </c>
      <c r="M756" s="7" t="str">
        <f>VLOOKUP(L756,countries, 2,false)</f>
        <v>Denmark</v>
      </c>
      <c r="N756" s="7" t="str">
        <f>VLOOKUP(L756,countries, 4,false)</f>
        <v>Europe</v>
      </c>
      <c r="O756" s="7" t="str">
        <f>VLOOKUP(L756,countries, 5,false)</f>
        <v>Northern Europe</v>
      </c>
      <c r="P756" s="7" t="s">
        <v>212</v>
      </c>
      <c r="Q756" s="7">
        <v>5510.0</v>
      </c>
      <c r="R756" s="12">
        <v>421.89</v>
      </c>
      <c r="S756" s="12">
        <v>364.69</v>
      </c>
      <c r="T756" s="13">
        <f t="shared" si="6"/>
        <v>2324613.9</v>
      </c>
      <c r="U756" s="13">
        <f t="shared" si="7"/>
        <v>1218606.48</v>
      </c>
      <c r="V756" s="13">
        <f t="shared" si="8"/>
        <v>1106007.42</v>
      </c>
      <c r="W756" s="14">
        <f>Q756/totals!B$2</f>
        <v>0.0008378286158</v>
      </c>
      <c r="X756" s="14">
        <f t="shared" si="9"/>
        <v>0.5686602832</v>
      </c>
      <c r="Y756" s="14">
        <f>T756/totals!B$5</f>
        <v>0.001365709263</v>
      </c>
      <c r="Z756" s="14">
        <f t="shared" si="10"/>
        <v>0.5590262714</v>
      </c>
      <c r="AA756" s="14">
        <f>V756/totals!B$4</f>
        <v>0.002205352116</v>
      </c>
      <c r="AB756" s="14">
        <f t="shared" si="11"/>
        <v>0.5700341698</v>
      </c>
    </row>
    <row r="757">
      <c r="A757" s="7">
        <v>7331.0</v>
      </c>
      <c r="B757" s="7" t="str">
        <f>VLOOKUP($A757,product_category,2, False)</f>
        <v>Baby Food</v>
      </c>
      <c r="C757" s="7">
        <v>5.96166074E8</v>
      </c>
      <c r="D757" s="9">
        <v>41605.0</v>
      </c>
      <c r="E757" s="10">
        <f t="shared" si="1"/>
        <v>11</v>
      </c>
      <c r="F757" s="10" t="str">
        <f t="shared" si="2"/>
        <v>Nov</v>
      </c>
      <c r="G757" s="11">
        <f t="shared" si="3"/>
        <v>27</v>
      </c>
      <c r="H757" s="7">
        <f t="shared" si="4"/>
        <v>2013</v>
      </c>
      <c r="I757" s="9">
        <v>41652.0</v>
      </c>
      <c r="J757" s="11">
        <f t="shared" si="5"/>
        <v>47</v>
      </c>
      <c r="K757" s="7" t="s">
        <v>382</v>
      </c>
      <c r="L757" s="7" t="s">
        <v>307</v>
      </c>
      <c r="M757" s="7" t="str">
        <f>VLOOKUP(L757,countries, 2,false)</f>
        <v>Germany</v>
      </c>
      <c r="N757" s="7" t="str">
        <f>VLOOKUP(L757,countries, 4,false)</f>
        <v>Europe</v>
      </c>
      <c r="O757" s="7" t="str">
        <f>VLOOKUP(L757,countries, 5,false)</f>
        <v>Western Europe</v>
      </c>
      <c r="P757" s="7" t="s">
        <v>212</v>
      </c>
      <c r="Q757" s="7">
        <v>7644.0</v>
      </c>
      <c r="R757" s="12">
        <v>255.28</v>
      </c>
      <c r="S757" s="12">
        <v>159.42</v>
      </c>
      <c r="T757" s="13">
        <f t="shared" si="6"/>
        <v>1951360.32</v>
      </c>
      <c r="U757" s="13">
        <f t="shared" si="7"/>
        <v>549464.16</v>
      </c>
      <c r="V757" s="13">
        <f t="shared" si="8"/>
        <v>1401896.16</v>
      </c>
      <c r="W757" s="14">
        <f>Q757/totals!B$2</f>
        <v>0.001162316141</v>
      </c>
      <c r="X757" s="14">
        <f t="shared" si="9"/>
        <v>0.5698225993</v>
      </c>
      <c r="Y757" s="14">
        <f>T757/totals!B$5</f>
        <v>0.00114642301</v>
      </c>
      <c r="Z757" s="14">
        <f t="shared" si="10"/>
        <v>0.5601726944</v>
      </c>
      <c r="AA757" s="14">
        <f>V757/totals!B$4</f>
        <v>0.002795347126</v>
      </c>
      <c r="AB757" s="14">
        <f t="shared" si="11"/>
        <v>0.5728295169</v>
      </c>
    </row>
    <row r="758">
      <c r="A758" s="7">
        <v>8969.0</v>
      </c>
      <c r="B758" s="7" t="str">
        <f>VLOOKUP($A758,product_category,2, False)</f>
        <v>Snacks</v>
      </c>
      <c r="C758" s="7">
        <v>5.97105491E8</v>
      </c>
      <c r="D758" s="9">
        <v>41158.0</v>
      </c>
      <c r="E758" s="10">
        <f t="shared" si="1"/>
        <v>9</v>
      </c>
      <c r="F758" s="10" t="str">
        <f t="shared" si="2"/>
        <v>Sep</v>
      </c>
      <c r="G758" s="11">
        <f t="shared" si="3"/>
        <v>6</v>
      </c>
      <c r="H758" s="7">
        <f t="shared" si="4"/>
        <v>2012</v>
      </c>
      <c r="I758" s="9">
        <v>41202.0</v>
      </c>
      <c r="J758" s="11">
        <f t="shared" si="5"/>
        <v>44</v>
      </c>
      <c r="K758" s="7" t="s">
        <v>110</v>
      </c>
      <c r="L758" s="7" t="s">
        <v>460</v>
      </c>
      <c r="M758" s="7" t="str">
        <f>VLOOKUP(L758,countries, 2,false)</f>
        <v>Macedonia</v>
      </c>
      <c r="N758" s="7" t="str">
        <f>VLOOKUP(L758,countries, 4,false)</f>
        <v>Europe</v>
      </c>
      <c r="O758" s="7" t="str">
        <f>VLOOKUP(L758,countries, 5,false)</f>
        <v>Southern Europe</v>
      </c>
      <c r="P758" s="7" t="s">
        <v>212</v>
      </c>
      <c r="Q758" s="7">
        <v>5639.0</v>
      </c>
      <c r="R758" s="12">
        <v>152.58</v>
      </c>
      <c r="S758" s="12">
        <v>97.44</v>
      </c>
      <c r="T758" s="13">
        <f t="shared" si="6"/>
        <v>860398.62</v>
      </c>
      <c r="U758" s="13">
        <f t="shared" si="7"/>
        <v>158789.34</v>
      </c>
      <c r="V758" s="13">
        <f t="shared" si="8"/>
        <v>701609.28</v>
      </c>
      <c r="W758" s="14">
        <f>Q758/totals!B$2</f>
        <v>0.0008574438412</v>
      </c>
      <c r="X758" s="14">
        <f t="shared" si="9"/>
        <v>0.5706800431</v>
      </c>
      <c r="Y758" s="14">
        <f>T758/totals!B$5</f>
        <v>0.00050548367</v>
      </c>
      <c r="Z758" s="14">
        <f t="shared" si="10"/>
        <v>0.5606781781</v>
      </c>
      <c r="AA758" s="14">
        <f>V758/totals!B$4</f>
        <v>0.00139899198</v>
      </c>
      <c r="AB758" s="14">
        <f t="shared" si="11"/>
        <v>0.5742285089</v>
      </c>
    </row>
    <row r="759">
      <c r="A759" s="7">
        <v>3127.0</v>
      </c>
      <c r="B759" s="7" t="str">
        <f>VLOOKUP($A759,product_category,2, False)</f>
        <v>Personal Care</v>
      </c>
      <c r="C759" s="7">
        <v>5.97839343E8</v>
      </c>
      <c r="D759" s="9">
        <v>41808.0</v>
      </c>
      <c r="E759" s="10">
        <f t="shared" si="1"/>
        <v>6</v>
      </c>
      <c r="F759" s="10" t="str">
        <f t="shared" si="2"/>
        <v>Jun</v>
      </c>
      <c r="G759" s="11">
        <f t="shared" si="3"/>
        <v>18</v>
      </c>
      <c r="H759" s="7">
        <f t="shared" si="4"/>
        <v>2014</v>
      </c>
      <c r="I759" s="9">
        <v>41846.0</v>
      </c>
      <c r="J759" s="11">
        <f t="shared" si="5"/>
        <v>38</v>
      </c>
      <c r="K759" s="7" t="s">
        <v>198</v>
      </c>
      <c r="L759" s="7" t="s">
        <v>237</v>
      </c>
      <c r="M759" s="7" t="str">
        <f>VLOOKUP(L759,countries, 2,false)</f>
        <v>Denmark</v>
      </c>
      <c r="N759" s="7" t="str">
        <f>VLOOKUP(L759,countries, 4,false)</f>
        <v>Europe</v>
      </c>
      <c r="O759" s="7" t="str">
        <f>VLOOKUP(L759,countries, 5,false)</f>
        <v>Northern Europe</v>
      </c>
      <c r="P759" s="7" t="s">
        <v>212</v>
      </c>
      <c r="Q759" s="7">
        <v>2802.0</v>
      </c>
      <c r="R759" s="12">
        <v>81.73</v>
      </c>
      <c r="S759" s="12">
        <v>56.67</v>
      </c>
      <c r="T759" s="13">
        <f t="shared" si="6"/>
        <v>229007.46</v>
      </c>
      <c r="U759" s="13">
        <f t="shared" si="7"/>
        <v>68708.68</v>
      </c>
      <c r="V759" s="13">
        <f t="shared" si="8"/>
        <v>160298.78</v>
      </c>
      <c r="W759" s="14">
        <f>Q759/totals!B$2</f>
        <v>0.0004260609404</v>
      </c>
      <c r="X759" s="14">
        <f t="shared" si="9"/>
        <v>0.5711061041</v>
      </c>
      <c r="Y759" s="14">
        <f>T759/totals!B$5</f>
        <v>0.0001345417445</v>
      </c>
      <c r="Z759" s="14">
        <f t="shared" si="10"/>
        <v>0.5608127198</v>
      </c>
      <c r="AA759" s="14">
        <f>V759/totals!B$4</f>
        <v>0.0003196319006</v>
      </c>
      <c r="AB759" s="14">
        <f t="shared" si="11"/>
        <v>0.5745481408</v>
      </c>
    </row>
    <row r="760">
      <c r="A760" s="7">
        <v>4594.0</v>
      </c>
      <c r="B760" s="7" t="str">
        <f>VLOOKUP($A760,product_category,2, False)</f>
        <v>Fruits</v>
      </c>
      <c r="C760" s="7">
        <v>5.98404109E8</v>
      </c>
      <c r="D760" s="9">
        <v>41946.0</v>
      </c>
      <c r="E760" s="10">
        <f t="shared" si="1"/>
        <v>11</v>
      </c>
      <c r="F760" s="10" t="str">
        <f t="shared" si="2"/>
        <v>Nov</v>
      </c>
      <c r="G760" s="11">
        <f t="shared" si="3"/>
        <v>3</v>
      </c>
      <c r="H760" s="7">
        <f t="shared" si="4"/>
        <v>2014</v>
      </c>
      <c r="I760" s="9">
        <v>41961.0</v>
      </c>
      <c r="J760" s="11">
        <f t="shared" si="5"/>
        <v>15</v>
      </c>
      <c r="K760" s="7" t="s">
        <v>382</v>
      </c>
      <c r="L760" s="7" t="e">
        <v>#N/A</v>
      </c>
      <c r="M760" s="7"/>
      <c r="N760" s="7"/>
      <c r="O760" s="7"/>
      <c r="P760" s="7" t="s">
        <v>129</v>
      </c>
      <c r="Q760" s="7">
        <v>9929.0</v>
      </c>
      <c r="R760" s="12">
        <v>9.33</v>
      </c>
      <c r="S760" s="12">
        <v>6.92</v>
      </c>
      <c r="T760" s="13">
        <f t="shared" si="6"/>
        <v>92637.57</v>
      </c>
      <c r="U760" s="13">
        <f t="shared" si="7"/>
        <v>31090.62</v>
      </c>
      <c r="V760" s="13">
        <f t="shared" si="8"/>
        <v>61546.95</v>
      </c>
      <c r="W760" s="14">
        <f>Q760/totals!B$2</f>
        <v>0.001509764125</v>
      </c>
      <c r="X760" s="14">
        <f t="shared" si="9"/>
        <v>0.5726158682</v>
      </c>
      <c r="Y760" s="14">
        <f>T760/totals!B$5</f>
        <v>0.00005442451646</v>
      </c>
      <c r="Z760" s="14">
        <f t="shared" si="10"/>
        <v>0.5608671443</v>
      </c>
      <c r="AA760" s="14">
        <f>V760/totals!B$4</f>
        <v>0.0001227231337</v>
      </c>
      <c r="AB760" s="14">
        <f t="shared" si="11"/>
        <v>0.5746708639</v>
      </c>
    </row>
    <row r="761">
      <c r="A761" s="7">
        <v>1270.0</v>
      </c>
      <c r="B761" s="7" t="str">
        <f>VLOOKUP($A761,product_category,2, False)</f>
        <v>Beverages</v>
      </c>
      <c r="C761" s="7">
        <v>5.99624192E8</v>
      </c>
      <c r="D761" s="9">
        <v>41155.0</v>
      </c>
      <c r="E761" s="10">
        <f t="shared" si="1"/>
        <v>9</v>
      </c>
      <c r="F761" s="10" t="str">
        <f t="shared" si="2"/>
        <v>Sep</v>
      </c>
      <c r="G761" s="11">
        <f t="shared" si="3"/>
        <v>3</v>
      </c>
      <c r="H761" s="7">
        <f t="shared" si="4"/>
        <v>2012</v>
      </c>
      <c r="I761" s="9">
        <v>41173.0</v>
      </c>
      <c r="J761" s="11">
        <f t="shared" si="5"/>
        <v>18</v>
      </c>
      <c r="K761" s="7" t="s">
        <v>322</v>
      </c>
      <c r="L761" s="7" t="s">
        <v>200</v>
      </c>
      <c r="M761" s="7" t="str">
        <f>VLOOKUP(L761,countries, 2,false)</f>
        <v>Serbia</v>
      </c>
      <c r="N761" s="7" t="str">
        <f>VLOOKUP(L761,countries, 4,false)</f>
        <v>Europe</v>
      </c>
      <c r="O761" s="7" t="str">
        <f>VLOOKUP(L761,countries, 5,false)</f>
        <v>Southern Europe</v>
      </c>
      <c r="P761" s="7" t="s">
        <v>129</v>
      </c>
      <c r="Q761" s="7">
        <v>978.0</v>
      </c>
      <c r="R761" s="12">
        <v>47.45</v>
      </c>
      <c r="S761" s="12">
        <v>31.79</v>
      </c>
      <c r="T761" s="13">
        <f t="shared" si="6"/>
        <v>46406.1</v>
      </c>
      <c r="U761" s="13">
        <f t="shared" si="7"/>
        <v>46572.35</v>
      </c>
      <c r="V761" s="13">
        <f t="shared" si="8"/>
        <v>-166.25</v>
      </c>
      <c r="W761" s="14">
        <f>Q761/totals!B$2</f>
        <v>0.0001487107779</v>
      </c>
      <c r="X761" s="14">
        <f t="shared" si="9"/>
        <v>0.572764579</v>
      </c>
      <c r="Y761" s="14">
        <f>T761/totals!B$5</f>
        <v>0.00002726355574</v>
      </c>
      <c r="Z761" s="14">
        <f t="shared" si="10"/>
        <v>0.5608944079</v>
      </c>
      <c r="AA761" s="14">
        <f>V761/totals!B$4</f>
        <v>-0.0000003314984897</v>
      </c>
      <c r="AB761" s="14">
        <f t="shared" si="11"/>
        <v>0.5746705324</v>
      </c>
    </row>
    <row r="762">
      <c r="A762" s="7">
        <v>1270.0</v>
      </c>
      <c r="B762" s="7" t="str">
        <f>VLOOKUP($A762,product_category,2, False)</f>
        <v>Beverages</v>
      </c>
      <c r="C762" s="7">
        <v>5.99997556E8</v>
      </c>
      <c r="D762" s="9">
        <v>40952.0</v>
      </c>
      <c r="E762" s="10">
        <f t="shared" si="1"/>
        <v>2</v>
      </c>
      <c r="F762" s="10" t="str">
        <f t="shared" si="2"/>
        <v>Feb</v>
      </c>
      <c r="G762" s="11">
        <f t="shared" si="3"/>
        <v>13</v>
      </c>
      <c r="H762" s="7">
        <f t="shared" si="4"/>
        <v>2012</v>
      </c>
      <c r="I762" s="9">
        <v>40953.0</v>
      </c>
      <c r="J762" s="11">
        <f t="shared" si="5"/>
        <v>1</v>
      </c>
      <c r="K762" s="7" t="s">
        <v>382</v>
      </c>
      <c r="L762" s="7" t="e">
        <v>#N/A</v>
      </c>
      <c r="M762" s="7"/>
      <c r="N762" s="7"/>
      <c r="O762" s="7"/>
      <c r="P762" s="7" t="s">
        <v>212</v>
      </c>
      <c r="Q762" s="7">
        <v>1465.0</v>
      </c>
      <c r="R762" s="12">
        <v>47.45</v>
      </c>
      <c r="S762" s="12">
        <v>31.79</v>
      </c>
      <c r="T762" s="13">
        <f t="shared" si="6"/>
        <v>69514.25</v>
      </c>
      <c r="U762" s="13">
        <f t="shared" si="7"/>
        <v>31984.24</v>
      </c>
      <c r="V762" s="13">
        <f t="shared" si="8"/>
        <v>37530.01</v>
      </c>
      <c r="W762" s="14">
        <f>Q762/totals!B$2</f>
        <v>0.0002227620548</v>
      </c>
      <c r="X762" s="14">
        <f t="shared" si="9"/>
        <v>0.572987341</v>
      </c>
      <c r="Y762" s="14">
        <f>T762/totals!B$5</f>
        <v>0.00004083957992</v>
      </c>
      <c r="Z762" s="14">
        <f t="shared" si="10"/>
        <v>0.5609352475</v>
      </c>
      <c r="AA762" s="14">
        <f>V762/totals!B$4</f>
        <v>0.00007483393464</v>
      </c>
      <c r="AB762" s="14">
        <f t="shared" si="11"/>
        <v>0.5747453663</v>
      </c>
    </row>
    <row r="763">
      <c r="A763" s="7">
        <v>4594.0</v>
      </c>
      <c r="B763" s="7" t="str">
        <f>VLOOKUP($A763,product_category,2, False)</f>
        <v>Fruits</v>
      </c>
      <c r="C763" s="7">
        <v>6.00515115E8</v>
      </c>
      <c r="D763" s="9">
        <v>42197.0</v>
      </c>
      <c r="E763" s="10">
        <f t="shared" si="1"/>
        <v>7</v>
      </c>
      <c r="F763" s="10" t="str">
        <f t="shared" si="2"/>
        <v>Jul</v>
      </c>
      <c r="G763" s="11">
        <f t="shared" si="3"/>
        <v>12</v>
      </c>
      <c r="H763" s="7">
        <f t="shared" si="4"/>
        <v>2015</v>
      </c>
      <c r="I763" s="9">
        <v>42246.0</v>
      </c>
      <c r="J763" s="11">
        <f t="shared" si="5"/>
        <v>49</v>
      </c>
      <c r="K763" s="7" t="s">
        <v>110</v>
      </c>
      <c r="L763" s="7" t="s">
        <v>231</v>
      </c>
      <c r="M763" s="7" t="str">
        <f>VLOOKUP(L763,countries, 2,false)</f>
        <v>Cyprus</v>
      </c>
      <c r="N763" s="7" t="str">
        <f>VLOOKUP(L763,countries, 4,false)</f>
        <v>Asia</v>
      </c>
      <c r="O763" s="7" t="str">
        <f>VLOOKUP(L763,countries, 5,false)</f>
        <v>Western Asia</v>
      </c>
      <c r="P763" s="7" t="s">
        <v>212</v>
      </c>
      <c r="Q763" s="7">
        <v>4622.0</v>
      </c>
      <c r="R763" s="12">
        <v>9.33</v>
      </c>
      <c r="S763" s="12">
        <v>6.92</v>
      </c>
      <c r="T763" s="13">
        <f t="shared" si="6"/>
        <v>43123.26</v>
      </c>
      <c r="U763" s="13">
        <f t="shared" si="7"/>
        <v>98294.68</v>
      </c>
      <c r="V763" s="13">
        <f t="shared" si="8"/>
        <v>-55171.42</v>
      </c>
      <c r="W763" s="14">
        <f>Q763/totals!B$2</f>
        <v>0.0007028028788</v>
      </c>
      <c r="X763" s="14">
        <f t="shared" si="9"/>
        <v>0.5736901439</v>
      </c>
      <c r="Y763" s="14">
        <f>T763/totals!B$5</f>
        <v>0.00002533488922</v>
      </c>
      <c r="Z763" s="14">
        <f t="shared" si="10"/>
        <v>0.5609605824</v>
      </c>
      <c r="AA763" s="14">
        <f>V763/totals!B$4</f>
        <v>-0.0001100104806</v>
      </c>
      <c r="AB763" s="14">
        <f t="shared" si="11"/>
        <v>0.5746353559</v>
      </c>
    </row>
    <row r="764">
      <c r="A764" s="7">
        <v>1270.0</v>
      </c>
      <c r="B764" s="7" t="str">
        <f>VLOOKUP($A764,product_category,2, False)</f>
        <v>Beverages</v>
      </c>
      <c r="C764" s="7">
        <v>6.01422345E8</v>
      </c>
      <c r="D764" s="9">
        <v>40241.0</v>
      </c>
      <c r="E764" s="10">
        <f t="shared" si="1"/>
        <v>3</v>
      </c>
      <c r="F764" s="10" t="str">
        <f t="shared" si="2"/>
        <v>Mar</v>
      </c>
      <c r="G764" s="11">
        <f t="shared" si="3"/>
        <v>4</v>
      </c>
      <c r="H764" s="7">
        <f t="shared" si="4"/>
        <v>2010</v>
      </c>
      <c r="I764" s="9">
        <v>40257.0</v>
      </c>
      <c r="J764" s="11">
        <f t="shared" si="5"/>
        <v>16</v>
      </c>
      <c r="K764" s="7" t="s">
        <v>198</v>
      </c>
      <c r="L764" s="7" t="s">
        <v>534</v>
      </c>
      <c r="M764" s="7" t="str">
        <f>VLOOKUP(L764,countries, 2,false)</f>
        <v>Netherlands</v>
      </c>
      <c r="N764" s="7" t="str">
        <f>VLOOKUP(L764,countries, 4,false)</f>
        <v>Europe</v>
      </c>
      <c r="O764" s="7" t="str">
        <f>VLOOKUP(L764,countries, 5,false)</f>
        <v>Western Europe</v>
      </c>
      <c r="P764" s="7" t="s">
        <v>129</v>
      </c>
      <c r="Q764" s="7">
        <v>3092.0</v>
      </c>
      <c r="R764" s="12">
        <v>47.45</v>
      </c>
      <c r="S764" s="12">
        <v>31.79</v>
      </c>
      <c r="T764" s="13">
        <f t="shared" si="6"/>
        <v>146715.4</v>
      </c>
      <c r="U764" s="13">
        <f t="shared" si="7"/>
        <v>84797.44</v>
      </c>
      <c r="V764" s="13">
        <f t="shared" si="8"/>
        <v>61917.96</v>
      </c>
      <c r="W764" s="14">
        <f>Q764/totals!B$2</f>
        <v>0.0004701571833</v>
      </c>
      <c r="X764" s="14">
        <f t="shared" si="9"/>
        <v>0.5741603011</v>
      </c>
      <c r="Y764" s="14">
        <f>T764/totals!B$5</f>
        <v>0.00008619520895</v>
      </c>
      <c r="Z764" s="14">
        <f t="shared" si="10"/>
        <v>0.5610467776</v>
      </c>
      <c r="AA764" s="14">
        <f>V764/totals!B$4</f>
        <v>0.0001234629186</v>
      </c>
      <c r="AB764" s="14">
        <f t="shared" si="11"/>
        <v>0.5747588188</v>
      </c>
    </row>
    <row r="765">
      <c r="A765" s="7">
        <v>2455.0</v>
      </c>
      <c r="B765" s="7" t="str">
        <f>VLOOKUP($A765,product_category,2, False)</f>
        <v>Clothes</v>
      </c>
      <c r="C765" s="7">
        <v>6.01588857E8</v>
      </c>
      <c r="D765" s="9">
        <v>41518.0</v>
      </c>
      <c r="E765" s="10">
        <f t="shared" si="1"/>
        <v>9</v>
      </c>
      <c r="F765" s="10" t="str">
        <f t="shared" si="2"/>
        <v>Sep</v>
      </c>
      <c r="G765" s="11">
        <f t="shared" si="3"/>
        <v>1</v>
      </c>
      <c r="H765" s="7">
        <f t="shared" si="4"/>
        <v>2013</v>
      </c>
      <c r="I765" s="9">
        <v>41527.0</v>
      </c>
      <c r="J765" s="11">
        <f t="shared" si="5"/>
        <v>9</v>
      </c>
      <c r="K765" s="7" t="s">
        <v>382</v>
      </c>
      <c r="L765" s="7" t="e">
        <v>#N/A</v>
      </c>
      <c r="M765" s="7"/>
      <c r="N765" s="7"/>
      <c r="O765" s="7"/>
      <c r="P765" s="7" t="s">
        <v>212</v>
      </c>
      <c r="Q765" s="7">
        <v>2366.0</v>
      </c>
      <c r="R765" s="12">
        <v>109.28</v>
      </c>
      <c r="S765" s="12">
        <v>35.84</v>
      </c>
      <c r="T765" s="13">
        <f t="shared" si="6"/>
        <v>258556.48</v>
      </c>
      <c r="U765" s="13">
        <f t="shared" si="7"/>
        <v>2588.08</v>
      </c>
      <c r="V765" s="13">
        <f t="shared" si="8"/>
        <v>255968.4</v>
      </c>
      <c r="W765" s="14">
        <f>Q765/totals!B$2</f>
        <v>0.00035976452</v>
      </c>
      <c r="X765" s="14">
        <f t="shared" si="9"/>
        <v>0.5745200656</v>
      </c>
      <c r="Y765" s="14">
        <f>T765/totals!B$5</f>
        <v>0.0001519017759</v>
      </c>
      <c r="Z765" s="14">
        <f t="shared" si="10"/>
        <v>0.5611986793</v>
      </c>
      <c r="AA765" s="14">
        <f>V765/totals!B$4</f>
        <v>0.0005103948151</v>
      </c>
      <c r="AB765" s="14">
        <f t="shared" si="11"/>
        <v>0.5752692136</v>
      </c>
    </row>
    <row r="766">
      <c r="A766" s="7">
        <v>4594.0</v>
      </c>
      <c r="B766" s="7" t="str">
        <f>VLOOKUP($A766,product_category,2, False)</f>
        <v>Fruits</v>
      </c>
      <c r="C766" s="7">
        <v>6.0188626E8</v>
      </c>
      <c r="D766" s="9">
        <v>41738.0</v>
      </c>
      <c r="E766" s="10">
        <f t="shared" si="1"/>
        <v>4</v>
      </c>
      <c r="F766" s="10" t="str">
        <f t="shared" si="2"/>
        <v>Apr</v>
      </c>
      <c r="G766" s="11">
        <f t="shared" si="3"/>
        <v>9</v>
      </c>
      <c r="H766" s="7">
        <f t="shared" si="4"/>
        <v>2014</v>
      </c>
      <c r="I766" s="9">
        <v>41786.0</v>
      </c>
      <c r="J766" s="11">
        <f t="shared" si="5"/>
        <v>48</v>
      </c>
      <c r="K766" s="7" t="s">
        <v>198</v>
      </c>
      <c r="L766" s="7" t="s">
        <v>286</v>
      </c>
      <c r="M766" s="7" t="str">
        <f>VLOOKUP(L766,countries, 2,false)</f>
        <v>France</v>
      </c>
      <c r="N766" s="7" t="str">
        <f>VLOOKUP(L766,countries, 4,false)</f>
        <v>Europe</v>
      </c>
      <c r="O766" s="7" t="str">
        <f>VLOOKUP(L766,countries, 5,false)</f>
        <v>Western Europe</v>
      </c>
      <c r="P766" s="7" t="s">
        <v>212</v>
      </c>
      <c r="Q766" s="7">
        <v>374.0</v>
      </c>
      <c r="R766" s="12">
        <v>9.33</v>
      </c>
      <c r="S766" s="12">
        <v>6.92</v>
      </c>
      <c r="T766" s="13">
        <f t="shared" si="6"/>
        <v>3489.42</v>
      </c>
      <c r="U766" s="13">
        <f t="shared" si="7"/>
        <v>1463063.52</v>
      </c>
      <c r="V766" s="13">
        <f t="shared" si="8"/>
        <v>-1459574.1</v>
      </c>
      <c r="W766" s="14">
        <f>Q766/totals!B$2</f>
        <v>0.00005686894779</v>
      </c>
      <c r="X766" s="14">
        <f t="shared" si="9"/>
        <v>0.5745769346</v>
      </c>
      <c r="Y766" s="14">
        <f>T766/totals!B$5</f>
        <v>0.000002050032144</v>
      </c>
      <c r="Z766" s="14">
        <f t="shared" si="10"/>
        <v>0.5612007294</v>
      </c>
      <c r="AA766" s="14">
        <f>V766/totals!B$4</f>
        <v>-0.002910355547</v>
      </c>
      <c r="AB766" s="14">
        <f t="shared" si="11"/>
        <v>0.572358858</v>
      </c>
    </row>
    <row r="767">
      <c r="A767" s="7">
        <v>8681.0</v>
      </c>
      <c r="B767" s="7" t="str">
        <f>VLOOKUP($A767,product_category,2, False)</f>
        <v>Office Supplies</v>
      </c>
      <c r="C767" s="7">
        <v>6.01894414E8</v>
      </c>
      <c r="D767" s="9">
        <v>40239.0</v>
      </c>
      <c r="E767" s="10">
        <f t="shared" si="1"/>
        <v>3</v>
      </c>
      <c r="F767" s="10" t="str">
        <f t="shared" si="2"/>
        <v>Mar</v>
      </c>
      <c r="G767" s="11">
        <f t="shared" si="3"/>
        <v>2</v>
      </c>
      <c r="H767" s="7">
        <f t="shared" si="4"/>
        <v>2010</v>
      </c>
      <c r="I767" s="9">
        <v>40256.0</v>
      </c>
      <c r="J767" s="11">
        <f t="shared" si="5"/>
        <v>17</v>
      </c>
      <c r="K767" s="7" t="s">
        <v>110</v>
      </c>
      <c r="L767" s="7" t="s">
        <v>439</v>
      </c>
      <c r="M767" s="7" t="str">
        <f>VLOOKUP(L767,countries, 2,false)</f>
        <v>Slovakia</v>
      </c>
      <c r="N767" s="7" t="str">
        <f>VLOOKUP(L767,countries, 4,false)</f>
        <v>Europe</v>
      </c>
      <c r="O767" s="7" t="str">
        <f>VLOOKUP(L767,countries, 5,false)</f>
        <v>Eastern Europe</v>
      </c>
      <c r="P767" s="7" t="s">
        <v>212</v>
      </c>
      <c r="Q767" s="7">
        <v>2787.0</v>
      </c>
      <c r="R767" s="12">
        <v>651.21</v>
      </c>
      <c r="S767" s="12">
        <v>524.96</v>
      </c>
      <c r="T767" s="13">
        <f t="shared" si="6"/>
        <v>1814922.27</v>
      </c>
      <c r="U767" s="13">
        <f t="shared" si="7"/>
        <v>1185359.68</v>
      </c>
      <c r="V767" s="13">
        <f t="shared" si="8"/>
        <v>629562.59</v>
      </c>
      <c r="W767" s="14">
        <f>Q767/totals!B$2</f>
        <v>0.0004237801002</v>
      </c>
      <c r="X767" s="14">
        <f t="shared" si="9"/>
        <v>0.5750007147</v>
      </c>
      <c r="Y767" s="14">
        <f>T767/totals!B$5</f>
        <v>0.001066265738</v>
      </c>
      <c r="Z767" s="14">
        <f t="shared" si="10"/>
        <v>0.5622669951</v>
      </c>
      <c r="AA767" s="14">
        <f>V767/totals!B$4</f>
        <v>0.001255332618</v>
      </c>
      <c r="AB767" s="14">
        <f t="shared" si="11"/>
        <v>0.5736141907</v>
      </c>
    </row>
    <row r="768">
      <c r="A768" s="7">
        <v>8681.0</v>
      </c>
      <c r="B768" s="7" t="str">
        <f>VLOOKUP($A768,product_category,2, False)</f>
        <v>Office Supplies</v>
      </c>
      <c r="C768" s="7">
        <v>6.02264344E8</v>
      </c>
      <c r="D768" s="9">
        <v>41977.0</v>
      </c>
      <c r="E768" s="10">
        <f t="shared" si="1"/>
        <v>12</v>
      </c>
      <c r="F768" s="10" t="str">
        <f t="shared" si="2"/>
        <v>Dec</v>
      </c>
      <c r="G768" s="11">
        <f t="shared" si="3"/>
        <v>4</v>
      </c>
      <c r="H768" s="7">
        <f t="shared" si="4"/>
        <v>2014</v>
      </c>
      <c r="I768" s="9">
        <v>42011.0</v>
      </c>
      <c r="J768" s="11">
        <f t="shared" si="5"/>
        <v>34</v>
      </c>
      <c r="K768" s="7" t="s">
        <v>382</v>
      </c>
      <c r="L768" s="7" t="s">
        <v>478</v>
      </c>
      <c r="M768" s="7" t="str">
        <f>VLOOKUP(L768,countries, 2,false)</f>
        <v>Malta</v>
      </c>
      <c r="N768" s="7" t="str">
        <f>VLOOKUP(L768,countries, 4,false)</f>
        <v>Europe</v>
      </c>
      <c r="O768" s="7" t="str">
        <f>VLOOKUP(L768,countries, 5,false)</f>
        <v>Southern Europe</v>
      </c>
      <c r="P768" s="7" t="s">
        <v>212</v>
      </c>
      <c r="Q768" s="7">
        <v>2258.0</v>
      </c>
      <c r="R768" s="12">
        <v>651.21</v>
      </c>
      <c r="S768" s="12">
        <v>524.96</v>
      </c>
      <c r="T768" s="13">
        <f t="shared" si="6"/>
        <v>1470432.18</v>
      </c>
      <c r="U768" s="13">
        <f t="shared" si="7"/>
        <v>113971.2</v>
      </c>
      <c r="V768" s="13">
        <f t="shared" si="8"/>
        <v>1356460.98</v>
      </c>
      <c r="W768" s="14">
        <f>Q768/totals!B$2</f>
        <v>0.0003433424709</v>
      </c>
      <c r="X768" s="14">
        <f t="shared" si="9"/>
        <v>0.5753440571</v>
      </c>
      <c r="Y768" s="14">
        <f>T768/totals!B$5</f>
        <v>0.0008638780183</v>
      </c>
      <c r="Z768" s="14">
        <f t="shared" si="10"/>
        <v>0.5631308731</v>
      </c>
      <c r="AA768" s="14">
        <f>V768/totals!B$4</f>
        <v>0.002704750473</v>
      </c>
      <c r="AB768" s="14">
        <f t="shared" si="11"/>
        <v>0.5763189411</v>
      </c>
    </row>
    <row r="769">
      <c r="A769" s="7">
        <v>2455.0</v>
      </c>
      <c r="B769" s="7" t="str">
        <f>VLOOKUP($A769,product_category,2, False)</f>
        <v>Clothes</v>
      </c>
      <c r="C769" s="7">
        <v>6.02301251E8</v>
      </c>
      <c r="D769" s="9">
        <v>41163.0</v>
      </c>
      <c r="E769" s="10">
        <f t="shared" si="1"/>
        <v>9</v>
      </c>
      <c r="F769" s="10" t="str">
        <f t="shared" si="2"/>
        <v>Sep</v>
      </c>
      <c r="G769" s="11">
        <f t="shared" si="3"/>
        <v>11</v>
      </c>
      <c r="H769" s="7">
        <f t="shared" si="4"/>
        <v>2012</v>
      </c>
      <c r="I769" s="9">
        <v>41179.0</v>
      </c>
      <c r="J769" s="11">
        <f t="shared" si="5"/>
        <v>16</v>
      </c>
      <c r="K769" s="7" t="s">
        <v>110</v>
      </c>
      <c r="L769" s="7" t="s">
        <v>392</v>
      </c>
      <c r="M769" s="7" t="str">
        <f>VLOOKUP(L769,countries, 2,false)</f>
        <v>Italy</v>
      </c>
      <c r="N769" s="7" t="str">
        <f>VLOOKUP(L769,countries, 4,false)</f>
        <v>Europe</v>
      </c>
      <c r="O769" s="7" t="str">
        <f>VLOOKUP(L769,countries, 5,false)</f>
        <v>Southern Europe</v>
      </c>
      <c r="P769" s="7" t="s">
        <v>212</v>
      </c>
      <c r="Q769" s="7">
        <v>3180.0</v>
      </c>
      <c r="R769" s="12">
        <v>109.28</v>
      </c>
      <c r="S769" s="12">
        <v>35.84</v>
      </c>
      <c r="T769" s="13">
        <f t="shared" si="6"/>
        <v>347510.4</v>
      </c>
      <c r="U769" s="13">
        <f t="shared" si="7"/>
        <v>549075.63</v>
      </c>
      <c r="V769" s="13">
        <f t="shared" si="8"/>
        <v>-201565.23</v>
      </c>
      <c r="W769" s="14">
        <f>Q769/totals!B$2</f>
        <v>0.0004835381122</v>
      </c>
      <c r="X769" s="14">
        <f t="shared" si="9"/>
        <v>0.5758275952</v>
      </c>
      <c r="Y769" s="14">
        <f>T769/totals!B$5</f>
        <v>0.0002041621503</v>
      </c>
      <c r="Z769" s="14">
        <f t="shared" si="10"/>
        <v>0.5633350353</v>
      </c>
      <c r="AA769" s="14">
        <f>V769/totals!B$4</f>
        <v>-0.0004019162064</v>
      </c>
      <c r="AB769" s="14">
        <f t="shared" si="11"/>
        <v>0.5759170249</v>
      </c>
    </row>
    <row r="770">
      <c r="A770" s="7">
        <v>3127.0</v>
      </c>
      <c r="B770" s="7" t="str">
        <f>VLOOKUP($A770,product_category,2, False)</f>
        <v>Personal Care</v>
      </c>
      <c r="C770" s="7">
        <v>6.02357041E8</v>
      </c>
      <c r="D770" s="9">
        <v>42118.0</v>
      </c>
      <c r="E770" s="10">
        <f t="shared" si="1"/>
        <v>4</v>
      </c>
      <c r="F770" s="10" t="str">
        <f t="shared" si="2"/>
        <v>Apr</v>
      </c>
      <c r="G770" s="11">
        <f t="shared" si="3"/>
        <v>24</v>
      </c>
      <c r="H770" s="7">
        <f t="shared" si="4"/>
        <v>2015</v>
      </c>
      <c r="I770" s="9">
        <v>42129.0</v>
      </c>
      <c r="J770" s="11">
        <f t="shared" si="5"/>
        <v>11</v>
      </c>
      <c r="K770" s="7" t="s">
        <v>322</v>
      </c>
      <c r="L770" s="7" t="s">
        <v>612</v>
      </c>
      <c r="M770" s="7" t="str">
        <f>VLOOKUP(L770,countries, 2,false)</f>
        <v>Russia</v>
      </c>
      <c r="N770" s="7" t="str">
        <f>VLOOKUP(L770,countries, 4,false)</f>
        <v>Europe</v>
      </c>
      <c r="O770" s="7" t="str">
        <f>VLOOKUP(L770,countries, 5,false)</f>
        <v>Eastern Europe</v>
      </c>
      <c r="P770" s="7" t="s">
        <v>129</v>
      </c>
      <c r="Q770" s="7">
        <v>9689.0</v>
      </c>
      <c r="R770" s="12">
        <v>81.73</v>
      </c>
      <c r="S770" s="12">
        <v>56.67</v>
      </c>
      <c r="T770" s="13">
        <f t="shared" si="6"/>
        <v>791881.97</v>
      </c>
      <c r="U770" s="13">
        <f t="shared" si="7"/>
        <v>969710.71</v>
      </c>
      <c r="V770" s="13">
        <f t="shared" si="8"/>
        <v>-177828.74</v>
      </c>
      <c r="W770" s="14">
        <f>Q770/totals!B$2</f>
        <v>0.001473270682</v>
      </c>
      <c r="X770" s="14">
        <f t="shared" si="9"/>
        <v>0.5773008659</v>
      </c>
      <c r="Y770" s="14">
        <f>T770/totals!B$5</f>
        <v>0.0004652301794</v>
      </c>
      <c r="Z770" s="14">
        <f t="shared" si="10"/>
        <v>0.5638002655</v>
      </c>
      <c r="AA770" s="14">
        <f>V770/totals!B$4</f>
        <v>-0.0003545862179</v>
      </c>
      <c r="AB770" s="14">
        <f t="shared" si="11"/>
        <v>0.5755624387</v>
      </c>
    </row>
    <row r="771">
      <c r="A771" s="7">
        <v>8875.0</v>
      </c>
      <c r="B771" s="7" t="str">
        <f>VLOOKUP($A771,product_category,2, False)</f>
        <v>Meat</v>
      </c>
      <c r="C771" s="7">
        <v>6.04124295E8</v>
      </c>
      <c r="D771" s="9">
        <v>42079.0</v>
      </c>
      <c r="E771" s="10">
        <f t="shared" si="1"/>
        <v>3</v>
      </c>
      <c r="F771" s="10" t="str">
        <f t="shared" si="2"/>
        <v>Mar</v>
      </c>
      <c r="G771" s="11">
        <f t="shared" si="3"/>
        <v>16</v>
      </c>
      <c r="H771" s="7">
        <f t="shared" si="4"/>
        <v>2015</v>
      </c>
      <c r="I771" s="9">
        <v>42096.0</v>
      </c>
      <c r="J771" s="11">
        <f t="shared" si="5"/>
        <v>17</v>
      </c>
      <c r="K771" s="7" t="s">
        <v>198</v>
      </c>
      <c r="L771" s="7" t="s">
        <v>460</v>
      </c>
      <c r="M771" s="7" t="str">
        <f>VLOOKUP(L771,countries, 2,false)</f>
        <v>Macedonia</v>
      </c>
      <c r="N771" s="7" t="str">
        <f>VLOOKUP(L771,countries, 4,false)</f>
        <v>Europe</v>
      </c>
      <c r="O771" s="7" t="str">
        <f>VLOOKUP(L771,countries, 5,false)</f>
        <v>Southern Europe</v>
      </c>
      <c r="P771" s="7" t="s">
        <v>129</v>
      </c>
      <c r="Q771" s="7">
        <v>2659.0</v>
      </c>
      <c r="R771" s="12">
        <v>421.89</v>
      </c>
      <c r="S771" s="12">
        <v>364.69</v>
      </c>
      <c r="T771" s="13">
        <f t="shared" si="6"/>
        <v>1121805.51</v>
      </c>
      <c r="U771" s="13">
        <f t="shared" si="7"/>
        <v>120650.43</v>
      </c>
      <c r="V771" s="13">
        <f t="shared" si="8"/>
        <v>1001155.08</v>
      </c>
      <c r="W771" s="14">
        <f>Q771/totals!B$2</f>
        <v>0.000404316931</v>
      </c>
      <c r="X771" s="14">
        <f t="shared" si="9"/>
        <v>0.5777051829</v>
      </c>
      <c r="Y771" s="14">
        <f>T771/totals!B$5</f>
        <v>0.0006590600601</v>
      </c>
      <c r="Z771" s="14">
        <f t="shared" si="10"/>
        <v>0.5644593255</v>
      </c>
      <c r="AA771" s="14">
        <f>V771/totals!B$4</f>
        <v>0.001996279079</v>
      </c>
      <c r="AB771" s="14">
        <f t="shared" si="11"/>
        <v>0.5775587178</v>
      </c>
    </row>
    <row r="772">
      <c r="A772" s="7">
        <v>3127.0</v>
      </c>
      <c r="B772" s="7" t="str">
        <f>VLOOKUP($A772,product_category,2, False)</f>
        <v>Personal Care</v>
      </c>
      <c r="C772" s="7">
        <v>6.04494225E8</v>
      </c>
      <c r="D772" s="9">
        <v>41051.0</v>
      </c>
      <c r="E772" s="10">
        <f t="shared" si="1"/>
        <v>5</v>
      </c>
      <c r="F772" s="10" t="str">
        <f t="shared" si="2"/>
        <v>May</v>
      </c>
      <c r="G772" s="11">
        <f t="shared" si="3"/>
        <v>22</v>
      </c>
      <c r="H772" s="7">
        <f t="shared" si="4"/>
        <v>2012</v>
      </c>
      <c r="I772" s="9">
        <v>41085.0</v>
      </c>
      <c r="J772" s="11">
        <f t="shared" si="5"/>
        <v>34</v>
      </c>
      <c r="K772" s="7" t="s">
        <v>322</v>
      </c>
      <c r="L772" s="7" t="s">
        <v>304</v>
      </c>
      <c r="M772" s="7" t="str">
        <f>VLOOKUP(L772,countries, 2,false)</f>
        <v>Georgia</v>
      </c>
      <c r="N772" s="7" t="str">
        <f>VLOOKUP(L772,countries, 4,false)</f>
        <v>Asia</v>
      </c>
      <c r="O772" s="7" t="str">
        <f>VLOOKUP(L772,countries, 5,false)</f>
        <v>Western Asia</v>
      </c>
      <c r="P772" s="7" t="s">
        <v>212</v>
      </c>
      <c r="Q772" s="7">
        <v>2129.0</v>
      </c>
      <c r="R772" s="12">
        <v>81.73</v>
      </c>
      <c r="S772" s="12">
        <v>56.67</v>
      </c>
      <c r="T772" s="13">
        <f t="shared" si="6"/>
        <v>174003.17</v>
      </c>
      <c r="U772" s="13">
        <f t="shared" si="7"/>
        <v>3411.56</v>
      </c>
      <c r="V772" s="13">
        <f t="shared" si="8"/>
        <v>170591.61</v>
      </c>
      <c r="W772" s="14">
        <f>Q772/totals!B$2</f>
        <v>0.0003237272456</v>
      </c>
      <c r="X772" s="14">
        <f t="shared" si="9"/>
        <v>0.5780289101</v>
      </c>
      <c r="Y772" s="14">
        <f>T772/totals!B$5</f>
        <v>0.0001022267574</v>
      </c>
      <c r="Z772" s="14">
        <f t="shared" si="10"/>
        <v>0.5645615523</v>
      </c>
      <c r="AA772" s="14">
        <f>V772/totals!B$4</f>
        <v>0.0003401555553</v>
      </c>
      <c r="AB772" s="14">
        <f t="shared" si="11"/>
        <v>0.5778988733</v>
      </c>
    </row>
    <row r="773">
      <c r="A773" s="7">
        <v>4594.0</v>
      </c>
      <c r="B773" s="7" t="str">
        <f>VLOOKUP($A773,product_category,2, False)</f>
        <v>Fruits</v>
      </c>
      <c r="C773" s="7">
        <v>6.0502938E8</v>
      </c>
      <c r="D773" s="9">
        <v>41682.0</v>
      </c>
      <c r="E773" s="10">
        <f t="shared" si="1"/>
        <v>2</v>
      </c>
      <c r="F773" s="10" t="str">
        <f t="shared" si="2"/>
        <v>Feb</v>
      </c>
      <c r="G773" s="11">
        <f t="shared" si="3"/>
        <v>12</v>
      </c>
      <c r="H773" s="7">
        <f t="shared" si="4"/>
        <v>2014</v>
      </c>
      <c r="I773" s="9">
        <v>41688.0</v>
      </c>
      <c r="J773" s="11">
        <f t="shared" si="5"/>
        <v>6</v>
      </c>
      <c r="K773" s="7" t="s">
        <v>382</v>
      </c>
      <c r="L773" s="7" t="s">
        <v>286</v>
      </c>
      <c r="M773" s="7" t="str">
        <f>VLOOKUP(L773,countries, 2,false)</f>
        <v>France</v>
      </c>
      <c r="N773" s="7" t="str">
        <f>VLOOKUP(L773,countries, 4,false)</f>
        <v>Europe</v>
      </c>
      <c r="O773" s="7" t="str">
        <f>VLOOKUP(L773,countries, 5,false)</f>
        <v>Western Europe</v>
      </c>
      <c r="P773" s="7" t="s">
        <v>212</v>
      </c>
      <c r="Q773" s="7">
        <v>493.0</v>
      </c>
      <c r="R773" s="12">
        <v>9.33</v>
      </c>
      <c r="S773" s="12">
        <v>6.92</v>
      </c>
      <c r="T773" s="13">
        <f t="shared" si="6"/>
        <v>4599.69</v>
      </c>
      <c r="U773" s="13">
        <f t="shared" si="7"/>
        <v>255422.37</v>
      </c>
      <c r="V773" s="13">
        <f t="shared" si="8"/>
        <v>-250822.68</v>
      </c>
      <c r="W773" s="14">
        <f>Q773/totals!B$2</f>
        <v>0.000074963613</v>
      </c>
      <c r="X773" s="14">
        <f t="shared" si="9"/>
        <v>0.5781038737</v>
      </c>
      <c r="Y773" s="14">
        <f>T773/totals!B$5</f>
        <v>0.000002702315099</v>
      </c>
      <c r="Z773" s="14">
        <f t="shared" si="10"/>
        <v>0.5645642546</v>
      </c>
      <c r="AA773" s="14">
        <f>V773/totals!B$4</f>
        <v>-0.0005001343735</v>
      </c>
      <c r="AB773" s="14">
        <f t="shared" si="11"/>
        <v>0.577398739</v>
      </c>
    </row>
    <row r="774">
      <c r="A774" s="7">
        <v>5988.0</v>
      </c>
      <c r="B774" s="7" t="str">
        <f>VLOOKUP($A774,product_category,2, False)</f>
        <v>Vegetables</v>
      </c>
      <c r="C774" s="7">
        <v>6.06118571E8</v>
      </c>
      <c r="D774" s="9">
        <v>41949.0</v>
      </c>
      <c r="E774" s="10">
        <f t="shared" si="1"/>
        <v>11</v>
      </c>
      <c r="F774" s="10" t="str">
        <f t="shared" si="2"/>
        <v>Nov</v>
      </c>
      <c r="G774" s="11">
        <f t="shared" si="3"/>
        <v>6</v>
      </c>
      <c r="H774" s="7">
        <f t="shared" si="4"/>
        <v>2014</v>
      </c>
      <c r="I774" s="9">
        <v>41961.0</v>
      </c>
      <c r="J774" s="11">
        <f t="shared" si="5"/>
        <v>12</v>
      </c>
      <c r="K774" s="7" t="s">
        <v>382</v>
      </c>
      <c r="L774" s="7" t="s">
        <v>609</v>
      </c>
      <c r="M774" s="7" t="str">
        <f>VLOOKUP(L774,countries, 2,false)</f>
        <v>Romania</v>
      </c>
      <c r="N774" s="7" t="str">
        <f>VLOOKUP(L774,countries, 4,false)</f>
        <v>Europe</v>
      </c>
      <c r="O774" s="7" t="str">
        <f>VLOOKUP(L774,countries, 5,false)</f>
        <v>Eastern Europe</v>
      </c>
      <c r="P774" s="7" t="s">
        <v>212</v>
      </c>
      <c r="Q774" s="7">
        <v>2809.0</v>
      </c>
      <c r="R774" s="12">
        <v>154.06</v>
      </c>
      <c r="S774" s="12">
        <v>90.93</v>
      </c>
      <c r="T774" s="13">
        <f t="shared" si="6"/>
        <v>432754.54</v>
      </c>
      <c r="U774" s="13">
        <f t="shared" si="7"/>
        <v>1099929.41</v>
      </c>
      <c r="V774" s="13">
        <f t="shared" si="8"/>
        <v>-667174.87</v>
      </c>
      <c r="W774" s="14">
        <f>Q774/totals!B$2</f>
        <v>0.0004271253325</v>
      </c>
      <c r="X774" s="14">
        <f t="shared" si="9"/>
        <v>0.5785309991</v>
      </c>
      <c r="Y774" s="14">
        <f>T774/totals!B$5</f>
        <v>0.0002542430311</v>
      </c>
      <c r="Z774" s="14">
        <f t="shared" si="10"/>
        <v>0.5648184976</v>
      </c>
      <c r="AA774" s="14">
        <f>V774/totals!B$4</f>
        <v>-0.001330330597</v>
      </c>
      <c r="AB774" s="14">
        <f t="shared" si="11"/>
        <v>0.5760684084</v>
      </c>
    </row>
    <row r="775">
      <c r="A775" s="7">
        <v>8293.0</v>
      </c>
      <c r="B775" s="7" t="str">
        <f>VLOOKUP($A775,product_category,2, False)</f>
        <v>Cosmetics</v>
      </c>
      <c r="C775" s="7">
        <v>6.06224572E8</v>
      </c>
      <c r="D775" s="9">
        <v>41828.0</v>
      </c>
      <c r="E775" s="10">
        <f t="shared" si="1"/>
        <v>7</v>
      </c>
      <c r="F775" s="10" t="str">
        <f t="shared" si="2"/>
        <v>Jul</v>
      </c>
      <c r="G775" s="11">
        <f t="shared" si="3"/>
        <v>8</v>
      </c>
      <c r="H775" s="7">
        <f t="shared" si="4"/>
        <v>2014</v>
      </c>
      <c r="I775" s="9">
        <v>41835.0</v>
      </c>
      <c r="J775" s="11">
        <f t="shared" si="5"/>
        <v>7</v>
      </c>
      <c r="K775" s="7" t="s">
        <v>110</v>
      </c>
      <c r="L775" s="7" t="s">
        <v>237</v>
      </c>
      <c r="M775" s="7" t="str">
        <f>VLOOKUP(L775,countries, 2,false)</f>
        <v>Denmark</v>
      </c>
      <c r="N775" s="7" t="str">
        <f>VLOOKUP(L775,countries, 4,false)</f>
        <v>Europe</v>
      </c>
      <c r="O775" s="7" t="str">
        <f>VLOOKUP(L775,countries, 5,false)</f>
        <v>Northern Europe</v>
      </c>
      <c r="P775" s="7" t="s">
        <v>212</v>
      </c>
      <c r="Q775" s="7">
        <v>4177.0</v>
      </c>
      <c r="R775" s="12">
        <v>437.2</v>
      </c>
      <c r="S775" s="12">
        <v>263.33</v>
      </c>
      <c r="T775" s="13">
        <f t="shared" si="6"/>
        <v>1826184.4</v>
      </c>
      <c r="U775" s="13">
        <f t="shared" si="7"/>
        <v>231939.84</v>
      </c>
      <c r="V775" s="13">
        <f t="shared" si="8"/>
        <v>1594244.56</v>
      </c>
      <c r="W775" s="14">
        <f>Q775/totals!B$2</f>
        <v>0.0006351379543</v>
      </c>
      <c r="X775" s="14">
        <f t="shared" si="9"/>
        <v>0.579166137</v>
      </c>
      <c r="Y775" s="14">
        <f>T775/totals!B$5</f>
        <v>0.001072882233</v>
      </c>
      <c r="Z775" s="14">
        <f t="shared" si="10"/>
        <v>0.5658913799</v>
      </c>
      <c r="AA775" s="14">
        <f>V775/totals!B$4</f>
        <v>0.003178885196</v>
      </c>
      <c r="AB775" s="14">
        <f t="shared" si="11"/>
        <v>0.5792472936</v>
      </c>
    </row>
    <row r="776">
      <c r="A776" s="7">
        <v>1270.0</v>
      </c>
      <c r="B776" s="7" t="str">
        <f>VLOOKUP($A776,product_category,2, False)</f>
        <v>Beverages</v>
      </c>
      <c r="C776" s="7">
        <v>6.07620608E8</v>
      </c>
      <c r="D776" s="9">
        <v>40433.0</v>
      </c>
      <c r="E776" s="10">
        <f t="shared" si="1"/>
        <v>9</v>
      </c>
      <c r="F776" s="10" t="str">
        <f t="shared" si="2"/>
        <v>Sep</v>
      </c>
      <c r="G776" s="11">
        <f t="shared" si="3"/>
        <v>12</v>
      </c>
      <c r="H776" s="7">
        <f t="shared" si="4"/>
        <v>2010</v>
      </c>
      <c r="I776" s="9">
        <v>40441.0</v>
      </c>
      <c r="J776" s="11">
        <f t="shared" si="5"/>
        <v>8</v>
      </c>
      <c r="K776" s="7" t="s">
        <v>382</v>
      </c>
      <c r="L776" s="7" t="e">
        <v>#N/A</v>
      </c>
      <c r="M776" s="7"/>
      <c r="N776" s="7"/>
      <c r="O776" s="7"/>
      <c r="P776" s="7" t="s">
        <v>129</v>
      </c>
      <c r="Q776" s="7">
        <v>7296.0</v>
      </c>
      <c r="R776" s="12">
        <v>47.45</v>
      </c>
      <c r="S776" s="12">
        <v>31.79</v>
      </c>
      <c r="T776" s="13">
        <f t="shared" si="6"/>
        <v>346195.2</v>
      </c>
      <c r="U776" s="13">
        <f t="shared" si="7"/>
        <v>3731862.04</v>
      </c>
      <c r="V776" s="13">
        <f t="shared" si="8"/>
        <v>-3385666.84</v>
      </c>
      <c r="W776" s="14">
        <f>Q776/totals!B$2</f>
        <v>0.00110940065</v>
      </c>
      <c r="X776" s="14">
        <f t="shared" si="9"/>
        <v>0.5802755377</v>
      </c>
      <c r="Y776" s="14">
        <f>T776/totals!B$5</f>
        <v>0.0002033894711</v>
      </c>
      <c r="Z776" s="14">
        <f t="shared" si="10"/>
        <v>0.5660947693</v>
      </c>
      <c r="AA776" s="14">
        <f>V776/totals!B$4</f>
        <v>-0.006750938009</v>
      </c>
      <c r="AB776" s="14">
        <f t="shared" si="11"/>
        <v>0.5724963556</v>
      </c>
    </row>
    <row r="777">
      <c r="A777" s="7">
        <v>7940.0</v>
      </c>
      <c r="B777" s="7" t="str">
        <f>VLOOKUP($A777,product_category,2, False)</f>
        <v>Household</v>
      </c>
      <c r="C777" s="7">
        <v>6.07756221E8</v>
      </c>
      <c r="D777" s="9">
        <v>42585.0</v>
      </c>
      <c r="E777" s="10">
        <f t="shared" si="1"/>
        <v>8</v>
      </c>
      <c r="F777" s="10" t="str">
        <f t="shared" si="2"/>
        <v>Aug</v>
      </c>
      <c r="G777" s="11">
        <f t="shared" si="3"/>
        <v>3</v>
      </c>
      <c r="H777" s="7">
        <f t="shared" si="4"/>
        <v>2016</v>
      </c>
      <c r="I777" s="9">
        <v>42593.0</v>
      </c>
      <c r="J777" s="11">
        <f t="shared" si="5"/>
        <v>8</v>
      </c>
      <c r="K777" s="7" t="s">
        <v>382</v>
      </c>
      <c r="L777" s="7" t="s">
        <v>432</v>
      </c>
      <c r="M777" s="7" t="str">
        <f>VLOOKUP(L777,countries, 2,false)</f>
        <v>Latvia</v>
      </c>
      <c r="N777" s="7" t="str">
        <f>VLOOKUP(L777,countries, 4,false)</f>
        <v>Europe</v>
      </c>
      <c r="O777" s="7" t="str">
        <f>VLOOKUP(L777,countries, 5,false)</f>
        <v>Northern Europe</v>
      </c>
      <c r="P777" s="7" t="s">
        <v>129</v>
      </c>
      <c r="Q777" s="7">
        <v>7426.0</v>
      </c>
      <c r="R777" s="12">
        <v>668.27</v>
      </c>
      <c r="S777" s="12">
        <v>502.54</v>
      </c>
      <c r="T777" s="13">
        <f t="shared" si="6"/>
        <v>4962573.02</v>
      </c>
      <c r="U777" s="13">
        <f t="shared" si="7"/>
        <v>38918.04</v>
      </c>
      <c r="V777" s="13">
        <f t="shared" si="8"/>
        <v>4923654.98</v>
      </c>
      <c r="W777" s="14">
        <f>Q777/totals!B$2</f>
        <v>0.001129167931</v>
      </c>
      <c r="X777" s="14">
        <f t="shared" si="9"/>
        <v>0.5814047056</v>
      </c>
      <c r="Y777" s="14">
        <f>T777/totals!B$5</f>
        <v>0.002915508654</v>
      </c>
      <c r="Z777" s="14">
        <f t="shared" si="10"/>
        <v>0.569010278</v>
      </c>
      <c r="AA777" s="14">
        <f>V777/totals!B$4</f>
        <v>0.009817649261</v>
      </c>
      <c r="AB777" s="14">
        <f t="shared" si="11"/>
        <v>0.5823140048</v>
      </c>
    </row>
    <row r="778">
      <c r="A778" s="7">
        <v>5988.0</v>
      </c>
      <c r="B778" s="7" t="str">
        <f>VLOOKUP($A778,product_category,2, False)</f>
        <v>Vegetables</v>
      </c>
      <c r="C778" s="7">
        <v>6.08374631E8</v>
      </c>
      <c r="D778" s="9">
        <v>42471.0</v>
      </c>
      <c r="E778" s="10">
        <f t="shared" si="1"/>
        <v>4</v>
      </c>
      <c r="F778" s="10" t="str">
        <f t="shared" si="2"/>
        <v>Apr</v>
      </c>
      <c r="G778" s="11">
        <f t="shared" si="3"/>
        <v>11</v>
      </c>
      <c r="H778" s="7">
        <f t="shared" si="4"/>
        <v>2016</v>
      </c>
      <c r="I778" s="9">
        <v>42472.0</v>
      </c>
      <c r="J778" s="11">
        <f t="shared" si="5"/>
        <v>1</v>
      </c>
      <c r="K778" s="7" t="s">
        <v>110</v>
      </c>
      <c r="L778" s="7" t="s">
        <v>392</v>
      </c>
      <c r="M778" s="7" t="str">
        <f>VLOOKUP(L778,countries, 2,false)</f>
        <v>Italy</v>
      </c>
      <c r="N778" s="7" t="str">
        <f>VLOOKUP(L778,countries, 4,false)</f>
        <v>Europe</v>
      </c>
      <c r="O778" s="7" t="str">
        <f>VLOOKUP(L778,countries, 5,false)</f>
        <v>Southern Europe</v>
      </c>
      <c r="P778" s="7" t="s">
        <v>212</v>
      </c>
      <c r="Q778" s="7">
        <v>428.0</v>
      </c>
      <c r="R778" s="12">
        <v>154.06</v>
      </c>
      <c r="S778" s="12">
        <v>90.93</v>
      </c>
      <c r="T778" s="13">
        <f t="shared" si="6"/>
        <v>65937.68</v>
      </c>
      <c r="U778" s="13">
        <f t="shared" si="7"/>
        <v>524013.54</v>
      </c>
      <c r="V778" s="13">
        <f t="shared" si="8"/>
        <v>-458075.86</v>
      </c>
      <c r="W778" s="14">
        <f>Q778/totals!B$2</f>
        <v>0.00006507997234</v>
      </c>
      <c r="X778" s="14">
        <f t="shared" si="9"/>
        <v>0.5814697856</v>
      </c>
      <c r="Y778" s="14">
        <f>T778/totals!B$5</f>
        <v>0.0000387383472</v>
      </c>
      <c r="Z778" s="14">
        <f t="shared" si="10"/>
        <v>0.5690490163</v>
      </c>
      <c r="AA778" s="14">
        <f>V778/totals!B$4</f>
        <v>-0.0009133922151</v>
      </c>
      <c r="AB778" s="14">
        <f t="shared" si="11"/>
        <v>0.5814006126</v>
      </c>
    </row>
    <row r="779">
      <c r="A779" s="7">
        <v>7331.0</v>
      </c>
      <c r="B779" s="7" t="str">
        <f>VLOOKUP($A779,product_category,2, False)</f>
        <v>Baby Food</v>
      </c>
      <c r="C779" s="7">
        <v>6.08451879E8</v>
      </c>
      <c r="D779" s="9">
        <v>41666.0</v>
      </c>
      <c r="E779" s="10">
        <f t="shared" si="1"/>
        <v>1</v>
      </c>
      <c r="F779" s="10" t="str">
        <f t="shared" si="2"/>
        <v>Jan</v>
      </c>
      <c r="G779" s="11">
        <f t="shared" si="3"/>
        <v>27</v>
      </c>
      <c r="H779" s="7">
        <f t="shared" si="4"/>
        <v>2014</v>
      </c>
      <c r="I779" s="9">
        <v>41699.0</v>
      </c>
      <c r="J779" s="11">
        <f t="shared" si="5"/>
        <v>33</v>
      </c>
      <c r="K779" s="7" t="s">
        <v>198</v>
      </c>
      <c r="L779" s="7" t="e">
        <v>#N/A</v>
      </c>
      <c r="M779" s="7"/>
      <c r="N779" s="7"/>
      <c r="O779" s="7"/>
      <c r="P779" s="7" t="s">
        <v>129</v>
      </c>
      <c r="Q779" s="7">
        <v>3287.0</v>
      </c>
      <c r="R779" s="12">
        <v>255.28</v>
      </c>
      <c r="S779" s="12">
        <v>159.42</v>
      </c>
      <c r="T779" s="13">
        <f t="shared" si="6"/>
        <v>839105.36</v>
      </c>
      <c r="U779" s="13">
        <f t="shared" si="7"/>
        <v>24787.44</v>
      </c>
      <c r="V779" s="13">
        <f t="shared" si="8"/>
        <v>814317.92</v>
      </c>
      <c r="W779" s="14">
        <f>Q779/totals!B$2</f>
        <v>0.0004998081053</v>
      </c>
      <c r="X779" s="14">
        <f t="shared" si="9"/>
        <v>0.5819695937</v>
      </c>
      <c r="Y779" s="14">
        <f>T779/totals!B$5</f>
        <v>0.0004929738926</v>
      </c>
      <c r="Z779" s="14">
        <f t="shared" si="10"/>
        <v>0.5695419902</v>
      </c>
      <c r="AA779" s="14">
        <f>V779/totals!B$4</f>
        <v>0.001623730289</v>
      </c>
      <c r="AB779" s="14">
        <f t="shared" si="11"/>
        <v>0.5830243429</v>
      </c>
    </row>
    <row r="780">
      <c r="A780" s="7">
        <v>4594.0</v>
      </c>
      <c r="B780" s="7" t="str">
        <f>VLOOKUP($A780,product_category,2, False)</f>
        <v>Fruits</v>
      </c>
      <c r="C780" s="7">
        <v>6.09939754E8</v>
      </c>
      <c r="D780" s="9">
        <v>41588.0</v>
      </c>
      <c r="E780" s="10">
        <f t="shared" si="1"/>
        <v>11</v>
      </c>
      <c r="F780" s="10" t="str">
        <f t="shared" si="2"/>
        <v>Nov</v>
      </c>
      <c r="G780" s="11">
        <f t="shared" si="3"/>
        <v>10</v>
      </c>
      <c r="H780" s="7">
        <f t="shared" si="4"/>
        <v>2013</v>
      </c>
      <c r="I780" s="9">
        <v>41608.0</v>
      </c>
      <c r="J780" s="11">
        <f t="shared" si="5"/>
        <v>20</v>
      </c>
      <c r="K780" s="7" t="s">
        <v>110</v>
      </c>
      <c r="L780" s="7" t="s">
        <v>113</v>
      </c>
      <c r="M780" s="7" t="str">
        <f>VLOOKUP(L780,countries, 2,false)</f>
        <v>Belgium</v>
      </c>
      <c r="N780" s="7" t="str">
        <f>VLOOKUP(L780,countries, 4,false)</f>
        <v>Europe</v>
      </c>
      <c r="O780" s="7" t="str">
        <f>VLOOKUP(L780,countries, 5,false)</f>
        <v>Western Europe</v>
      </c>
      <c r="P780" s="7" t="s">
        <v>129</v>
      </c>
      <c r="Q780" s="7">
        <v>3582.0</v>
      </c>
      <c r="R780" s="12">
        <v>9.33</v>
      </c>
      <c r="S780" s="12">
        <v>6.92</v>
      </c>
      <c r="T780" s="13">
        <f t="shared" si="6"/>
        <v>33420.06</v>
      </c>
      <c r="U780" s="13">
        <f t="shared" si="7"/>
        <v>2695788.48</v>
      </c>
      <c r="V780" s="13">
        <f t="shared" si="8"/>
        <v>-2662368.42</v>
      </c>
      <c r="W780" s="14">
        <f>Q780/totals!B$2</f>
        <v>0.0005446646283</v>
      </c>
      <c r="X780" s="14">
        <f t="shared" si="9"/>
        <v>0.5825142583</v>
      </c>
      <c r="Y780" s="14">
        <f>T780/totals!B$5</f>
        <v>0.00001963426508</v>
      </c>
      <c r="Z780" s="14">
        <f t="shared" si="10"/>
        <v>0.5695616245</v>
      </c>
      <c r="AA780" s="14">
        <f>V780/totals!B$4</f>
        <v>-0.005308698407</v>
      </c>
      <c r="AB780" s="14">
        <f t="shared" si="11"/>
        <v>0.5777156445</v>
      </c>
    </row>
    <row r="781">
      <c r="A781" s="7">
        <v>8875.0</v>
      </c>
      <c r="B781" s="7" t="str">
        <f>VLOOKUP($A781,product_category,2, False)</f>
        <v>Meat</v>
      </c>
      <c r="C781" s="7">
        <v>6.09952628E8</v>
      </c>
      <c r="D781" s="9">
        <v>40532.0</v>
      </c>
      <c r="E781" s="10">
        <f t="shared" si="1"/>
        <v>12</v>
      </c>
      <c r="F781" s="10" t="str">
        <f t="shared" si="2"/>
        <v>Dec</v>
      </c>
      <c r="G781" s="11">
        <f t="shared" si="3"/>
        <v>20</v>
      </c>
      <c r="H781" s="7">
        <f t="shared" si="4"/>
        <v>2010</v>
      </c>
      <c r="I781" s="9">
        <v>40574.0</v>
      </c>
      <c r="J781" s="11">
        <f t="shared" si="5"/>
        <v>42</v>
      </c>
      <c r="K781" s="7" t="s">
        <v>110</v>
      </c>
      <c r="L781" s="7" t="s">
        <v>612</v>
      </c>
      <c r="M781" s="7" t="str">
        <f>VLOOKUP(L781,countries, 2,false)</f>
        <v>Russia</v>
      </c>
      <c r="N781" s="7" t="str">
        <f>VLOOKUP(L781,countries, 4,false)</f>
        <v>Europe</v>
      </c>
      <c r="O781" s="7" t="str">
        <f>VLOOKUP(L781,countries, 5,false)</f>
        <v>Eastern Europe</v>
      </c>
      <c r="P781" s="7" t="s">
        <v>129</v>
      </c>
      <c r="Q781" s="7">
        <v>7392.0</v>
      </c>
      <c r="R781" s="12">
        <v>421.89</v>
      </c>
      <c r="S781" s="12">
        <v>364.69</v>
      </c>
      <c r="T781" s="13">
        <f t="shared" si="6"/>
        <v>3118610.88</v>
      </c>
      <c r="U781" s="13">
        <f t="shared" si="7"/>
        <v>649955.34</v>
      </c>
      <c r="V781" s="13">
        <f t="shared" si="8"/>
        <v>2468655.54</v>
      </c>
      <c r="W781" s="14">
        <f>Q781/totals!B$2</f>
        <v>0.001123998027</v>
      </c>
      <c r="X781" s="14">
        <f t="shared" si="9"/>
        <v>0.5836382563</v>
      </c>
      <c r="Y781" s="14">
        <f>T781/totals!B$5</f>
        <v>0.00183218201</v>
      </c>
      <c r="Z781" s="14">
        <f t="shared" si="10"/>
        <v>0.5713938065</v>
      </c>
      <c r="AA781" s="14">
        <f>V781/totals!B$4</f>
        <v>0.004922439597</v>
      </c>
      <c r="AB781" s="14">
        <f t="shared" si="11"/>
        <v>0.5826380841</v>
      </c>
    </row>
    <row r="782">
      <c r="A782" s="7">
        <v>7331.0</v>
      </c>
      <c r="B782" s="7" t="str">
        <f>VLOOKUP($A782,product_category,2, False)</f>
        <v>Baby Food</v>
      </c>
      <c r="C782" s="7">
        <v>6.11766231E8</v>
      </c>
      <c r="D782" s="9">
        <v>40564.0</v>
      </c>
      <c r="E782" s="10">
        <f t="shared" si="1"/>
        <v>1</v>
      </c>
      <c r="F782" s="10" t="str">
        <f t="shared" si="2"/>
        <v>Jan</v>
      </c>
      <c r="G782" s="11">
        <f t="shared" si="3"/>
        <v>21</v>
      </c>
      <c r="H782" s="7">
        <f t="shared" si="4"/>
        <v>2011</v>
      </c>
      <c r="I782" s="9">
        <v>40600.0</v>
      </c>
      <c r="J782" s="11">
        <f t="shared" si="5"/>
        <v>36</v>
      </c>
      <c r="K782" s="7" t="s">
        <v>198</v>
      </c>
      <c r="L782" s="7" t="s">
        <v>534</v>
      </c>
      <c r="M782" s="7" t="str">
        <f>VLOOKUP(L782,countries, 2,false)</f>
        <v>Netherlands</v>
      </c>
      <c r="N782" s="7" t="str">
        <f>VLOOKUP(L782,countries, 4,false)</f>
        <v>Europe</v>
      </c>
      <c r="O782" s="7" t="str">
        <f>VLOOKUP(L782,countries, 5,false)</f>
        <v>Western Europe</v>
      </c>
      <c r="P782" s="7" t="s">
        <v>212</v>
      </c>
      <c r="Q782" s="7">
        <v>4077.0</v>
      </c>
      <c r="R782" s="12">
        <v>255.28</v>
      </c>
      <c r="S782" s="12">
        <v>159.42</v>
      </c>
      <c r="T782" s="13">
        <f t="shared" si="6"/>
        <v>1040776.56</v>
      </c>
      <c r="U782" s="13">
        <f t="shared" si="7"/>
        <v>140605.92</v>
      </c>
      <c r="V782" s="13">
        <f t="shared" si="8"/>
        <v>900170.64</v>
      </c>
      <c r="W782" s="14">
        <f>Q782/totals!B$2</f>
        <v>0.0006199323533</v>
      </c>
      <c r="X782" s="14">
        <f t="shared" si="9"/>
        <v>0.5842581887</v>
      </c>
      <c r="Y782" s="14">
        <f>T782/totals!B$5</f>
        <v>0.0006114556008</v>
      </c>
      <c r="Z782" s="14">
        <f t="shared" si="10"/>
        <v>0.5720052621</v>
      </c>
      <c r="AA782" s="14">
        <f>V782/totals!B$4</f>
        <v>0.001794918542</v>
      </c>
      <c r="AB782" s="14">
        <f t="shared" si="11"/>
        <v>0.5844330026</v>
      </c>
    </row>
    <row r="783">
      <c r="A783" s="7">
        <v>8969.0</v>
      </c>
      <c r="B783" s="7" t="str">
        <f>VLOOKUP($A783,product_category,2, False)</f>
        <v>Snacks</v>
      </c>
      <c r="C783" s="7">
        <v>6.11791121E8</v>
      </c>
      <c r="D783" s="9">
        <v>42394.0</v>
      </c>
      <c r="E783" s="10">
        <f t="shared" si="1"/>
        <v>1</v>
      </c>
      <c r="F783" s="10" t="str">
        <f t="shared" si="2"/>
        <v>Jan</v>
      </c>
      <c r="G783" s="11">
        <f t="shared" si="3"/>
        <v>25</v>
      </c>
      <c r="H783" s="7">
        <f t="shared" si="4"/>
        <v>2016</v>
      </c>
      <c r="I783" s="9">
        <v>42432.0</v>
      </c>
      <c r="J783" s="11">
        <f t="shared" si="5"/>
        <v>38</v>
      </c>
      <c r="K783" s="7" t="s">
        <v>198</v>
      </c>
      <c r="L783" s="7" t="s">
        <v>756</v>
      </c>
      <c r="M783" s="7" t="str">
        <f>VLOOKUP(L783,countries, 2,false)</f>
        <v>Ukraine</v>
      </c>
      <c r="N783" s="7" t="str">
        <f>VLOOKUP(L783,countries, 4,false)</f>
        <v>Europe</v>
      </c>
      <c r="O783" s="7" t="str">
        <f>VLOOKUP(L783,countries, 5,false)</f>
        <v>Eastern Europe</v>
      </c>
      <c r="P783" s="7" t="s">
        <v>212</v>
      </c>
      <c r="Q783" s="7">
        <v>1443.0</v>
      </c>
      <c r="R783" s="12">
        <v>152.58</v>
      </c>
      <c r="S783" s="12">
        <v>97.44</v>
      </c>
      <c r="T783" s="13">
        <f t="shared" si="6"/>
        <v>220172.94</v>
      </c>
      <c r="U783" s="13">
        <f t="shared" si="7"/>
        <v>2195645.54</v>
      </c>
      <c r="V783" s="13">
        <f t="shared" si="8"/>
        <v>-1975472.6</v>
      </c>
      <c r="W783" s="14">
        <f>Q783/totals!B$2</f>
        <v>0.0002194168226</v>
      </c>
      <c r="X783" s="14">
        <f t="shared" si="9"/>
        <v>0.5844776055</v>
      </c>
      <c r="Y783" s="14">
        <f>T783/totals!B$5</f>
        <v>0.0001293514694</v>
      </c>
      <c r="Z783" s="14">
        <f t="shared" si="10"/>
        <v>0.5721346136</v>
      </c>
      <c r="AA783" s="14">
        <f>V783/totals!B$4</f>
        <v>-0.003939044712</v>
      </c>
      <c r="AB783" s="14">
        <f t="shared" si="11"/>
        <v>0.5804939579</v>
      </c>
    </row>
    <row r="784">
      <c r="A784" s="7">
        <v>8293.0</v>
      </c>
      <c r="B784" s="7" t="str">
        <f>VLOOKUP($A784,product_category,2, False)</f>
        <v>Cosmetics</v>
      </c>
      <c r="C784" s="7">
        <v>6.13166129E8</v>
      </c>
      <c r="D784" s="9">
        <v>40788.0</v>
      </c>
      <c r="E784" s="10">
        <f t="shared" si="1"/>
        <v>9</v>
      </c>
      <c r="F784" s="10" t="str">
        <f t="shared" si="2"/>
        <v>Sep</v>
      </c>
      <c r="G784" s="11">
        <f t="shared" si="3"/>
        <v>2</v>
      </c>
      <c r="H784" s="7">
        <f t="shared" si="4"/>
        <v>2011</v>
      </c>
      <c r="I784" s="9">
        <v>40837.0</v>
      </c>
      <c r="J784" s="11">
        <f t="shared" si="5"/>
        <v>49</v>
      </c>
      <c r="K784" s="7" t="s">
        <v>110</v>
      </c>
      <c r="L784" s="7" t="s">
        <v>107</v>
      </c>
      <c r="M784" s="7" t="str">
        <f>VLOOKUP(L784,countries, 2,false)</f>
        <v>Belarus</v>
      </c>
      <c r="N784" s="7" t="str">
        <f>VLOOKUP(L784,countries, 4,false)</f>
        <v>Europe</v>
      </c>
      <c r="O784" s="7" t="str">
        <f>VLOOKUP(L784,countries, 5,false)</f>
        <v>Eastern Europe</v>
      </c>
      <c r="P784" s="7" t="s">
        <v>212</v>
      </c>
      <c r="Q784" s="7">
        <v>8338.0</v>
      </c>
      <c r="R784" s="12">
        <v>437.2</v>
      </c>
      <c r="S784" s="12">
        <v>263.33</v>
      </c>
      <c r="T784" s="13">
        <f t="shared" si="6"/>
        <v>3645373.6</v>
      </c>
      <c r="U784" s="13">
        <f t="shared" si="7"/>
        <v>110934.6</v>
      </c>
      <c r="V784" s="13">
        <f t="shared" si="8"/>
        <v>3534439</v>
      </c>
      <c r="W784" s="14">
        <f>Q784/totals!B$2</f>
        <v>0.001267843013</v>
      </c>
      <c r="X784" s="14">
        <f t="shared" si="9"/>
        <v>0.5857454485</v>
      </c>
      <c r="Y784" s="14">
        <f>T784/totals!B$5</f>
        <v>0.00214165479</v>
      </c>
      <c r="Z784" s="14">
        <f t="shared" si="10"/>
        <v>0.5742762684</v>
      </c>
      <c r="AA784" s="14">
        <f>V784/totals!B$4</f>
        <v>0.007047586108</v>
      </c>
      <c r="AB784" s="14">
        <f t="shared" si="11"/>
        <v>0.587541544</v>
      </c>
    </row>
    <row r="785">
      <c r="A785" s="7">
        <v>5988.0</v>
      </c>
      <c r="B785" s="7" t="str">
        <f>VLOOKUP($A785,product_category,2, False)</f>
        <v>Vegetables</v>
      </c>
      <c r="C785" s="7">
        <v>6.14054477E8</v>
      </c>
      <c r="D785" s="9">
        <v>42594.0</v>
      </c>
      <c r="E785" s="10">
        <f t="shared" si="1"/>
        <v>8</v>
      </c>
      <c r="F785" s="10" t="str">
        <f t="shared" si="2"/>
        <v>Aug</v>
      </c>
      <c r="G785" s="11">
        <f t="shared" si="3"/>
        <v>12</v>
      </c>
      <c r="H785" s="7">
        <f t="shared" si="4"/>
        <v>2016</v>
      </c>
      <c r="I785" s="9">
        <v>42598.0</v>
      </c>
      <c r="J785" s="11">
        <f t="shared" si="5"/>
        <v>4</v>
      </c>
      <c r="K785" s="7" t="s">
        <v>198</v>
      </c>
      <c r="L785" s="7" t="s">
        <v>107</v>
      </c>
      <c r="M785" s="7" t="str">
        <f>VLOOKUP(L785,countries, 2,false)</f>
        <v>Belarus</v>
      </c>
      <c r="N785" s="7" t="str">
        <f>VLOOKUP(L785,countries, 4,false)</f>
        <v>Europe</v>
      </c>
      <c r="O785" s="7" t="str">
        <f>VLOOKUP(L785,countries, 5,false)</f>
        <v>Eastern Europe</v>
      </c>
      <c r="P785" s="7" t="s">
        <v>129</v>
      </c>
      <c r="Q785" s="7">
        <v>1220.0</v>
      </c>
      <c r="R785" s="12">
        <v>154.06</v>
      </c>
      <c r="S785" s="12">
        <v>90.93</v>
      </c>
      <c r="T785" s="13">
        <f t="shared" si="6"/>
        <v>187953.2</v>
      </c>
      <c r="U785" s="13">
        <f t="shared" si="7"/>
        <v>123629.91</v>
      </c>
      <c r="V785" s="13">
        <f t="shared" si="8"/>
        <v>64323.29</v>
      </c>
      <c r="W785" s="14">
        <f>Q785/totals!B$2</f>
        <v>0.0001855083324</v>
      </c>
      <c r="X785" s="14">
        <f t="shared" si="9"/>
        <v>0.5859309568</v>
      </c>
      <c r="Y785" s="14">
        <f>T785/totals!B$5</f>
        <v>0.0001104223916</v>
      </c>
      <c r="Z785" s="14">
        <f t="shared" si="10"/>
        <v>0.5743866908</v>
      </c>
      <c r="AA785" s="14">
        <f>V785/totals!B$4</f>
        <v>0.0001282590886</v>
      </c>
      <c r="AB785" s="14">
        <f t="shared" si="11"/>
        <v>0.5876698031</v>
      </c>
    </row>
    <row r="786">
      <c r="A786" s="7">
        <v>8875.0</v>
      </c>
      <c r="B786" s="7" t="str">
        <f>VLOOKUP($A786,product_category,2, False)</f>
        <v>Meat</v>
      </c>
      <c r="C786" s="7">
        <v>6.14321839E8</v>
      </c>
      <c r="D786" s="9">
        <v>42513.0</v>
      </c>
      <c r="E786" s="10">
        <f t="shared" si="1"/>
        <v>5</v>
      </c>
      <c r="F786" s="10" t="str">
        <f t="shared" si="2"/>
        <v>May</v>
      </c>
      <c r="G786" s="11">
        <f t="shared" si="3"/>
        <v>23</v>
      </c>
      <c r="H786" s="7">
        <f t="shared" si="4"/>
        <v>2016</v>
      </c>
      <c r="I786" s="9">
        <v>42556.0</v>
      </c>
      <c r="J786" s="11">
        <f t="shared" si="5"/>
        <v>43</v>
      </c>
      <c r="K786" s="7" t="s">
        <v>382</v>
      </c>
      <c r="L786" s="7" t="s">
        <v>642</v>
      </c>
      <c r="M786" s="7" t="str">
        <f>VLOOKUP(L786,countries, 2,false)</f>
        <v>San Marino</v>
      </c>
      <c r="N786" s="7" t="str">
        <f>VLOOKUP(L786,countries, 4,false)</f>
        <v>Europe</v>
      </c>
      <c r="O786" s="7" t="str">
        <f>VLOOKUP(L786,countries, 5,false)</f>
        <v>Southern Europe</v>
      </c>
      <c r="P786" s="7" t="s">
        <v>129</v>
      </c>
      <c r="Q786" s="7">
        <v>339.0</v>
      </c>
      <c r="R786" s="12">
        <v>421.89</v>
      </c>
      <c r="S786" s="12">
        <v>364.69</v>
      </c>
      <c r="T786" s="13">
        <f t="shared" si="6"/>
        <v>143020.71</v>
      </c>
      <c r="U786" s="13">
        <f t="shared" si="7"/>
        <v>525870.01</v>
      </c>
      <c r="V786" s="13">
        <f t="shared" si="8"/>
        <v>-382849.3</v>
      </c>
      <c r="W786" s="14">
        <f>Q786/totals!B$2</f>
        <v>0.00005154698744</v>
      </c>
      <c r="X786" s="14">
        <f t="shared" si="9"/>
        <v>0.5859825038</v>
      </c>
      <c r="Y786" s="14">
        <f>T786/totals!B$5</f>
        <v>0.0000840245808</v>
      </c>
      <c r="Z786" s="14">
        <f t="shared" si="10"/>
        <v>0.5744707153</v>
      </c>
      <c r="AA786" s="14">
        <f>V786/totals!B$4</f>
        <v>-0.000763392269</v>
      </c>
      <c r="AB786" s="14">
        <f t="shared" si="11"/>
        <v>0.5869064108</v>
      </c>
    </row>
    <row r="787">
      <c r="A787" s="7">
        <v>8293.0</v>
      </c>
      <c r="B787" s="7" t="str">
        <f>VLOOKUP($A787,product_category,2, False)</f>
        <v>Cosmetics</v>
      </c>
      <c r="C787" s="7">
        <v>6.14597785E8</v>
      </c>
      <c r="D787" s="9">
        <v>41727.0</v>
      </c>
      <c r="E787" s="10">
        <f t="shared" si="1"/>
        <v>3</v>
      </c>
      <c r="F787" s="10" t="str">
        <f t="shared" si="2"/>
        <v>Mar</v>
      </c>
      <c r="G787" s="11">
        <f t="shared" si="3"/>
        <v>29</v>
      </c>
      <c r="H787" s="7">
        <f t="shared" si="4"/>
        <v>2014</v>
      </c>
      <c r="I787" s="9">
        <v>41773.0</v>
      </c>
      <c r="J787" s="11">
        <f t="shared" si="5"/>
        <v>46</v>
      </c>
      <c r="K787" s="7" t="s">
        <v>198</v>
      </c>
      <c r="L787" s="7" t="s">
        <v>323</v>
      </c>
      <c r="M787" s="7" t="str">
        <f>VLOOKUP(L787,countries, 2,false)</f>
        <v>Montenegro</v>
      </c>
      <c r="N787" s="7" t="str">
        <f>VLOOKUP(L787,countries, 4,false)</f>
        <v>Europe</v>
      </c>
      <c r="O787" s="7" t="str">
        <f>VLOOKUP(L787,countries, 5,false)</f>
        <v>Southern Europe</v>
      </c>
      <c r="P787" s="7" t="s">
        <v>212</v>
      </c>
      <c r="Q787" s="7">
        <v>1997.0</v>
      </c>
      <c r="R787" s="12">
        <v>437.2</v>
      </c>
      <c r="S787" s="12">
        <v>263.33</v>
      </c>
      <c r="T787" s="13">
        <f t="shared" si="6"/>
        <v>873088.4</v>
      </c>
      <c r="U787" s="13">
        <f t="shared" si="7"/>
        <v>570091.48</v>
      </c>
      <c r="V787" s="13">
        <f t="shared" si="8"/>
        <v>302996.92</v>
      </c>
      <c r="W787" s="14">
        <f>Q787/totals!B$2</f>
        <v>0.0003036558522</v>
      </c>
      <c r="X787" s="14">
        <f t="shared" si="9"/>
        <v>0.5862861597</v>
      </c>
      <c r="Y787" s="14">
        <f>T787/totals!B$5</f>
        <v>0.000512938908</v>
      </c>
      <c r="Z787" s="14">
        <f t="shared" si="10"/>
        <v>0.5749836542</v>
      </c>
      <c r="AA787" s="14">
        <f>V787/totals!B$4</f>
        <v>0.0006041685495</v>
      </c>
      <c r="AB787" s="14">
        <f t="shared" si="11"/>
        <v>0.5875105794</v>
      </c>
    </row>
    <row r="788">
      <c r="A788" s="7">
        <v>2103.0</v>
      </c>
      <c r="B788" s="7" t="str">
        <f>VLOOKUP($A788,product_category,2, False)</f>
        <v>Cereal</v>
      </c>
      <c r="C788" s="7">
        <v>6.15080583E8</v>
      </c>
      <c r="D788" s="9">
        <v>42227.0</v>
      </c>
      <c r="E788" s="10">
        <f t="shared" si="1"/>
        <v>8</v>
      </c>
      <c r="F788" s="10" t="str">
        <f t="shared" si="2"/>
        <v>Aug</v>
      </c>
      <c r="G788" s="11">
        <f t="shared" si="3"/>
        <v>11</v>
      </c>
      <c r="H788" s="7">
        <f t="shared" si="4"/>
        <v>2015</v>
      </c>
      <c r="I788" s="9">
        <v>42266.0</v>
      </c>
      <c r="J788" s="11">
        <f t="shared" si="5"/>
        <v>39</v>
      </c>
      <c r="K788" s="7" t="s">
        <v>198</v>
      </c>
      <c r="L788" s="7" t="s">
        <v>597</v>
      </c>
      <c r="M788" s="7" t="str">
        <f>VLOOKUP(L788,countries, 2,false)</f>
        <v>Portugal</v>
      </c>
      <c r="N788" s="7" t="str">
        <f>VLOOKUP(L788,countries, 4,false)</f>
        <v>Europe</v>
      </c>
      <c r="O788" s="7" t="str">
        <f>VLOOKUP(L788,countries, 5,false)</f>
        <v>Southern Europe</v>
      </c>
      <c r="P788" s="7" t="s">
        <v>129</v>
      </c>
      <c r="Q788" s="7">
        <v>4868.0</v>
      </c>
      <c r="R788" s="12">
        <v>205.7</v>
      </c>
      <c r="S788" s="12">
        <v>117.11</v>
      </c>
      <c r="T788" s="13">
        <f t="shared" si="6"/>
        <v>1001347.6</v>
      </c>
      <c r="U788" s="13">
        <f t="shared" si="7"/>
        <v>2495208.98</v>
      </c>
      <c r="V788" s="13">
        <f t="shared" si="8"/>
        <v>-1493861.38</v>
      </c>
      <c r="W788" s="14">
        <f>Q788/totals!B$2</f>
        <v>0.0007402086573</v>
      </c>
      <c r="X788" s="14">
        <f t="shared" si="9"/>
        <v>0.5870263683</v>
      </c>
      <c r="Y788" s="14">
        <f>T788/totals!B$5</f>
        <v>0.0005882911106</v>
      </c>
      <c r="Z788" s="14">
        <f t="shared" si="10"/>
        <v>0.5755719453</v>
      </c>
      <c r="AA788" s="14">
        <f>V788/totals!B$4</f>
        <v>-0.002978723557</v>
      </c>
      <c r="AB788" s="14">
        <f t="shared" si="11"/>
        <v>0.5845318558</v>
      </c>
    </row>
    <row r="789">
      <c r="A789" s="7">
        <v>8875.0</v>
      </c>
      <c r="B789" s="7" t="str">
        <f>VLOOKUP($A789,product_category,2, False)</f>
        <v>Meat</v>
      </c>
      <c r="C789" s="7">
        <v>6.15290009E8</v>
      </c>
      <c r="D789" s="9">
        <v>42749.0</v>
      </c>
      <c r="E789" s="10">
        <f t="shared" si="1"/>
        <v>1</v>
      </c>
      <c r="F789" s="10" t="str">
        <f t="shared" si="2"/>
        <v>Jan</v>
      </c>
      <c r="G789" s="11">
        <f t="shared" si="3"/>
        <v>14</v>
      </c>
      <c r="H789" s="7">
        <f t="shared" si="4"/>
        <v>2017</v>
      </c>
      <c r="I789" s="9">
        <v>42753.0</v>
      </c>
      <c r="J789" s="11">
        <f t="shared" si="5"/>
        <v>4</v>
      </c>
      <c r="K789" s="7" t="s">
        <v>110</v>
      </c>
      <c r="L789" s="7" t="s">
        <v>307</v>
      </c>
      <c r="M789" s="7" t="str">
        <f>VLOOKUP(L789,countries, 2,false)</f>
        <v>Germany</v>
      </c>
      <c r="N789" s="7" t="str">
        <f>VLOOKUP(L789,countries, 4,false)</f>
        <v>Europe</v>
      </c>
      <c r="O789" s="7" t="str">
        <f>VLOOKUP(L789,countries, 5,false)</f>
        <v>Western Europe</v>
      </c>
      <c r="P789" s="7" t="s">
        <v>212</v>
      </c>
      <c r="Q789" s="7">
        <v>6842.0</v>
      </c>
      <c r="R789" s="12">
        <v>421.89</v>
      </c>
      <c r="S789" s="12">
        <v>364.69</v>
      </c>
      <c r="T789" s="13">
        <f t="shared" si="6"/>
        <v>2886571.38</v>
      </c>
      <c r="U789" s="13">
        <f t="shared" si="7"/>
        <v>3346620</v>
      </c>
      <c r="V789" s="13">
        <f t="shared" si="8"/>
        <v>-460048.62</v>
      </c>
      <c r="W789" s="14">
        <f>Q789/totals!B$2</f>
        <v>0.001040367221</v>
      </c>
      <c r="X789" s="14">
        <f t="shared" si="9"/>
        <v>0.5880667356</v>
      </c>
      <c r="Y789" s="14">
        <f>T789/totals!B$5</f>
        <v>0.001695858944</v>
      </c>
      <c r="Z789" s="14">
        <f t="shared" si="10"/>
        <v>0.5772678043</v>
      </c>
      <c r="AA789" s="14">
        <f>V789/totals!B$4</f>
        <v>-0.0009173258509</v>
      </c>
      <c r="AB789" s="14">
        <f t="shared" si="11"/>
        <v>0.58361453</v>
      </c>
    </row>
    <row r="790">
      <c r="A790" s="7">
        <v>8681.0</v>
      </c>
      <c r="B790" s="7" t="str">
        <f>VLOOKUP($A790,product_category,2, False)</f>
        <v>Office Supplies</v>
      </c>
      <c r="C790" s="7">
        <v>6.1677531E8</v>
      </c>
      <c r="D790" s="9">
        <v>40670.0</v>
      </c>
      <c r="E790" s="10">
        <f t="shared" si="1"/>
        <v>5</v>
      </c>
      <c r="F790" s="10" t="str">
        <f t="shared" si="2"/>
        <v>May</v>
      </c>
      <c r="G790" s="11">
        <f t="shared" si="3"/>
        <v>7</v>
      </c>
      <c r="H790" s="7">
        <f t="shared" si="4"/>
        <v>2011</v>
      </c>
      <c r="I790" s="9">
        <v>40687.0</v>
      </c>
      <c r="J790" s="11">
        <f t="shared" si="5"/>
        <v>17</v>
      </c>
      <c r="K790" s="7" t="s">
        <v>198</v>
      </c>
      <c r="L790" s="7" t="e">
        <v>#N/A</v>
      </c>
      <c r="M790" s="7"/>
      <c r="N790" s="7"/>
      <c r="O790" s="7"/>
      <c r="P790" s="7" t="s">
        <v>212</v>
      </c>
      <c r="Q790" s="7">
        <v>6375.0</v>
      </c>
      <c r="R790" s="12">
        <v>651.21</v>
      </c>
      <c r="S790" s="12">
        <v>524.96</v>
      </c>
      <c r="T790" s="13">
        <f t="shared" si="6"/>
        <v>4151463.75</v>
      </c>
      <c r="U790" s="13">
        <f t="shared" si="7"/>
        <v>3749450.94</v>
      </c>
      <c r="V790" s="13">
        <f t="shared" si="8"/>
        <v>402012.81</v>
      </c>
      <c r="W790" s="14">
        <f>Q790/totals!B$2</f>
        <v>0.0009693570646</v>
      </c>
      <c r="X790" s="14">
        <f t="shared" si="9"/>
        <v>0.5890360926</v>
      </c>
      <c r="Y790" s="14">
        <f>T790/totals!B$5</f>
        <v>0.002438982448</v>
      </c>
      <c r="Z790" s="14">
        <f t="shared" si="10"/>
        <v>0.5797067867</v>
      </c>
      <c r="AA790" s="14">
        <f>V790/totals!B$4</f>
        <v>0.0008016038457</v>
      </c>
      <c r="AB790" s="14">
        <f t="shared" si="11"/>
        <v>0.5844161338</v>
      </c>
    </row>
    <row r="791">
      <c r="A791" s="7">
        <v>7940.0</v>
      </c>
      <c r="B791" s="7" t="str">
        <f>VLOOKUP($A791,product_category,2, False)</f>
        <v>Household</v>
      </c>
      <c r="C791" s="7">
        <v>6.21577537E8</v>
      </c>
      <c r="D791" s="9">
        <v>42256.0</v>
      </c>
      <c r="E791" s="10">
        <f t="shared" si="1"/>
        <v>9</v>
      </c>
      <c r="F791" s="10" t="str">
        <f t="shared" si="2"/>
        <v>Sep</v>
      </c>
      <c r="G791" s="11">
        <f t="shared" si="3"/>
        <v>9</v>
      </c>
      <c r="H791" s="7">
        <f t="shared" si="4"/>
        <v>2015</v>
      </c>
      <c r="I791" s="9">
        <v>42263.0</v>
      </c>
      <c r="J791" s="11">
        <f t="shared" si="5"/>
        <v>7</v>
      </c>
      <c r="K791" s="7" t="s">
        <v>322</v>
      </c>
      <c r="L791" s="7" t="s">
        <v>77</v>
      </c>
      <c r="M791" s="7" t="str">
        <f>VLOOKUP(L791,countries, 2,false)</f>
        <v>Armenia</v>
      </c>
      <c r="N791" s="7" t="str">
        <f>VLOOKUP(L791,countries, 4,false)</f>
        <v>Asia</v>
      </c>
      <c r="O791" s="7" t="str">
        <f>VLOOKUP(L791,countries, 5,false)</f>
        <v>Western Asia</v>
      </c>
      <c r="P791" s="7" t="s">
        <v>212</v>
      </c>
      <c r="Q791" s="7">
        <v>7461.0</v>
      </c>
      <c r="R791" s="12">
        <v>668.27</v>
      </c>
      <c r="S791" s="12">
        <v>502.54</v>
      </c>
      <c r="T791" s="13">
        <f t="shared" si="6"/>
        <v>4985962.47</v>
      </c>
      <c r="U791" s="13">
        <f t="shared" si="7"/>
        <v>115799.04</v>
      </c>
      <c r="V791" s="13">
        <f t="shared" si="8"/>
        <v>4870163.43</v>
      </c>
      <c r="W791" s="14">
        <f>Q791/totals!B$2</f>
        <v>0.001134489892</v>
      </c>
      <c r="X791" s="14">
        <f t="shared" si="9"/>
        <v>0.5901705825</v>
      </c>
      <c r="Y791" s="14">
        <f>T791/totals!B$5</f>
        <v>0.002929249942</v>
      </c>
      <c r="Z791" s="14">
        <f t="shared" si="10"/>
        <v>0.5826360367</v>
      </c>
      <c r="AA791" s="14">
        <f>V791/totals!B$4</f>
        <v>0.009710988401</v>
      </c>
      <c r="AB791" s="14">
        <f t="shared" si="11"/>
        <v>0.5941271222</v>
      </c>
    </row>
    <row r="792">
      <c r="A792" s="7">
        <v>2455.0</v>
      </c>
      <c r="B792" s="7" t="str">
        <f>VLOOKUP($A792,product_category,2, False)</f>
        <v>Clothes</v>
      </c>
      <c r="C792" s="7">
        <v>6.22441852E8</v>
      </c>
      <c r="D792" s="9">
        <v>41055.0</v>
      </c>
      <c r="E792" s="10">
        <f t="shared" si="1"/>
        <v>5</v>
      </c>
      <c r="F792" s="10" t="str">
        <f t="shared" si="2"/>
        <v>May</v>
      </c>
      <c r="G792" s="11">
        <f t="shared" si="3"/>
        <v>26</v>
      </c>
      <c r="H792" s="7">
        <f t="shared" si="4"/>
        <v>2012</v>
      </c>
      <c r="I792" s="9">
        <v>41057.0</v>
      </c>
      <c r="J792" s="11">
        <f t="shared" si="5"/>
        <v>2</v>
      </c>
      <c r="K792" s="7" t="s">
        <v>322</v>
      </c>
      <c r="L792" s="7" t="s">
        <v>670</v>
      </c>
      <c r="M792" s="7" t="str">
        <f>VLOOKUP(L792,countries, 2,false)</f>
        <v>Slovenia</v>
      </c>
      <c r="N792" s="7" t="str">
        <f>VLOOKUP(L792,countries, 4,false)</f>
        <v>Europe</v>
      </c>
      <c r="O792" s="7" t="str">
        <f>VLOOKUP(L792,countries, 5,false)</f>
        <v>Southern Europe</v>
      </c>
      <c r="P792" s="7" t="s">
        <v>129</v>
      </c>
      <c r="Q792" s="7">
        <v>3231.0</v>
      </c>
      <c r="R792" s="12">
        <v>109.28</v>
      </c>
      <c r="S792" s="12">
        <v>35.84</v>
      </c>
      <c r="T792" s="13">
        <f t="shared" si="6"/>
        <v>353083.68</v>
      </c>
      <c r="U792" s="13">
        <f t="shared" si="7"/>
        <v>10539.16</v>
      </c>
      <c r="V792" s="13">
        <f t="shared" si="8"/>
        <v>342544.52</v>
      </c>
      <c r="W792" s="14">
        <f>Q792/totals!B$2</f>
        <v>0.0004912929687</v>
      </c>
      <c r="X792" s="14">
        <f t="shared" si="9"/>
        <v>0.5906618755</v>
      </c>
      <c r="Y792" s="14">
        <f>T792/totals!B$5</f>
        <v>0.0002074364489</v>
      </c>
      <c r="Z792" s="14">
        <f t="shared" si="10"/>
        <v>0.5828434731</v>
      </c>
      <c r="AA792" s="14">
        <f>V792/totals!B$4</f>
        <v>0.00068302551</v>
      </c>
      <c r="AB792" s="14">
        <f t="shared" si="11"/>
        <v>0.5948101477</v>
      </c>
    </row>
    <row r="793">
      <c r="A793" s="7">
        <v>4594.0</v>
      </c>
      <c r="B793" s="7" t="str">
        <f>VLOOKUP($A793,product_category,2, False)</f>
        <v>Fruits</v>
      </c>
      <c r="C793" s="7">
        <v>6.2382158E8</v>
      </c>
      <c r="D793" s="9">
        <v>42658.0</v>
      </c>
      <c r="E793" s="10">
        <f t="shared" si="1"/>
        <v>10</v>
      </c>
      <c r="F793" s="10" t="str">
        <f t="shared" si="2"/>
        <v>Oct</v>
      </c>
      <c r="G793" s="11">
        <f t="shared" si="3"/>
        <v>15</v>
      </c>
      <c r="H793" s="7">
        <f t="shared" si="4"/>
        <v>2016</v>
      </c>
      <c r="I793" s="9">
        <v>42674.0</v>
      </c>
      <c r="J793" s="11">
        <f t="shared" si="5"/>
        <v>16</v>
      </c>
      <c r="K793" s="7" t="s">
        <v>322</v>
      </c>
      <c r="L793" s="7" t="s">
        <v>136</v>
      </c>
      <c r="M793" s="7" t="str">
        <f>VLOOKUP(L793,countries, 2,false)</f>
        <v>Bosnia and Herzegovina</v>
      </c>
      <c r="N793" s="7" t="str">
        <f>VLOOKUP(L793,countries, 4,false)</f>
        <v>Europe</v>
      </c>
      <c r="O793" s="7" t="str">
        <f>VLOOKUP(L793,countries, 5,false)</f>
        <v>Southern Europe</v>
      </c>
      <c r="P793" s="7" t="s">
        <v>212</v>
      </c>
      <c r="Q793" s="7">
        <v>1523.0</v>
      </c>
      <c r="R793" s="12">
        <v>9.33</v>
      </c>
      <c r="S793" s="12">
        <v>6.92</v>
      </c>
      <c r="T793" s="13">
        <f t="shared" si="6"/>
        <v>14209.59</v>
      </c>
      <c r="U793" s="13">
        <f t="shared" si="7"/>
        <v>3856881.12</v>
      </c>
      <c r="V793" s="13">
        <f t="shared" si="8"/>
        <v>-3842671.53</v>
      </c>
      <c r="W793" s="14">
        <f>Q793/totals!B$2</f>
        <v>0.0002315813034</v>
      </c>
      <c r="X793" s="14">
        <f t="shared" si="9"/>
        <v>0.5908934568</v>
      </c>
      <c r="Y793" s="14">
        <f>T793/totals!B$5</f>
        <v>0.000008348125549</v>
      </c>
      <c r="Z793" s="14">
        <f t="shared" si="10"/>
        <v>0.5828518213</v>
      </c>
      <c r="AA793" s="14">
        <f>V793/totals!B$4</f>
        <v>-0.007662194337</v>
      </c>
      <c r="AB793" s="14">
        <f t="shared" si="11"/>
        <v>0.5871479534</v>
      </c>
    </row>
    <row r="794">
      <c r="A794" s="7">
        <v>8681.0</v>
      </c>
      <c r="B794" s="7" t="str">
        <f>VLOOKUP($A794,product_category,2, False)</f>
        <v>Office Supplies</v>
      </c>
      <c r="C794" s="7">
        <v>6.24348151E8</v>
      </c>
      <c r="D794" s="9">
        <v>41227.0</v>
      </c>
      <c r="E794" s="10">
        <f t="shared" si="1"/>
        <v>11</v>
      </c>
      <c r="F794" s="10" t="str">
        <f t="shared" si="2"/>
        <v>Nov</v>
      </c>
      <c r="G794" s="11">
        <f t="shared" si="3"/>
        <v>14</v>
      </c>
      <c r="H794" s="7">
        <f t="shared" si="4"/>
        <v>2012</v>
      </c>
      <c r="I794" s="9">
        <v>41251.0</v>
      </c>
      <c r="J794" s="11">
        <f t="shared" si="5"/>
        <v>24</v>
      </c>
      <c r="K794" s="7" t="s">
        <v>198</v>
      </c>
      <c r="L794" s="7" t="s">
        <v>756</v>
      </c>
      <c r="M794" s="7" t="str">
        <f>VLOOKUP(L794,countries, 2,false)</f>
        <v>Ukraine</v>
      </c>
      <c r="N794" s="7" t="str">
        <f>VLOOKUP(L794,countries, 4,false)</f>
        <v>Europe</v>
      </c>
      <c r="O794" s="7" t="str">
        <f>VLOOKUP(L794,countries, 5,false)</f>
        <v>Eastern Europe</v>
      </c>
      <c r="P794" s="7" t="s">
        <v>129</v>
      </c>
      <c r="Q794" s="7">
        <v>7347.0</v>
      </c>
      <c r="R794" s="12">
        <v>651.21</v>
      </c>
      <c r="S794" s="12">
        <v>524.96</v>
      </c>
      <c r="T794" s="13">
        <f t="shared" si="6"/>
        <v>4784439.87</v>
      </c>
      <c r="U794" s="13">
        <f t="shared" si="7"/>
        <v>1158061.76</v>
      </c>
      <c r="V794" s="13">
        <f t="shared" si="8"/>
        <v>3626378.11</v>
      </c>
      <c r="W794" s="14">
        <f>Q794/totals!B$2</f>
        <v>0.001117155506</v>
      </c>
      <c r="X794" s="14">
        <f t="shared" si="9"/>
        <v>0.5920106123</v>
      </c>
      <c r="Y794" s="14">
        <f>T794/totals!B$5</f>
        <v>0.002810855536</v>
      </c>
      <c r="Z794" s="14">
        <f t="shared" si="10"/>
        <v>0.5856626768</v>
      </c>
      <c r="AA794" s="14">
        <f>V794/totals!B$4</f>
        <v>0.007230910475</v>
      </c>
      <c r="AB794" s="14">
        <f t="shared" si="11"/>
        <v>0.5943788639</v>
      </c>
    </row>
    <row r="795">
      <c r="A795" s="7">
        <v>8681.0</v>
      </c>
      <c r="B795" s="7" t="str">
        <f>VLOOKUP($A795,product_category,2, False)</f>
        <v>Office Supplies</v>
      </c>
      <c r="C795" s="7">
        <v>6.24398362E8</v>
      </c>
      <c r="D795" s="9">
        <v>42916.0</v>
      </c>
      <c r="E795" s="10">
        <f t="shared" si="1"/>
        <v>6</v>
      </c>
      <c r="F795" s="10" t="str">
        <f t="shared" si="2"/>
        <v>Jun</v>
      </c>
      <c r="G795" s="11">
        <f t="shared" si="3"/>
        <v>30</v>
      </c>
      <c r="H795" s="7">
        <f t="shared" si="4"/>
        <v>2017</v>
      </c>
      <c r="I795" s="9">
        <v>42940.0</v>
      </c>
      <c r="J795" s="11">
        <f t="shared" si="5"/>
        <v>24</v>
      </c>
      <c r="K795" s="7" t="s">
        <v>198</v>
      </c>
      <c r="L795" s="7" t="s">
        <v>107</v>
      </c>
      <c r="M795" s="7" t="str">
        <f>VLOOKUP(L795,countries, 2,false)</f>
        <v>Belarus</v>
      </c>
      <c r="N795" s="7" t="str">
        <f>VLOOKUP(L795,countries, 4,false)</f>
        <v>Europe</v>
      </c>
      <c r="O795" s="7" t="str">
        <f>VLOOKUP(L795,countries, 5,false)</f>
        <v>Eastern Europe</v>
      </c>
      <c r="P795" s="7" t="s">
        <v>212</v>
      </c>
      <c r="Q795" s="7">
        <v>2206.0</v>
      </c>
      <c r="R795" s="12">
        <v>651.21</v>
      </c>
      <c r="S795" s="12">
        <v>524.96</v>
      </c>
      <c r="T795" s="13">
        <f t="shared" si="6"/>
        <v>1436569.26</v>
      </c>
      <c r="U795" s="13">
        <f t="shared" si="7"/>
        <v>685184.66</v>
      </c>
      <c r="V795" s="13">
        <f t="shared" si="8"/>
        <v>751384.6</v>
      </c>
      <c r="W795" s="14">
        <f>Q795/totals!B$2</f>
        <v>0.0003354355584</v>
      </c>
      <c r="X795" s="14">
        <f t="shared" si="9"/>
        <v>0.5923460479</v>
      </c>
      <c r="Y795" s="14">
        <f>T795/totals!B$5</f>
        <v>0.0008439835732</v>
      </c>
      <c r="Z795" s="14">
        <f t="shared" si="10"/>
        <v>0.5865066604</v>
      </c>
      <c r="AA795" s="14">
        <f>V795/totals!B$4</f>
        <v>0.001498242767</v>
      </c>
      <c r="AB795" s="14">
        <f t="shared" si="11"/>
        <v>0.5958771066</v>
      </c>
    </row>
    <row r="796">
      <c r="A796" s="7">
        <v>8293.0</v>
      </c>
      <c r="B796" s="7" t="str">
        <f>VLOOKUP($A796,product_category,2, False)</f>
        <v>Cosmetics</v>
      </c>
      <c r="C796" s="7">
        <v>6.24940383E8</v>
      </c>
      <c r="D796" s="9">
        <v>42431.0</v>
      </c>
      <c r="E796" s="10">
        <f t="shared" si="1"/>
        <v>3</v>
      </c>
      <c r="F796" s="10" t="str">
        <f t="shared" si="2"/>
        <v>Mar</v>
      </c>
      <c r="G796" s="11">
        <f t="shared" si="3"/>
        <v>2</v>
      </c>
      <c r="H796" s="7">
        <f t="shared" si="4"/>
        <v>2016</v>
      </c>
      <c r="I796" s="9">
        <v>42459.0</v>
      </c>
      <c r="J796" s="11">
        <f t="shared" si="5"/>
        <v>28</v>
      </c>
      <c r="K796" s="7" t="s">
        <v>382</v>
      </c>
      <c r="L796" s="7" t="s">
        <v>762</v>
      </c>
      <c r="M796" s="7" t="str">
        <f>VLOOKUP(L796,countries, 2,false)</f>
        <v>United Kingdom</v>
      </c>
      <c r="N796" s="7" t="str">
        <f>VLOOKUP(L796,countries, 4,false)</f>
        <v>Europe</v>
      </c>
      <c r="O796" s="7" t="str">
        <f>VLOOKUP(L796,countries, 5,false)</f>
        <v>Northern Europe</v>
      </c>
      <c r="P796" s="7" t="s">
        <v>212</v>
      </c>
      <c r="Q796" s="7">
        <v>2602.0</v>
      </c>
      <c r="R796" s="12">
        <v>437.2</v>
      </c>
      <c r="S796" s="12">
        <v>263.33</v>
      </c>
      <c r="T796" s="13">
        <f t="shared" si="6"/>
        <v>1137594.4</v>
      </c>
      <c r="U796" s="13">
        <f t="shared" si="7"/>
        <v>148702.08</v>
      </c>
      <c r="V796" s="13">
        <f t="shared" si="8"/>
        <v>988892.32</v>
      </c>
      <c r="W796" s="14">
        <f>Q796/totals!B$2</f>
        <v>0.0003956497384</v>
      </c>
      <c r="X796" s="14">
        <f t="shared" si="9"/>
        <v>0.5927416976</v>
      </c>
      <c r="Y796" s="14">
        <f>T796/totals!B$5</f>
        <v>0.0006683360234</v>
      </c>
      <c r="Z796" s="14">
        <f t="shared" si="10"/>
        <v>0.5871749964</v>
      </c>
      <c r="AA796" s="14">
        <f>V796/totals!B$4</f>
        <v>0.001971827432</v>
      </c>
      <c r="AB796" s="14">
        <f t="shared" si="11"/>
        <v>0.5978489341</v>
      </c>
    </row>
    <row r="797">
      <c r="A797" s="7">
        <v>3127.0</v>
      </c>
      <c r="B797" s="7" t="str">
        <f>VLOOKUP($A797,product_category,2, False)</f>
        <v>Personal Care</v>
      </c>
      <c r="C797" s="7">
        <v>6.25751483E8</v>
      </c>
      <c r="D797" s="9">
        <v>42276.0</v>
      </c>
      <c r="E797" s="10">
        <f t="shared" si="1"/>
        <v>9</v>
      </c>
      <c r="F797" s="10" t="str">
        <f t="shared" si="2"/>
        <v>Sep</v>
      </c>
      <c r="G797" s="11">
        <f t="shared" si="3"/>
        <v>29</v>
      </c>
      <c r="H797" s="7">
        <f t="shared" si="4"/>
        <v>2015</v>
      </c>
      <c r="I797" s="9">
        <v>42278.0</v>
      </c>
      <c r="J797" s="11">
        <f t="shared" si="5"/>
        <v>2</v>
      </c>
      <c r="K797" s="7" t="s">
        <v>382</v>
      </c>
      <c r="L797" s="7" t="s">
        <v>642</v>
      </c>
      <c r="M797" s="7" t="str">
        <f>VLOOKUP(L797,countries, 2,false)</f>
        <v>San Marino</v>
      </c>
      <c r="N797" s="7" t="str">
        <f>VLOOKUP(L797,countries, 4,false)</f>
        <v>Europe</v>
      </c>
      <c r="O797" s="7" t="str">
        <f>VLOOKUP(L797,countries, 5,false)</f>
        <v>Southern Europe</v>
      </c>
      <c r="P797" s="7" t="s">
        <v>212</v>
      </c>
      <c r="Q797" s="7">
        <v>2624.0</v>
      </c>
      <c r="R797" s="12">
        <v>81.73</v>
      </c>
      <c r="S797" s="12">
        <v>56.67</v>
      </c>
      <c r="T797" s="13">
        <f t="shared" si="6"/>
        <v>214459.52</v>
      </c>
      <c r="U797" s="13">
        <f t="shared" si="7"/>
        <v>348042.24</v>
      </c>
      <c r="V797" s="13">
        <f t="shared" si="8"/>
        <v>-133582.72</v>
      </c>
      <c r="W797" s="14">
        <f>Q797/totals!B$2</f>
        <v>0.0003989949706</v>
      </c>
      <c r="X797" s="14">
        <f t="shared" si="9"/>
        <v>0.5931406926</v>
      </c>
      <c r="Y797" s="14">
        <f>T797/totals!B$5</f>
        <v>0.0001259948386</v>
      </c>
      <c r="Z797" s="14">
        <f t="shared" si="10"/>
        <v>0.5873009912</v>
      </c>
      <c r="AA797" s="14">
        <f>V797/totals!B$4</f>
        <v>-0.0002663607214</v>
      </c>
      <c r="AB797" s="14">
        <f t="shared" si="11"/>
        <v>0.5975825734</v>
      </c>
    </row>
    <row r="798">
      <c r="A798" s="7">
        <v>2455.0</v>
      </c>
      <c r="B798" s="7" t="str">
        <f>VLOOKUP($A798,product_category,2, False)</f>
        <v>Clothes</v>
      </c>
      <c r="C798" s="7">
        <v>6.26011979E8</v>
      </c>
      <c r="D798" s="9">
        <v>40545.0</v>
      </c>
      <c r="E798" s="10">
        <f t="shared" si="1"/>
        <v>1</v>
      </c>
      <c r="F798" s="10" t="str">
        <f t="shared" si="2"/>
        <v>Jan</v>
      </c>
      <c r="G798" s="11">
        <f t="shared" si="3"/>
        <v>2</v>
      </c>
      <c r="H798" s="7">
        <f t="shared" si="4"/>
        <v>2011</v>
      </c>
      <c r="I798" s="9">
        <v>40554.0</v>
      </c>
      <c r="J798" s="11">
        <f t="shared" si="5"/>
        <v>9</v>
      </c>
      <c r="K798" s="7" t="s">
        <v>322</v>
      </c>
      <c r="L798" s="7" t="s">
        <v>505</v>
      </c>
      <c r="M798" s="7" t="str">
        <f>VLOOKUP(L798,countries, 2,false)</f>
        <v>Monaco</v>
      </c>
      <c r="N798" s="7" t="str">
        <f>VLOOKUP(L798,countries, 4,false)</f>
        <v>Europe</v>
      </c>
      <c r="O798" s="7" t="str">
        <f>VLOOKUP(L798,countries, 5,false)</f>
        <v>Western Europe</v>
      </c>
      <c r="P798" s="7" t="s">
        <v>212</v>
      </c>
      <c r="Q798" s="7">
        <v>9711.0</v>
      </c>
      <c r="R798" s="12">
        <v>109.28</v>
      </c>
      <c r="S798" s="12">
        <v>35.84</v>
      </c>
      <c r="T798" s="13">
        <f t="shared" si="6"/>
        <v>1061218.08</v>
      </c>
      <c r="U798" s="13">
        <f t="shared" si="7"/>
        <v>1000002.29</v>
      </c>
      <c r="V798" s="13">
        <f t="shared" si="8"/>
        <v>61215.79</v>
      </c>
      <c r="W798" s="14">
        <f>Q798/totals!B$2</f>
        <v>0.001476615914</v>
      </c>
      <c r="X798" s="14">
        <f t="shared" si="9"/>
        <v>0.5946173085</v>
      </c>
      <c r="Y798" s="14">
        <f>T798/totals!B$5</f>
        <v>0.0006234649815</v>
      </c>
      <c r="Z798" s="14">
        <f t="shared" si="10"/>
        <v>0.5879244562</v>
      </c>
      <c r="AA798" s="14">
        <f>V798/totals!B$4</f>
        <v>0.0001220628086</v>
      </c>
      <c r="AB798" s="14">
        <f t="shared" si="11"/>
        <v>0.5977046362</v>
      </c>
    </row>
    <row r="799">
      <c r="A799" s="7">
        <v>2103.0</v>
      </c>
      <c r="B799" s="7" t="str">
        <f>VLOOKUP($A799,product_category,2, False)</f>
        <v>Cereal</v>
      </c>
      <c r="C799" s="7">
        <v>6.26109397E8</v>
      </c>
      <c r="D799" s="9">
        <v>41128.0</v>
      </c>
      <c r="E799" s="10">
        <f t="shared" si="1"/>
        <v>8</v>
      </c>
      <c r="F799" s="10" t="str">
        <f t="shared" si="2"/>
        <v>Aug</v>
      </c>
      <c r="G799" s="11">
        <f t="shared" si="3"/>
        <v>7</v>
      </c>
      <c r="H799" s="7">
        <f t="shared" si="4"/>
        <v>2012</v>
      </c>
      <c r="I799" s="9">
        <v>41167.0</v>
      </c>
      <c r="J799" s="11">
        <f t="shared" si="5"/>
        <v>39</v>
      </c>
      <c r="K799" s="7" t="s">
        <v>198</v>
      </c>
      <c r="L799" s="7" t="s">
        <v>756</v>
      </c>
      <c r="M799" s="7" t="str">
        <f>VLOOKUP(L799,countries, 2,false)</f>
        <v>Ukraine</v>
      </c>
      <c r="N799" s="7" t="str">
        <f>VLOOKUP(L799,countries, 4,false)</f>
        <v>Europe</v>
      </c>
      <c r="O799" s="7" t="str">
        <f>VLOOKUP(L799,countries, 5,false)</f>
        <v>Eastern Europe</v>
      </c>
      <c r="P799" s="7" t="s">
        <v>129</v>
      </c>
      <c r="Q799" s="7">
        <v>8539.0</v>
      </c>
      <c r="R799" s="12">
        <v>205.7</v>
      </c>
      <c r="S799" s="12">
        <v>117.11</v>
      </c>
      <c r="T799" s="13">
        <f t="shared" si="6"/>
        <v>1756472.3</v>
      </c>
      <c r="U799" s="13">
        <f t="shared" si="7"/>
        <v>86648.43</v>
      </c>
      <c r="V799" s="13">
        <f t="shared" si="8"/>
        <v>1669823.87</v>
      </c>
      <c r="W799" s="14">
        <f>Q799/totals!B$2</f>
        <v>0.001298406271</v>
      </c>
      <c r="X799" s="14">
        <f t="shared" si="9"/>
        <v>0.5959157147</v>
      </c>
      <c r="Y799" s="14">
        <f>T799/totals!B$5</f>
        <v>0.001031926416</v>
      </c>
      <c r="Z799" s="14">
        <f t="shared" si="10"/>
        <v>0.5889563826</v>
      </c>
      <c r="AA799" s="14">
        <f>V799/totals!B$4</f>
        <v>0.003329588517</v>
      </c>
      <c r="AB799" s="14">
        <f t="shared" si="11"/>
        <v>0.6010342247</v>
      </c>
    </row>
    <row r="800">
      <c r="A800" s="7">
        <v>3127.0</v>
      </c>
      <c r="B800" s="7" t="str">
        <f>VLOOKUP($A800,product_category,2, False)</f>
        <v>Personal Care</v>
      </c>
      <c r="C800" s="7">
        <v>6.26322257E8</v>
      </c>
      <c r="D800" s="9">
        <v>42475.0</v>
      </c>
      <c r="E800" s="10">
        <f t="shared" si="1"/>
        <v>4</v>
      </c>
      <c r="F800" s="10" t="str">
        <f t="shared" si="2"/>
        <v>Apr</v>
      </c>
      <c r="G800" s="11">
        <f t="shared" si="3"/>
        <v>15</v>
      </c>
      <c r="H800" s="7">
        <f t="shared" si="4"/>
        <v>2016</v>
      </c>
      <c r="I800" s="9">
        <v>42495.0</v>
      </c>
      <c r="J800" s="11">
        <f t="shared" si="5"/>
        <v>20</v>
      </c>
      <c r="K800" s="7" t="s">
        <v>110</v>
      </c>
      <c r="L800" s="7" t="e">
        <v>#N/A</v>
      </c>
      <c r="M800" s="7"/>
      <c r="N800" s="7"/>
      <c r="O800" s="7"/>
      <c r="P800" s="7" t="s">
        <v>212</v>
      </c>
      <c r="Q800" s="7">
        <v>1529.0</v>
      </c>
      <c r="R800" s="12">
        <v>81.73</v>
      </c>
      <c r="S800" s="12">
        <v>56.67</v>
      </c>
      <c r="T800" s="13">
        <f t="shared" si="6"/>
        <v>124965.17</v>
      </c>
      <c r="U800" s="13">
        <f t="shared" si="7"/>
        <v>69255.79</v>
      </c>
      <c r="V800" s="13">
        <f t="shared" si="8"/>
        <v>55709.38</v>
      </c>
      <c r="W800" s="14">
        <f>Q800/totals!B$2</f>
        <v>0.0002324936395</v>
      </c>
      <c r="X800" s="14">
        <f t="shared" si="9"/>
        <v>0.5961482084</v>
      </c>
      <c r="Y800" s="14">
        <f>T800/totals!B$5</f>
        <v>0.00007341696195</v>
      </c>
      <c r="Z800" s="14">
        <f t="shared" si="10"/>
        <v>0.5890297996</v>
      </c>
      <c r="AA800" s="14">
        <f>V800/totals!B$4</f>
        <v>0.0001110831599</v>
      </c>
      <c r="AB800" s="14">
        <f t="shared" si="11"/>
        <v>0.6011453078</v>
      </c>
    </row>
    <row r="801">
      <c r="A801" s="7">
        <v>8293.0</v>
      </c>
      <c r="B801" s="7" t="str">
        <f>VLOOKUP($A801,product_category,2, False)</f>
        <v>Cosmetics</v>
      </c>
      <c r="C801" s="7">
        <v>6.26453149E8</v>
      </c>
      <c r="D801" s="9">
        <v>41418.0</v>
      </c>
      <c r="E801" s="10">
        <f t="shared" si="1"/>
        <v>5</v>
      </c>
      <c r="F801" s="10" t="str">
        <f t="shared" si="2"/>
        <v>May</v>
      </c>
      <c r="G801" s="11">
        <f t="shared" si="3"/>
        <v>24</v>
      </c>
      <c r="H801" s="7">
        <f t="shared" si="4"/>
        <v>2013</v>
      </c>
      <c r="I801" s="9">
        <v>41435.0</v>
      </c>
      <c r="J801" s="11">
        <f t="shared" si="5"/>
        <v>17</v>
      </c>
      <c r="K801" s="7" t="s">
        <v>198</v>
      </c>
      <c r="L801" s="7" t="s">
        <v>597</v>
      </c>
      <c r="M801" s="7" t="str">
        <f>VLOOKUP(L801,countries, 2,false)</f>
        <v>Portugal</v>
      </c>
      <c r="N801" s="7" t="str">
        <f>VLOOKUP(L801,countries, 4,false)</f>
        <v>Europe</v>
      </c>
      <c r="O801" s="7" t="str">
        <f>VLOOKUP(L801,countries, 5,false)</f>
        <v>Southern Europe</v>
      </c>
      <c r="P801" s="7" t="s">
        <v>212</v>
      </c>
      <c r="Q801" s="7">
        <v>263.0</v>
      </c>
      <c r="R801" s="12">
        <v>437.2</v>
      </c>
      <c r="S801" s="12">
        <v>263.33</v>
      </c>
      <c r="T801" s="13">
        <f t="shared" si="6"/>
        <v>114983.6</v>
      </c>
      <c r="U801" s="13">
        <f t="shared" si="7"/>
        <v>1166643.31</v>
      </c>
      <c r="V801" s="13">
        <f t="shared" si="8"/>
        <v>-1051659.71</v>
      </c>
      <c r="W801" s="14">
        <f>Q801/totals!B$2</f>
        <v>0.00003999073067</v>
      </c>
      <c r="X801" s="14">
        <f t="shared" si="9"/>
        <v>0.5961881991</v>
      </c>
      <c r="Y801" s="14">
        <f>T801/totals!B$5</f>
        <v>0.0000675527956</v>
      </c>
      <c r="Z801" s="14">
        <f t="shared" si="10"/>
        <v>0.5890973524</v>
      </c>
      <c r="AA801" s="14">
        <f>V801/totals!B$4</f>
        <v>-0.002096984093</v>
      </c>
      <c r="AB801" s="14">
        <f t="shared" si="11"/>
        <v>0.5990483237</v>
      </c>
    </row>
    <row r="802">
      <c r="A802" s="7">
        <v>8875.0</v>
      </c>
      <c r="B802" s="7" t="str">
        <f>VLOOKUP($A802,product_category,2, False)</f>
        <v>Meat</v>
      </c>
      <c r="C802" s="7">
        <v>6.27003753E8</v>
      </c>
      <c r="D802" s="9">
        <v>40228.0</v>
      </c>
      <c r="E802" s="10">
        <f t="shared" si="1"/>
        <v>2</v>
      </c>
      <c r="F802" s="10" t="str">
        <f t="shared" si="2"/>
        <v>Feb</v>
      </c>
      <c r="G802" s="11">
        <f t="shared" si="3"/>
        <v>19</v>
      </c>
      <c r="H802" s="7">
        <f t="shared" si="4"/>
        <v>2010</v>
      </c>
      <c r="I802" s="9">
        <v>40263.0</v>
      </c>
      <c r="J802" s="11">
        <f t="shared" si="5"/>
        <v>35</v>
      </c>
      <c r="K802" s="7" t="s">
        <v>110</v>
      </c>
      <c r="L802" s="7" t="s">
        <v>609</v>
      </c>
      <c r="M802" s="7" t="str">
        <f>VLOOKUP(L802,countries, 2,false)</f>
        <v>Romania</v>
      </c>
      <c r="N802" s="7" t="str">
        <f>VLOOKUP(L802,countries, 4,false)</f>
        <v>Europe</v>
      </c>
      <c r="O802" s="7" t="str">
        <f>VLOOKUP(L802,countries, 5,false)</f>
        <v>Eastern Europe</v>
      </c>
      <c r="P802" s="7" t="s">
        <v>212</v>
      </c>
      <c r="Q802" s="7">
        <v>3199.0</v>
      </c>
      <c r="R802" s="12">
        <v>421.89</v>
      </c>
      <c r="S802" s="12">
        <v>364.69</v>
      </c>
      <c r="T802" s="13">
        <f t="shared" si="6"/>
        <v>1349626.11</v>
      </c>
      <c r="U802" s="13">
        <f t="shared" si="7"/>
        <v>563356.47</v>
      </c>
      <c r="V802" s="13">
        <f t="shared" si="8"/>
        <v>786269.64</v>
      </c>
      <c r="W802" s="14">
        <f>Q802/totals!B$2</f>
        <v>0.0004864271764</v>
      </c>
      <c r="X802" s="14">
        <f t="shared" si="9"/>
        <v>0.5966746263</v>
      </c>
      <c r="Y802" s="14">
        <f>T802/totals!B$5</f>
        <v>0.0007929045251</v>
      </c>
      <c r="Z802" s="14">
        <f t="shared" si="10"/>
        <v>0.5898902569</v>
      </c>
      <c r="AA802" s="14">
        <f>V802/totals!B$4</f>
        <v>0.001567802696</v>
      </c>
      <c r="AB802" s="14">
        <f t="shared" si="11"/>
        <v>0.6006161264</v>
      </c>
    </row>
    <row r="803">
      <c r="A803" s="7">
        <v>3127.0</v>
      </c>
      <c r="B803" s="7" t="str">
        <f>VLOOKUP($A803,product_category,2, False)</f>
        <v>Personal Care</v>
      </c>
      <c r="C803" s="7">
        <v>6.27432048E8</v>
      </c>
      <c r="D803" s="9">
        <v>42157.0</v>
      </c>
      <c r="E803" s="10">
        <f t="shared" si="1"/>
        <v>6</v>
      </c>
      <c r="F803" s="10" t="str">
        <f t="shared" si="2"/>
        <v>Jun</v>
      </c>
      <c r="G803" s="11">
        <f t="shared" si="3"/>
        <v>2</v>
      </c>
      <c r="H803" s="7">
        <f t="shared" si="4"/>
        <v>2015</v>
      </c>
      <c r="I803" s="9">
        <v>42178.0</v>
      </c>
      <c r="J803" s="11">
        <f t="shared" si="5"/>
        <v>21</v>
      </c>
      <c r="K803" s="7" t="s">
        <v>198</v>
      </c>
      <c r="L803" s="7" t="s">
        <v>231</v>
      </c>
      <c r="M803" s="7" t="str">
        <f>VLOOKUP(L803,countries, 2,false)</f>
        <v>Cyprus</v>
      </c>
      <c r="N803" s="7" t="str">
        <f>VLOOKUP(L803,countries, 4,false)</f>
        <v>Asia</v>
      </c>
      <c r="O803" s="7" t="str">
        <f>VLOOKUP(L803,countries, 5,false)</f>
        <v>Western Asia</v>
      </c>
      <c r="P803" s="7" t="s">
        <v>129</v>
      </c>
      <c r="Q803" s="7">
        <v>9941.0</v>
      </c>
      <c r="R803" s="12">
        <v>81.73</v>
      </c>
      <c r="S803" s="12">
        <v>56.67</v>
      </c>
      <c r="T803" s="13">
        <f t="shared" si="6"/>
        <v>812477.93</v>
      </c>
      <c r="U803" s="13">
        <f t="shared" si="7"/>
        <v>2277801.44</v>
      </c>
      <c r="V803" s="13">
        <f t="shared" si="8"/>
        <v>-1465323.51</v>
      </c>
      <c r="W803" s="14">
        <f>Q803/totals!B$2</f>
        <v>0.001511588797</v>
      </c>
      <c r="X803" s="14">
        <f t="shared" si="9"/>
        <v>0.5981862151</v>
      </c>
      <c r="Y803" s="14">
        <f>T803/totals!B$5</f>
        <v>0.0004773302935</v>
      </c>
      <c r="Z803" s="14">
        <f t="shared" si="10"/>
        <v>0.5903675872</v>
      </c>
      <c r="AA803" s="14">
        <f>V803/totals!B$4</f>
        <v>-0.002921819732</v>
      </c>
      <c r="AB803" s="14">
        <f t="shared" si="11"/>
        <v>0.5976943067</v>
      </c>
    </row>
    <row r="804">
      <c r="A804" s="7">
        <v>8681.0</v>
      </c>
      <c r="B804" s="7" t="str">
        <f>VLOOKUP($A804,product_category,2, False)</f>
        <v>Office Supplies</v>
      </c>
      <c r="C804" s="7">
        <v>6.28055179E8</v>
      </c>
      <c r="D804" s="9">
        <v>42486.0</v>
      </c>
      <c r="E804" s="10">
        <f t="shared" si="1"/>
        <v>4</v>
      </c>
      <c r="F804" s="10" t="str">
        <f t="shared" si="2"/>
        <v>Apr</v>
      </c>
      <c r="G804" s="11">
        <f t="shared" si="3"/>
        <v>26</v>
      </c>
      <c r="H804" s="7">
        <f t="shared" si="4"/>
        <v>2016</v>
      </c>
      <c r="I804" s="9">
        <v>42503.0</v>
      </c>
      <c r="J804" s="11">
        <f t="shared" si="5"/>
        <v>17</v>
      </c>
      <c r="K804" s="7" t="s">
        <v>110</v>
      </c>
      <c r="L804" s="7" t="s">
        <v>264</v>
      </c>
      <c r="M804" s="7" t="str">
        <f>VLOOKUP(L804,countries, 2,false)</f>
        <v>Estonia</v>
      </c>
      <c r="N804" s="7" t="str">
        <f>VLOOKUP(L804,countries, 4,false)</f>
        <v>Europe</v>
      </c>
      <c r="O804" s="7" t="str">
        <f>VLOOKUP(L804,countries, 5,false)</f>
        <v>Northern Europe</v>
      </c>
      <c r="P804" s="7" t="s">
        <v>212</v>
      </c>
      <c r="Q804" s="7">
        <v>4339.0</v>
      </c>
      <c r="R804" s="12">
        <v>651.21</v>
      </c>
      <c r="S804" s="12">
        <v>524.96</v>
      </c>
      <c r="T804" s="13">
        <f t="shared" si="6"/>
        <v>2825600.19</v>
      </c>
      <c r="U804" s="13">
        <f t="shared" si="7"/>
        <v>43555.47</v>
      </c>
      <c r="V804" s="13">
        <f t="shared" si="8"/>
        <v>2782044.72</v>
      </c>
      <c r="W804" s="14">
        <f>Q804/totals!B$2</f>
        <v>0.000659771028</v>
      </c>
      <c r="X804" s="14">
        <f t="shared" si="9"/>
        <v>0.5988459861</v>
      </c>
      <c r="Y804" s="14">
        <f>T804/totals!B$5</f>
        <v>0.001660038406</v>
      </c>
      <c r="Z804" s="14">
        <f t="shared" si="10"/>
        <v>0.5920276256</v>
      </c>
      <c r="AA804" s="14">
        <f>V804/totals!B$4</f>
        <v>0.005547330063</v>
      </c>
      <c r="AB804" s="14">
        <f t="shared" si="11"/>
        <v>0.6032416368</v>
      </c>
    </row>
    <row r="805">
      <c r="A805" s="7">
        <v>5988.0</v>
      </c>
      <c r="B805" s="7" t="str">
        <f>VLOOKUP($A805,product_category,2, False)</f>
        <v>Vegetables</v>
      </c>
      <c r="C805" s="7">
        <v>6.28515231E8</v>
      </c>
      <c r="D805" s="9">
        <v>42363.0</v>
      </c>
      <c r="E805" s="10">
        <f t="shared" si="1"/>
        <v>12</v>
      </c>
      <c r="F805" s="10" t="str">
        <f t="shared" si="2"/>
        <v>Dec</v>
      </c>
      <c r="G805" s="11">
        <f t="shared" si="3"/>
        <v>25</v>
      </c>
      <c r="H805" s="7">
        <f t="shared" si="4"/>
        <v>2015</v>
      </c>
      <c r="I805" s="9">
        <v>42401.0</v>
      </c>
      <c r="J805" s="11">
        <f t="shared" si="5"/>
        <v>38</v>
      </c>
      <c r="K805" s="7" t="s">
        <v>322</v>
      </c>
      <c r="L805" s="7" t="s">
        <v>439</v>
      </c>
      <c r="M805" s="7" t="str">
        <f>VLOOKUP(L805,countries, 2,false)</f>
        <v>Slovakia</v>
      </c>
      <c r="N805" s="7" t="str">
        <f>VLOOKUP(L805,countries, 4,false)</f>
        <v>Europe</v>
      </c>
      <c r="O805" s="7" t="str">
        <f>VLOOKUP(L805,countries, 5,false)</f>
        <v>Eastern Europe</v>
      </c>
      <c r="P805" s="7" t="s">
        <v>129</v>
      </c>
      <c r="Q805" s="7">
        <v>479.0</v>
      </c>
      <c r="R805" s="12">
        <v>154.06</v>
      </c>
      <c r="S805" s="12">
        <v>90.93</v>
      </c>
      <c r="T805" s="13">
        <f t="shared" si="6"/>
        <v>73794.74</v>
      </c>
      <c r="U805" s="13">
        <f t="shared" si="7"/>
        <v>28372</v>
      </c>
      <c r="V805" s="13">
        <f t="shared" si="8"/>
        <v>45422.74</v>
      </c>
      <c r="W805" s="14">
        <f>Q805/totals!B$2</f>
        <v>0.00007283482885</v>
      </c>
      <c r="X805" s="14">
        <f t="shared" si="9"/>
        <v>0.5989188209</v>
      </c>
      <c r="Y805" s="14">
        <f>T805/totals!B$5</f>
        <v>0.00004335436521</v>
      </c>
      <c r="Z805" s="14">
        <f t="shared" si="10"/>
        <v>0.59207098</v>
      </c>
      <c r="AA805" s="14">
        <f>V805/totals!B$4</f>
        <v>0.00009057184787</v>
      </c>
      <c r="AB805" s="14">
        <f t="shared" si="11"/>
        <v>0.6033322086</v>
      </c>
    </row>
    <row r="806">
      <c r="A806" s="7">
        <v>4594.0</v>
      </c>
      <c r="B806" s="7" t="str">
        <f>VLOOKUP($A806,product_category,2, False)</f>
        <v>Fruits</v>
      </c>
      <c r="C806" s="7">
        <v>6.28595054E8</v>
      </c>
      <c r="D806" s="9">
        <v>40794.0</v>
      </c>
      <c r="E806" s="10">
        <f t="shared" si="1"/>
        <v>9</v>
      </c>
      <c r="F806" s="10" t="str">
        <f t="shared" si="2"/>
        <v>Sep</v>
      </c>
      <c r="G806" s="11">
        <f t="shared" si="3"/>
        <v>8</v>
      </c>
      <c r="H806" s="7">
        <f t="shared" si="4"/>
        <v>2011</v>
      </c>
      <c r="I806" s="9">
        <v>40837.0</v>
      </c>
      <c r="J806" s="11">
        <f t="shared" si="5"/>
        <v>43</v>
      </c>
      <c r="K806" s="7" t="s">
        <v>110</v>
      </c>
      <c r="L806" s="7" t="s">
        <v>364</v>
      </c>
      <c r="M806" s="7" t="str">
        <f>VLOOKUP(L806,countries, 2,false)</f>
        <v>Hungary</v>
      </c>
      <c r="N806" s="7" t="str">
        <f>VLOOKUP(L806,countries, 4,false)</f>
        <v>Europe</v>
      </c>
      <c r="O806" s="7" t="str">
        <f>VLOOKUP(L806,countries, 5,false)</f>
        <v>Eastern Europe</v>
      </c>
      <c r="P806" s="7" t="s">
        <v>212</v>
      </c>
      <c r="Q806" s="7">
        <v>4100.0</v>
      </c>
      <c r="R806" s="12">
        <v>9.33</v>
      </c>
      <c r="S806" s="12">
        <v>6.92</v>
      </c>
      <c r="T806" s="13">
        <f t="shared" si="6"/>
        <v>38253</v>
      </c>
      <c r="U806" s="13">
        <f t="shared" si="7"/>
        <v>499781.7</v>
      </c>
      <c r="V806" s="13">
        <f t="shared" si="8"/>
        <v>-461528.7</v>
      </c>
      <c r="W806" s="14">
        <f>Q806/totals!B$2</f>
        <v>0.0006234296416</v>
      </c>
      <c r="X806" s="14">
        <f t="shared" si="9"/>
        <v>0.5995422506</v>
      </c>
      <c r="Y806" s="14">
        <f>T806/totals!B$5</f>
        <v>0.00002247361441</v>
      </c>
      <c r="Z806" s="14">
        <f t="shared" si="10"/>
        <v>0.5920934536</v>
      </c>
      <c r="AA806" s="14">
        <f>V806/totals!B$4</f>
        <v>-0.0009202770947</v>
      </c>
      <c r="AB806" s="14">
        <f t="shared" si="11"/>
        <v>0.6024119315</v>
      </c>
    </row>
    <row r="807">
      <c r="A807" s="7">
        <v>7331.0</v>
      </c>
      <c r="B807" s="7" t="str">
        <f>VLOOKUP($A807,product_category,2, False)</f>
        <v>Baby Food</v>
      </c>
      <c r="C807" s="7">
        <v>6.2930144E8</v>
      </c>
      <c r="D807" s="9">
        <v>40378.0</v>
      </c>
      <c r="E807" s="10">
        <f t="shared" si="1"/>
        <v>7</v>
      </c>
      <c r="F807" s="10" t="str">
        <f t="shared" si="2"/>
        <v>Jul</v>
      </c>
      <c r="G807" s="11">
        <f t="shared" si="3"/>
        <v>19</v>
      </c>
      <c r="H807" s="7">
        <f t="shared" si="4"/>
        <v>2010</v>
      </c>
      <c r="I807" s="9">
        <v>40388.0</v>
      </c>
      <c r="J807" s="11">
        <f t="shared" si="5"/>
        <v>10</v>
      </c>
      <c r="K807" s="7" t="s">
        <v>322</v>
      </c>
      <c r="L807" s="7" t="s">
        <v>383</v>
      </c>
      <c r="M807" s="7" t="str">
        <f>VLOOKUP(L807,countries, 2,false)</f>
        <v>Ireland</v>
      </c>
      <c r="N807" s="7" t="str">
        <f>VLOOKUP(L807,countries, 4,false)</f>
        <v>Europe</v>
      </c>
      <c r="O807" s="7" t="str">
        <f>VLOOKUP(L807,countries, 5,false)</f>
        <v>Northern Europe</v>
      </c>
      <c r="P807" s="7" t="s">
        <v>212</v>
      </c>
      <c r="Q807" s="7">
        <v>3135.0</v>
      </c>
      <c r="R807" s="12">
        <v>255.28</v>
      </c>
      <c r="S807" s="12">
        <v>159.42</v>
      </c>
      <c r="T807" s="13">
        <f t="shared" si="6"/>
        <v>800302.8</v>
      </c>
      <c r="U807" s="13">
        <f t="shared" si="7"/>
        <v>762027.6</v>
      </c>
      <c r="V807" s="13">
        <f t="shared" si="8"/>
        <v>38275.2</v>
      </c>
      <c r="W807" s="14">
        <f>Q807/totals!B$2</f>
        <v>0.0004766955918</v>
      </c>
      <c r="X807" s="14">
        <f t="shared" si="9"/>
        <v>0.6000189462</v>
      </c>
      <c r="Y807" s="14">
        <f>T807/totals!B$5</f>
        <v>0.000470177412</v>
      </c>
      <c r="Z807" s="14">
        <f t="shared" si="10"/>
        <v>0.592563631</v>
      </c>
      <c r="AA807" s="14">
        <f>V807/totals!B$4</f>
        <v>0.00007631982552</v>
      </c>
      <c r="AB807" s="14">
        <f t="shared" si="11"/>
        <v>0.6024882514</v>
      </c>
    </row>
    <row r="808">
      <c r="A808" s="7">
        <v>7331.0</v>
      </c>
      <c r="B808" s="7" t="str">
        <f>VLOOKUP($A808,product_category,2, False)</f>
        <v>Baby Food</v>
      </c>
      <c r="C808" s="7">
        <v>6.30219399E8</v>
      </c>
      <c r="D808" s="9">
        <v>41691.0</v>
      </c>
      <c r="E808" s="10">
        <f t="shared" si="1"/>
        <v>2</v>
      </c>
      <c r="F808" s="10" t="str">
        <f t="shared" si="2"/>
        <v>Feb</v>
      </c>
      <c r="G808" s="11">
        <f t="shared" si="3"/>
        <v>21</v>
      </c>
      <c r="H808" s="7">
        <f t="shared" si="4"/>
        <v>2014</v>
      </c>
      <c r="I808" s="9">
        <v>41712.0</v>
      </c>
      <c r="J808" s="11">
        <f t="shared" si="5"/>
        <v>21</v>
      </c>
      <c r="K808" s="7" t="s">
        <v>322</v>
      </c>
      <c r="L808" s="7" t="s">
        <v>200</v>
      </c>
      <c r="M808" s="7" t="str">
        <f>VLOOKUP(L808,countries, 2,false)</f>
        <v>Serbia</v>
      </c>
      <c r="N808" s="7" t="str">
        <f>VLOOKUP(L808,countries, 4,false)</f>
        <v>Europe</v>
      </c>
      <c r="O808" s="7" t="str">
        <f>VLOOKUP(L808,countries, 5,false)</f>
        <v>Southern Europe</v>
      </c>
      <c r="P808" s="7" t="s">
        <v>212</v>
      </c>
      <c r="Q808" s="7">
        <v>4780.0</v>
      </c>
      <c r="R808" s="12">
        <v>255.28</v>
      </c>
      <c r="S808" s="12">
        <v>159.42</v>
      </c>
      <c r="T808" s="13">
        <f t="shared" si="6"/>
        <v>1220238.4</v>
      </c>
      <c r="U808" s="13">
        <f t="shared" si="7"/>
        <v>891636.06</v>
      </c>
      <c r="V808" s="13">
        <f t="shared" si="8"/>
        <v>328602.34</v>
      </c>
      <c r="W808" s="14">
        <f>Q808/totals!B$2</f>
        <v>0.0007268277284</v>
      </c>
      <c r="X808" s="14">
        <f t="shared" si="9"/>
        <v>0.6007457739</v>
      </c>
      <c r="Y808" s="14">
        <f>T808/totals!B$5</f>
        <v>0.0007168893235</v>
      </c>
      <c r="Z808" s="14">
        <f t="shared" si="10"/>
        <v>0.5932805203</v>
      </c>
      <c r="AA808" s="14">
        <f>V808/totals!B$4</f>
        <v>0.0006552251394</v>
      </c>
      <c r="AB808" s="14">
        <f t="shared" si="11"/>
        <v>0.6031434765</v>
      </c>
    </row>
    <row r="809">
      <c r="A809" s="7">
        <v>7331.0</v>
      </c>
      <c r="B809" s="7" t="str">
        <f>VLOOKUP($A809,product_category,2, False)</f>
        <v>Baby Food</v>
      </c>
      <c r="C809" s="7">
        <v>6.30931794E8</v>
      </c>
      <c r="D809" s="9">
        <v>41336.0</v>
      </c>
      <c r="E809" s="10">
        <f t="shared" si="1"/>
        <v>3</v>
      </c>
      <c r="F809" s="10" t="str">
        <f t="shared" si="2"/>
        <v>Mar</v>
      </c>
      <c r="G809" s="11">
        <f t="shared" si="3"/>
        <v>3</v>
      </c>
      <c r="H809" s="7">
        <f t="shared" si="4"/>
        <v>2013</v>
      </c>
      <c r="I809" s="9">
        <v>41365.0</v>
      </c>
      <c r="J809" s="11">
        <f t="shared" si="5"/>
        <v>29</v>
      </c>
      <c r="K809" s="7" t="s">
        <v>382</v>
      </c>
      <c r="L809" s="7" t="s">
        <v>323</v>
      </c>
      <c r="M809" s="7" t="str">
        <f>VLOOKUP(L809,countries, 2,false)</f>
        <v>Montenegro</v>
      </c>
      <c r="N809" s="7" t="str">
        <f>VLOOKUP(L809,countries, 4,false)</f>
        <v>Europe</v>
      </c>
      <c r="O809" s="7" t="str">
        <f>VLOOKUP(L809,countries, 5,false)</f>
        <v>Southern Europe</v>
      </c>
      <c r="P809" s="7" t="s">
        <v>212</v>
      </c>
      <c r="Q809" s="7">
        <v>5593.0</v>
      </c>
      <c r="R809" s="12">
        <v>255.28</v>
      </c>
      <c r="S809" s="12">
        <v>159.42</v>
      </c>
      <c r="T809" s="13">
        <f t="shared" si="6"/>
        <v>1427781.04</v>
      </c>
      <c r="U809" s="13">
        <f t="shared" si="7"/>
        <v>2447434.59</v>
      </c>
      <c r="V809" s="13">
        <f t="shared" si="8"/>
        <v>-1019653.55</v>
      </c>
      <c r="W809" s="14">
        <f>Q809/totals!B$2</f>
        <v>0.0008504492647</v>
      </c>
      <c r="X809" s="14">
        <f t="shared" si="9"/>
        <v>0.6015962232</v>
      </c>
      <c r="Y809" s="14">
        <f>T809/totals!B$5</f>
        <v>0.0008388204993</v>
      </c>
      <c r="Z809" s="14">
        <f t="shared" si="10"/>
        <v>0.5941193408</v>
      </c>
      <c r="AA809" s="14">
        <f>V809/totals!B$4</f>
        <v>-0.002033164582</v>
      </c>
      <c r="AB809" s="14">
        <f t="shared" si="11"/>
        <v>0.6011103119</v>
      </c>
    </row>
    <row r="810">
      <c r="A810" s="7">
        <v>8875.0</v>
      </c>
      <c r="B810" s="7" t="str">
        <f>VLOOKUP($A810,product_category,2, False)</f>
        <v>Meat</v>
      </c>
      <c r="C810" s="7">
        <v>6.3117212E8</v>
      </c>
      <c r="D810" s="9">
        <v>40983.0</v>
      </c>
      <c r="E810" s="10">
        <f t="shared" si="1"/>
        <v>3</v>
      </c>
      <c r="F810" s="10" t="str">
        <f t="shared" si="2"/>
        <v>Mar</v>
      </c>
      <c r="G810" s="11">
        <f t="shared" si="3"/>
        <v>15</v>
      </c>
      <c r="H810" s="7">
        <f t="shared" si="4"/>
        <v>2012</v>
      </c>
      <c r="I810" s="9">
        <v>41019.0</v>
      </c>
      <c r="J810" s="11">
        <f t="shared" si="5"/>
        <v>36</v>
      </c>
      <c r="K810" s="7" t="s">
        <v>198</v>
      </c>
      <c r="L810" s="7" t="s">
        <v>304</v>
      </c>
      <c r="M810" s="7" t="str">
        <f>VLOOKUP(L810,countries, 2,false)</f>
        <v>Georgia</v>
      </c>
      <c r="N810" s="7" t="str">
        <f>VLOOKUP(L810,countries, 4,false)</f>
        <v>Asia</v>
      </c>
      <c r="O810" s="7" t="str">
        <f>VLOOKUP(L810,countries, 5,false)</f>
        <v>Western Asia</v>
      </c>
      <c r="P810" s="7" t="s">
        <v>212</v>
      </c>
      <c r="Q810" s="7">
        <v>6711.0</v>
      </c>
      <c r="R810" s="12">
        <v>421.89</v>
      </c>
      <c r="S810" s="12">
        <v>364.69</v>
      </c>
      <c r="T810" s="13">
        <f t="shared" si="6"/>
        <v>2831303.79</v>
      </c>
      <c r="U810" s="13">
        <f t="shared" si="7"/>
        <v>795024.2</v>
      </c>
      <c r="V810" s="13">
        <f t="shared" si="8"/>
        <v>2036279.59</v>
      </c>
      <c r="W810" s="14">
        <f>Q810/totals!B$2</f>
        <v>0.001020447884</v>
      </c>
      <c r="X810" s="14">
        <f t="shared" si="9"/>
        <v>0.6026166711</v>
      </c>
      <c r="Y810" s="14">
        <f>T810/totals!B$5</f>
        <v>0.001663389268</v>
      </c>
      <c r="Z810" s="14">
        <f t="shared" si="10"/>
        <v>0.5957827301</v>
      </c>
      <c r="AA810" s="14">
        <f>V810/totals!B$4</f>
        <v>0.004060292383</v>
      </c>
      <c r="AB810" s="14">
        <f t="shared" si="11"/>
        <v>0.6051706043</v>
      </c>
    </row>
    <row r="811">
      <c r="A811" s="7">
        <v>8875.0</v>
      </c>
      <c r="B811" s="7" t="str">
        <f>VLOOKUP($A811,product_category,2, False)</f>
        <v>Meat</v>
      </c>
      <c r="C811" s="7">
        <v>6.3146094E8</v>
      </c>
      <c r="D811" s="9">
        <v>41907.0</v>
      </c>
      <c r="E811" s="10">
        <f t="shared" si="1"/>
        <v>9</v>
      </c>
      <c r="F811" s="10" t="str">
        <f t="shared" si="2"/>
        <v>Sep</v>
      </c>
      <c r="G811" s="11">
        <f t="shared" si="3"/>
        <v>25</v>
      </c>
      <c r="H811" s="7">
        <f t="shared" si="4"/>
        <v>2014</v>
      </c>
      <c r="I811" s="9">
        <v>41917.0</v>
      </c>
      <c r="J811" s="11">
        <f t="shared" si="5"/>
        <v>10</v>
      </c>
      <c r="K811" s="7" t="s">
        <v>110</v>
      </c>
      <c r="L811" s="7" t="s">
        <v>670</v>
      </c>
      <c r="M811" s="7" t="str">
        <f>VLOOKUP(L811,countries, 2,false)</f>
        <v>Slovenia</v>
      </c>
      <c r="N811" s="7" t="str">
        <f>VLOOKUP(L811,countries, 4,false)</f>
        <v>Europe</v>
      </c>
      <c r="O811" s="7" t="str">
        <f>VLOOKUP(L811,countries, 5,false)</f>
        <v>Southern Europe</v>
      </c>
      <c r="P811" s="7" t="s">
        <v>212</v>
      </c>
      <c r="Q811" s="7">
        <v>2180.0</v>
      </c>
      <c r="R811" s="12">
        <v>421.89</v>
      </c>
      <c r="S811" s="12">
        <v>364.69</v>
      </c>
      <c r="T811" s="13">
        <f t="shared" si="6"/>
        <v>919720.2</v>
      </c>
      <c r="U811" s="13">
        <f t="shared" si="7"/>
        <v>105441.28</v>
      </c>
      <c r="V811" s="13">
        <f t="shared" si="8"/>
        <v>814278.92</v>
      </c>
      <c r="W811" s="14">
        <f>Q811/totals!B$2</f>
        <v>0.0003314821021</v>
      </c>
      <c r="X811" s="14">
        <f t="shared" si="9"/>
        <v>0.6029481532</v>
      </c>
      <c r="Y811" s="14">
        <f>T811/totals!B$5</f>
        <v>0.0005403350624</v>
      </c>
      <c r="Z811" s="14">
        <f t="shared" si="10"/>
        <v>0.5963230652</v>
      </c>
      <c r="AA811" s="14">
        <f>V811/totals!B$4</f>
        <v>0.001623652524</v>
      </c>
      <c r="AB811" s="14">
        <f t="shared" si="11"/>
        <v>0.6067942568</v>
      </c>
    </row>
    <row r="812">
      <c r="A812" s="7">
        <v>2455.0</v>
      </c>
      <c r="B812" s="7" t="str">
        <f>VLOOKUP($A812,product_category,2, False)</f>
        <v>Clothes</v>
      </c>
      <c r="C812" s="7">
        <v>6.31463515E8</v>
      </c>
      <c r="D812" s="9">
        <v>41142.0</v>
      </c>
      <c r="E812" s="10">
        <f t="shared" si="1"/>
        <v>8</v>
      </c>
      <c r="F812" s="10" t="str">
        <f t="shared" si="2"/>
        <v>Aug</v>
      </c>
      <c r="G812" s="11">
        <f t="shared" si="3"/>
        <v>21</v>
      </c>
      <c r="H812" s="7">
        <f t="shared" si="4"/>
        <v>2012</v>
      </c>
      <c r="I812" s="9">
        <v>41177.0</v>
      </c>
      <c r="J812" s="11">
        <f t="shared" si="5"/>
        <v>35</v>
      </c>
      <c r="K812" s="7" t="s">
        <v>322</v>
      </c>
      <c r="L812" s="7" t="s">
        <v>234</v>
      </c>
      <c r="M812" s="7" t="str">
        <f>VLOOKUP(L812,countries, 2,false)</f>
        <v>Czech Republic</v>
      </c>
      <c r="N812" s="7" t="str">
        <f>VLOOKUP(L812,countries, 4,false)</f>
        <v>Europe</v>
      </c>
      <c r="O812" s="7" t="str">
        <f>VLOOKUP(L812,countries, 5,false)</f>
        <v>Eastern Europe</v>
      </c>
      <c r="P812" s="7" t="s">
        <v>212</v>
      </c>
      <c r="Q812" s="7">
        <v>2942.0</v>
      </c>
      <c r="R812" s="12">
        <v>109.28</v>
      </c>
      <c r="S812" s="12">
        <v>35.84</v>
      </c>
      <c r="T812" s="13">
        <f t="shared" si="6"/>
        <v>321501.76</v>
      </c>
      <c r="U812" s="13">
        <f t="shared" si="7"/>
        <v>60903.23</v>
      </c>
      <c r="V812" s="13">
        <f t="shared" si="8"/>
        <v>260598.53</v>
      </c>
      <c r="W812" s="14">
        <f>Q812/totals!B$2</f>
        <v>0.0004473487818</v>
      </c>
      <c r="X812" s="14">
        <f t="shared" si="9"/>
        <v>0.6033955019</v>
      </c>
      <c r="Y812" s="14">
        <f>T812/totals!B$5</f>
        <v>0.00018888209</v>
      </c>
      <c r="Z812" s="14">
        <f t="shared" si="10"/>
        <v>0.5965119472</v>
      </c>
      <c r="AA812" s="14">
        <f>V812/totals!B$4</f>
        <v>0.0005196271826</v>
      </c>
      <c r="AB812" s="14">
        <f t="shared" si="11"/>
        <v>0.607313884</v>
      </c>
    </row>
    <row r="813">
      <c r="A813" s="7">
        <v>8875.0</v>
      </c>
      <c r="B813" s="7" t="str">
        <f>VLOOKUP($A813,product_category,2, False)</f>
        <v>Meat</v>
      </c>
      <c r="C813" s="7">
        <v>6.33312737E8</v>
      </c>
      <c r="D813" s="9">
        <v>40741.0</v>
      </c>
      <c r="E813" s="10">
        <f t="shared" si="1"/>
        <v>7</v>
      </c>
      <c r="F813" s="10" t="str">
        <f t="shared" si="2"/>
        <v>Jul</v>
      </c>
      <c r="G813" s="11">
        <f t="shared" si="3"/>
        <v>17</v>
      </c>
      <c r="H813" s="7">
        <f t="shared" si="4"/>
        <v>2011</v>
      </c>
      <c r="I813" s="9">
        <v>40766.0</v>
      </c>
      <c r="J813" s="11">
        <f t="shared" si="5"/>
        <v>25</v>
      </c>
      <c r="K813" s="7" t="s">
        <v>322</v>
      </c>
      <c r="L813" s="7" t="s">
        <v>286</v>
      </c>
      <c r="M813" s="7" t="str">
        <f>VLOOKUP(L813,countries, 2,false)</f>
        <v>France</v>
      </c>
      <c r="N813" s="7" t="str">
        <f>VLOOKUP(L813,countries, 4,false)</f>
        <v>Europe</v>
      </c>
      <c r="O813" s="7" t="str">
        <f>VLOOKUP(L813,countries, 5,false)</f>
        <v>Western Europe</v>
      </c>
      <c r="P813" s="7" t="s">
        <v>212</v>
      </c>
      <c r="Q813" s="7">
        <v>167.0</v>
      </c>
      <c r="R813" s="12">
        <v>421.89</v>
      </c>
      <c r="S813" s="12">
        <v>364.69</v>
      </c>
      <c r="T813" s="13">
        <f t="shared" si="6"/>
        <v>70455.63</v>
      </c>
      <c r="U813" s="13">
        <f t="shared" si="7"/>
        <v>222673.92</v>
      </c>
      <c r="V813" s="13">
        <f t="shared" si="8"/>
        <v>-152218.29</v>
      </c>
      <c r="W813" s="14">
        <f>Q813/totals!B$2</f>
        <v>0.00002539335369</v>
      </c>
      <c r="X813" s="14">
        <f t="shared" si="9"/>
        <v>0.6034208953</v>
      </c>
      <c r="Y813" s="14">
        <f>T813/totals!B$5</f>
        <v>0.0000413926401</v>
      </c>
      <c r="Z813" s="14">
        <f t="shared" si="10"/>
        <v>0.5965533399</v>
      </c>
      <c r="AA813" s="14">
        <f>V813/totals!B$4</f>
        <v>-0.0003035195984</v>
      </c>
      <c r="AB813" s="14">
        <f t="shared" si="11"/>
        <v>0.6070103644</v>
      </c>
    </row>
    <row r="814">
      <c r="A814" s="7">
        <v>2455.0</v>
      </c>
      <c r="B814" s="7" t="str">
        <f>VLOOKUP($A814,product_category,2, False)</f>
        <v>Clothes</v>
      </c>
      <c r="C814" s="7">
        <v>6.33806264E8</v>
      </c>
      <c r="D814" s="9">
        <v>41744.0</v>
      </c>
      <c r="E814" s="10">
        <f t="shared" si="1"/>
        <v>4</v>
      </c>
      <c r="F814" s="10" t="str">
        <f t="shared" si="2"/>
        <v>Apr</v>
      </c>
      <c r="G814" s="11">
        <f t="shared" si="3"/>
        <v>15</v>
      </c>
      <c r="H814" s="7">
        <f t="shared" si="4"/>
        <v>2014</v>
      </c>
      <c r="I814" s="9">
        <v>41755.0</v>
      </c>
      <c r="J814" s="11">
        <f t="shared" si="5"/>
        <v>11</v>
      </c>
      <c r="K814" s="7" t="s">
        <v>110</v>
      </c>
      <c r="L814" s="7" t="s">
        <v>286</v>
      </c>
      <c r="M814" s="7" t="str">
        <f>VLOOKUP(L814,countries, 2,false)</f>
        <v>France</v>
      </c>
      <c r="N814" s="7" t="str">
        <f>VLOOKUP(L814,countries, 4,false)</f>
        <v>Europe</v>
      </c>
      <c r="O814" s="7" t="str">
        <f>VLOOKUP(L814,countries, 5,false)</f>
        <v>Western Europe</v>
      </c>
      <c r="P814" s="7" t="s">
        <v>129</v>
      </c>
      <c r="Q814" s="7">
        <v>6213.0</v>
      </c>
      <c r="R814" s="12">
        <v>109.28</v>
      </c>
      <c r="S814" s="12">
        <v>35.84</v>
      </c>
      <c r="T814" s="13">
        <f t="shared" si="6"/>
        <v>678956.64</v>
      </c>
      <c r="U814" s="13">
        <f t="shared" si="7"/>
        <v>10075.52</v>
      </c>
      <c r="V814" s="13">
        <f t="shared" si="8"/>
        <v>668881.12</v>
      </c>
      <c r="W814" s="14">
        <f>Q814/totals!B$2</f>
        <v>0.000944723991</v>
      </c>
      <c r="X814" s="14">
        <f t="shared" si="9"/>
        <v>0.6043656193</v>
      </c>
      <c r="Y814" s="14">
        <f>T814/totals!B$5</f>
        <v>0.0003988866162</v>
      </c>
      <c r="Z814" s="14">
        <f t="shared" si="10"/>
        <v>0.5969522265</v>
      </c>
      <c r="AA814" s="14">
        <f>V814/totals!B$4</f>
        <v>0.001333732818</v>
      </c>
      <c r="AB814" s="14">
        <f t="shared" si="11"/>
        <v>0.6083440972</v>
      </c>
    </row>
    <row r="815">
      <c r="A815" s="7">
        <v>4594.0</v>
      </c>
      <c r="B815" s="7" t="str">
        <f>VLOOKUP($A815,product_category,2, False)</f>
        <v>Fruits</v>
      </c>
      <c r="C815" s="7">
        <v>6.33992946E8</v>
      </c>
      <c r="D815" s="9">
        <v>41643.0</v>
      </c>
      <c r="E815" s="10">
        <f t="shared" si="1"/>
        <v>1</v>
      </c>
      <c r="F815" s="10" t="str">
        <f t="shared" si="2"/>
        <v>Jan</v>
      </c>
      <c r="G815" s="11">
        <f t="shared" si="3"/>
        <v>4</v>
      </c>
      <c r="H815" s="7">
        <f t="shared" si="4"/>
        <v>2014</v>
      </c>
      <c r="I815" s="9">
        <v>41645.0</v>
      </c>
      <c r="J815" s="11">
        <f t="shared" si="5"/>
        <v>2</v>
      </c>
      <c r="K815" s="7" t="s">
        <v>382</v>
      </c>
      <c r="L815" s="7" t="s">
        <v>364</v>
      </c>
      <c r="M815" s="7" t="str">
        <f>VLOOKUP(L815,countries, 2,false)</f>
        <v>Hungary</v>
      </c>
      <c r="N815" s="7" t="str">
        <f>VLOOKUP(L815,countries, 4,false)</f>
        <v>Europe</v>
      </c>
      <c r="O815" s="7" t="str">
        <f>VLOOKUP(L815,countries, 5,false)</f>
        <v>Eastern Europe</v>
      </c>
      <c r="P815" s="7" t="s">
        <v>212</v>
      </c>
      <c r="Q815" s="7">
        <v>1456.0</v>
      </c>
      <c r="R815" s="12">
        <v>9.33</v>
      </c>
      <c r="S815" s="12">
        <v>6.92</v>
      </c>
      <c r="T815" s="13">
        <f t="shared" si="6"/>
        <v>13584.48</v>
      </c>
      <c r="U815" s="13">
        <f t="shared" si="7"/>
        <v>192337.98</v>
      </c>
      <c r="V815" s="13">
        <f t="shared" si="8"/>
        <v>-178753.5</v>
      </c>
      <c r="W815" s="14">
        <f>Q815/totals!B$2</f>
        <v>0.0002213935508</v>
      </c>
      <c r="X815" s="14">
        <f t="shared" si="9"/>
        <v>0.6045870128</v>
      </c>
      <c r="Y815" s="14">
        <f>T815/totals!B$5</f>
        <v>0.000007980873801</v>
      </c>
      <c r="Z815" s="14">
        <f t="shared" si="10"/>
        <v>0.5969602074</v>
      </c>
      <c r="AA815" s="14">
        <f>V815/totals!B$4</f>
        <v>-0.0003564301671</v>
      </c>
      <c r="AB815" s="14">
        <f t="shared" si="11"/>
        <v>0.6079876671</v>
      </c>
    </row>
    <row r="816">
      <c r="A816" s="7">
        <v>3127.0</v>
      </c>
      <c r="B816" s="7" t="str">
        <f>VLOOKUP($A816,product_category,2, False)</f>
        <v>Personal Care</v>
      </c>
      <c r="C816" s="7">
        <v>6.34033286E8</v>
      </c>
      <c r="D816" s="9">
        <v>41653.0</v>
      </c>
      <c r="E816" s="10">
        <f t="shared" si="1"/>
        <v>1</v>
      </c>
      <c r="F816" s="10" t="str">
        <f t="shared" si="2"/>
        <v>Jan</v>
      </c>
      <c r="G816" s="11">
        <f t="shared" si="3"/>
        <v>14</v>
      </c>
      <c r="H816" s="7">
        <f t="shared" si="4"/>
        <v>2014</v>
      </c>
      <c r="I816" s="9">
        <v>41654.0</v>
      </c>
      <c r="J816" s="11">
        <f t="shared" si="5"/>
        <v>1</v>
      </c>
      <c r="K816" s="7" t="s">
        <v>110</v>
      </c>
      <c r="L816" s="7" t="s">
        <v>111</v>
      </c>
      <c r="M816" s="7" t="str">
        <f>VLOOKUP(L816,countries, 2,false)</f>
        <v>Norway</v>
      </c>
      <c r="N816" s="7" t="str">
        <f>VLOOKUP(L816,countries, 4,false)</f>
        <v>Europe</v>
      </c>
      <c r="O816" s="7" t="str">
        <f>VLOOKUP(L816,countries, 5,false)</f>
        <v>Northern Europe</v>
      </c>
      <c r="P816" s="7" t="s">
        <v>212</v>
      </c>
      <c r="Q816" s="7">
        <v>3394.0</v>
      </c>
      <c r="R816" s="12">
        <v>81.73</v>
      </c>
      <c r="S816" s="12">
        <v>56.67</v>
      </c>
      <c r="T816" s="13">
        <f t="shared" si="6"/>
        <v>277391.62</v>
      </c>
      <c r="U816" s="13">
        <f t="shared" si="7"/>
        <v>54232.04</v>
      </c>
      <c r="V816" s="13">
        <f t="shared" si="8"/>
        <v>223159.58</v>
      </c>
      <c r="W816" s="14">
        <f>Q816/totals!B$2</f>
        <v>0.0005160780984</v>
      </c>
      <c r="X816" s="14">
        <f t="shared" si="9"/>
        <v>0.6051030909</v>
      </c>
      <c r="Y816" s="14">
        <f>T816/totals!B$5</f>
        <v>0.0001629674093</v>
      </c>
      <c r="Z816" s="14">
        <f t="shared" si="10"/>
        <v>0.5971231748</v>
      </c>
      <c r="AA816" s="14">
        <f>V816/totals!B$4</f>
        <v>0.0004449748194</v>
      </c>
      <c r="AB816" s="14">
        <f t="shared" si="11"/>
        <v>0.6084326419</v>
      </c>
    </row>
    <row r="817">
      <c r="A817" s="7">
        <v>4594.0</v>
      </c>
      <c r="B817" s="7" t="str">
        <f>VLOOKUP($A817,product_category,2, False)</f>
        <v>Fruits</v>
      </c>
      <c r="C817" s="7">
        <v>6.36278617E8</v>
      </c>
      <c r="D817" s="9">
        <v>41672.0</v>
      </c>
      <c r="E817" s="10">
        <f t="shared" si="1"/>
        <v>2</v>
      </c>
      <c r="F817" s="10" t="str">
        <f t="shared" si="2"/>
        <v>Feb</v>
      </c>
      <c r="G817" s="11">
        <f t="shared" si="3"/>
        <v>2</v>
      </c>
      <c r="H817" s="7">
        <f t="shared" si="4"/>
        <v>2014</v>
      </c>
      <c r="I817" s="9">
        <v>41720.0</v>
      </c>
      <c r="J817" s="11">
        <f t="shared" si="5"/>
        <v>48</v>
      </c>
      <c r="K817" s="7" t="s">
        <v>382</v>
      </c>
      <c r="L817" s="7" t="s">
        <v>392</v>
      </c>
      <c r="M817" s="7" t="str">
        <f>VLOOKUP(L817,countries, 2,false)</f>
        <v>Italy</v>
      </c>
      <c r="N817" s="7" t="str">
        <f>VLOOKUP(L817,countries, 4,false)</f>
        <v>Europe</v>
      </c>
      <c r="O817" s="7" t="str">
        <f>VLOOKUP(L817,countries, 5,false)</f>
        <v>Southern Europe</v>
      </c>
      <c r="P817" s="7" t="s">
        <v>129</v>
      </c>
      <c r="Q817" s="7">
        <v>7837.0</v>
      </c>
      <c r="R817" s="12">
        <v>9.33</v>
      </c>
      <c r="S817" s="12">
        <v>6.92</v>
      </c>
      <c r="T817" s="13">
        <f t="shared" si="6"/>
        <v>73119.21</v>
      </c>
      <c r="U817" s="13">
        <f t="shared" si="7"/>
        <v>245111.23</v>
      </c>
      <c r="V817" s="13">
        <f t="shared" si="8"/>
        <v>-171992.02</v>
      </c>
      <c r="W817" s="14">
        <f>Q817/totals!B$2</f>
        <v>0.001191662951</v>
      </c>
      <c r="X817" s="14">
        <f t="shared" si="9"/>
        <v>0.6062947539</v>
      </c>
      <c r="Y817" s="14">
        <f>T817/totals!B$5</f>
        <v>0.00004295749174</v>
      </c>
      <c r="Z817" s="14">
        <f t="shared" si="10"/>
        <v>0.5971661323</v>
      </c>
      <c r="AA817" s="14">
        <f>V817/totals!B$4</f>
        <v>-0.0003429479391</v>
      </c>
      <c r="AB817" s="14">
        <f t="shared" si="11"/>
        <v>0.6080896939</v>
      </c>
    </row>
    <row r="818">
      <c r="A818" s="7">
        <v>2103.0</v>
      </c>
      <c r="B818" s="7" t="str">
        <f>VLOOKUP($A818,product_category,2, False)</f>
        <v>Cereal</v>
      </c>
      <c r="C818" s="7">
        <v>6.36360585E8</v>
      </c>
      <c r="D818" s="9">
        <v>41310.0</v>
      </c>
      <c r="E818" s="10">
        <f t="shared" si="1"/>
        <v>2</v>
      </c>
      <c r="F818" s="10" t="str">
        <f t="shared" si="2"/>
        <v>Feb</v>
      </c>
      <c r="G818" s="11">
        <f t="shared" si="3"/>
        <v>5</v>
      </c>
      <c r="H818" s="7">
        <f t="shared" si="4"/>
        <v>2013</v>
      </c>
      <c r="I818" s="9">
        <v>41341.0</v>
      </c>
      <c r="J818" s="11">
        <f t="shared" si="5"/>
        <v>31</v>
      </c>
      <c r="K818" s="7" t="s">
        <v>382</v>
      </c>
      <c r="L818" s="7" t="s">
        <v>597</v>
      </c>
      <c r="M818" s="7" t="str">
        <f>VLOOKUP(L818,countries, 2,false)</f>
        <v>Portugal</v>
      </c>
      <c r="N818" s="7" t="str">
        <f>VLOOKUP(L818,countries, 4,false)</f>
        <v>Europe</v>
      </c>
      <c r="O818" s="7" t="str">
        <f>VLOOKUP(L818,countries, 5,false)</f>
        <v>Southern Europe</v>
      </c>
      <c r="P818" s="7" t="s">
        <v>212</v>
      </c>
      <c r="Q818" s="7">
        <v>2093.0</v>
      </c>
      <c r="R818" s="12">
        <v>205.7</v>
      </c>
      <c r="S818" s="12">
        <v>117.11</v>
      </c>
      <c r="T818" s="13">
        <f t="shared" si="6"/>
        <v>430530.1</v>
      </c>
      <c r="U818" s="13">
        <f t="shared" si="7"/>
        <v>364902.09</v>
      </c>
      <c r="V818" s="13">
        <f t="shared" si="8"/>
        <v>65628.01</v>
      </c>
      <c r="W818" s="14">
        <f>Q818/totals!B$2</f>
        <v>0.0003182532292</v>
      </c>
      <c r="X818" s="14">
        <f t="shared" si="9"/>
        <v>0.6066130071</v>
      </c>
      <c r="Y818" s="14">
        <f>T818/totals!B$5</f>
        <v>0.0002529361739</v>
      </c>
      <c r="Z818" s="14">
        <f t="shared" si="10"/>
        <v>0.5974190684</v>
      </c>
      <c r="AA818" s="14">
        <f>V818/totals!B$4</f>
        <v>0.0001308606689</v>
      </c>
      <c r="AB818" s="14">
        <f t="shared" si="11"/>
        <v>0.6082205546</v>
      </c>
    </row>
    <row r="819">
      <c r="A819" s="7">
        <v>5988.0</v>
      </c>
      <c r="B819" s="7" t="str">
        <f>VLOOKUP($A819,product_category,2, False)</f>
        <v>Vegetables</v>
      </c>
      <c r="C819" s="7">
        <v>6.36907756E8</v>
      </c>
      <c r="D819" s="9">
        <v>42061.0</v>
      </c>
      <c r="E819" s="10">
        <f t="shared" si="1"/>
        <v>2</v>
      </c>
      <c r="F819" s="10" t="str">
        <f t="shared" si="2"/>
        <v>Feb</v>
      </c>
      <c r="G819" s="11">
        <f t="shared" si="3"/>
        <v>26</v>
      </c>
      <c r="H819" s="7">
        <f t="shared" si="4"/>
        <v>2015</v>
      </c>
      <c r="I819" s="9">
        <v>42095.0</v>
      </c>
      <c r="J819" s="11">
        <f t="shared" si="5"/>
        <v>34</v>
      </c>
      <c r="K819" s="7" t="s">
        <v>198</v>
      </c>
      <c r="L819" s="7" t="s">
        <v>304</v>
      </c>
      <c r="M819" s="7" t="str">
        <f>VLOOKUP(L819,countries, 2,false)</f>
        <v>Georgia</v>
      </c>
      <c r="N819" s="7" t="str">
        <f>VLOOKUP(L819,countries, 4,false)</f>
        <v>Asia</v>
      </c>
      <c r="O819" s="7" t="str">
        <f>VLOOKUP(L819,countries, 5,false)</f>
        <v>Western Asia</v>
      </c>
      <c r="P819" s="7" t="s">
        <v>129</v>
      </c>
      <c r="Q819" s="7">
        <v>4013.0</v>
      </c>
      <c r="R819" s="12">
        <v>154.06</v>
      </c>
      <c r="S819" s="12">
        <v>90.93</v>
      </c>
      <c r="T819" s="13">
        <f t="shared" si="6"/>
        <v>618242.78</v>
      </c>
      <c r="U819" s="13">
        <f t="shared" si="7"/>
        <v>329542.08</v>
      </c>
      <c r="V819" s="13">
        <f t="shared" si="8"/>
        <v>288700.7</v>
      </c>
      <c r="W819" s="14">
        <f>Q819/totals!B$2</f>
        <v>0.0006102007687</v>
      </c>
      <c r="X819" s="14">
        <f t="shared" si="9"/>
        <v>0.6072232079</v>
      </c>
      <c r="Y819" s="14">
        <f>T819/totals!B$5</f>
        <v>0.0003632172601</v>
      </c>
      <c r="Z819" s="14">
        <f t="shared" si="10"/>
        <v>0.5977822857</v>
      </c>
      <c r="AA819" s="14">
        <f>V819/totals!B$4</f>
        <v>0.0005756622317</v>
      </c>
      <c r="AB819" s="14">
        <f t="shared" si="11"/>
        <v>0.6087962168</v>
      </c>
    </row>
    <row r="820">
      <c r="A820" s="7">
        <v>8969.0</v>
      </c>
      <c r="B820" s="7" t="str">
        <f>VLOOKUP($A820,product_category,2, False)</f>
        <v>Snacks</v>
      </c>
      <c r="C820" s="7">
        <v>6.37040793E8</v>
      </c>
      <c r="D820" s="9">
        <v>42211.0</v>
      </c>
      <c r="E820" s="10">
        <f t="shared" si="1"/>
        <v>7</v>
      </c>
      <c r="F820" s="10" t="str">
        <f t="shared" si="2"/>
        <v>Jul</v>
      </c>
      <c r="G820" s="11">
        <f t="shared" si="3"/>
        <v>26</v>
      </c>
      <c r="H820" s="7">
        <f t="shared" si="4"/>
        <v>2015</v>
      </c>
      <c r="I820" s="9">
        <v>42220.0</v>
      </c>
      <c r="J820" s="11">
        <f t="shared" si="5"/>
        <v>9</v>
      </c>
      <c r="K820" s="7" t="s">
        <v>322</v>
      </c>
      <c r="L820" s="7" t="s">
        <v>439</v>
      </c>
      <c r="M820" s="7" t="str">
        <f>VLOOKUP(L820,countries, 2,false)</f>
        <v>Slovakia</v>
      </c>
      <c r="N820" s="7" t="str">
        <f>VLOOKUP(L820,countries, 4,false)</f>
        <v>Europe</v>
      </c>
      <c r="O820" s="7" t="str">
        <f>VLOOKUP(L820,countries, 5,false)</f>
        <v>Eastern Europe</v>
      </c>
      <c r="P820" s="7" t="s">
        <v>129</v>
      </c>
      <c r="Q820" s="7">
        <v>3382.0</v>
      </c>
      <c r="R820" s="12">
        <v>152.58</v>
      </c>
      <c r="S820" s="12">
        <v>97.44</v>
      </c>
      <c r="T820" s="13">
        <f t="shared" si="6"/>
        <v>516025.56</v>
      </c>
      <c r="U820" s="13">
        <f t="shared" si="7"/>
        <v>1861479.77</v>
      </c>
      <c r="V820" s="13">
        <f t="shared" si="8"/>
        <v>-1345454.21</v>
      </c>
      <c r="W820" s="14">
        <f>Q820/totals!B$2</f>
        <v>0.0005142534263</v>
      </c>
      <c r="X820" s="14">
        <f t="shared" si="9"/>
        <v>0.6077374613</v>
      </c>
      <c r="Y820" s="14">
        <f>T820/totals!B$5</f>
        <v>0.0003031647051</v>
      </c>
      <c r="Z820" s="14">
        <f t="shared" si="10"/>
        <v>0.5980854504</v>
      </c>
      <c r="AA820" s="14">
        <f>V820/totals!B$4</f>
        <v>-0.002682803239</v>
      </c>
      <c r="AB820" s="14">
        <f t="shared" si="11"/>
        <v>0.6061134136</v>
      </c>
    </row>
    <row r="821">
      <c r="A821" s="7">
        <v>8293.0</v>
      </c>
      <c r="B821" s="7" t="str">
        <f>VLOOKUP($A821,product_category,2, False)</f>
        <v>Cosmetics</v>
      </c>
      <c r="C821" s="7">
        <v>6.37188422E8</v>
      </c>
      <c r="D821" s="9">
        <v>41718.0</v>
      </c>
      <c r="E821" s="10">
        <f t="shared" si="1"/>
        <v>3</v>
      </c>
      <c r="F821" s="10" t="str">
        <f t="shared" si="2"/>
        <v>Mar</v>
      </c>
      <c r="G821" s="11">
        <f t="shared" si="3"/>
        <v>20</v>
      </c>
      <c r="H821" s="7">
        <f t="shared" si="4"/>
        <v>2014</v>
      </c>
      <c r="I821" s="9">
        <v>41758.0</v>
      </c>
      <c r="J821" s="11">
        <f t="shared" si="5"/>
        <v>40</v>
      </c>
      <c r="K821" s="7" t="s">
        <v>198</v>
      </c>
      <c r="L821" s="7" t="s">
        <v>286</v>
      </c>
      <c r="M821" s="7" t="str">
        <f>VLOOKUP(L821,countries, 2,false)</f>
        <v>France</v>
      </c>
      <c r="N821" s="7" t="str">
        <f>VLOOKUP(L821,countries, 4,false)</f>
        <v>Europe</v>
      </c>
      <c r="O821" s="7" t="str">
        <f>VLOOKUP(L821,countries, 5,false)</f>
        <v>Western Europe</v>
      </c>
      <c r="P821" s="7" t="s">
        <v>129</v>
      </c>
      <c r="Q821" s="7">
        <v>7069.0</v>
      </c>
      <c r="R821" s="12">
        <v>437.2</v>
      </c>
      <c r="S821" s="12">
        <v>263.33</v>
      </c>
      <c r="T821" s="13">
        <f t="shared" si="6"/>
        <v>3090566.8</v>
      </c>
      <c r="U821" s="13">
        <f t="shared" si="7"/>
        <v>1500142.2</v>
      </c>
      <c r="V821" s="13">
        <f t="shared" si="8"/>
        <v>1590424.6</v>
      </c>
      <c r="W821" s="14">
        <f>Q821/totals!B$2</f>
        <v>0.001074883936</v>
      </c>
      <c r="X821" s="14">
        <f t="shared" si="9"/>
        <v>0.6088123452</v>
      </c>
      <c r="Y821" s="14">
        <f>T821/totals!B$5</f>
        <v>0.00181570613</v>
      </c>
      <c r="Z821" s="14">
        <f t="shared" si="10"/>
        <v>0.5999011565</v>
      </c>
      <c r="AA821" s="14">
        <f>V821/totals!B$4</f>
        <v>0.003171268288</v>
      </c>
      <c r="AB821" s="14">
        <f t="shared" si="11"/>
        <v>0.6092846819</v>
      </c>
    </row>
    <row r="822">
      <c r="A822" s="7">
        <v>7331.0</v>
      </c>
      <c r="B822" s="7" t="str">
        <f>VLOOKUP($A822,product_category,2, False)</f>
        <v>Baby Food</v>
      </c>
      <c r="C822" s="7">
        <v>6.3804115E8</v>
      </c>
      <c r="D822" s="9">
        <v>41191.0</v>
      </c>
      <c r="E822" s="10">
        <f t="shared" si="1"/>
        <v>10</v>
      </c>
      <c r="F822" s="10" t="str">
        <f t="shared" si="2"/>
        <v>Oct</v>
      </c>
      <c r="G822" s="11">
        <f t="shared" si="3"/>
        <v>9</v>
      </c>
      <c r="H822" s="7">
        <f t="shared" si="4"/>
        <v>2012</v>
      </c>
      <c r="I822" s="9">
        <v>41241.0</v>
      </c>
      <c r="J822" s="11">
        <f t="shared" si="5"/>
        <v>50</v>
      </c>
      <c r="K822" s="7" t="s">
        <v>322</v>
      </c>
      <c r="L822" s="7" t="s">
        <v>136</v>
      </c>
      <c r="M822" s="7" t="str">
        <f>VLOOKUP(L822,countries, 2,false)</f>
        <v>Bosnia and Herzegovina</v>
      </c>
      <c r="N822" s="7" t="str">
        <f>VLOOKUP(L822,countries, 4,false)</f>
        <v>Europe</v>
      </c>
      <c r="O822" s="7" t="str">
        <f>VLOOKUP(L822,countries, 5,false)</f>
        <v>Southern Europe</v>
      </c>
      <c r="P822" s="7" t="s">
        <v>129</v>
      </c>
      <c r="Q822" s="7">
        <v>9410.0</v>
      </c>
      <c r="R822" s="12">
        <v>255.28</v>
      </c>
      <c r="S822" s="12">
        <v>159.42</v>
      </c>
      <c r="T822" s="13">
        <f t="shared" si="6"/>
        <v>2402184.8</v>
      </c>
      <c r="U822" s="13">
        <f t="shared" si="7"/>
        <v>111595.14</v>
      </c>
      <c r="V822" s="13">
        <f t="shared" si="8"/>
        <v>2290589.66</v>
      </c>
      <c r="W822" s="14">
        <f>Q822/totals!B$2</f>
        <v>0.001430847055</v>
      </c>
      <c r="X822" s="14">
        <f t="shared" si="9"/>
        <v>0.6102431923</v>
      </c>
      <c r="Y822" s="14">
        <f>T822/totals!B$5</f>
        <v>0.00141128212</v>
      </c>
      <c r="Z822" s="14">
        <f t="shared" si="10"/>
        <v>0.6013124387</v>
      </c>
      <c r="AA822" s="14">
        <f>V822/totals!B$4</f>
        <v>0.004567380528</v>
      </c>
      <c r="AB822" s="14">
        <f t="shared" si="11"/>
        <v>0.6138520624</v>
      </c>
    </row>
    <row r="823">
      <c r="A823" s="7">
        <v>8875.0</v>
      </c>
      <c r="B823" s="7" t="str">
        <f>VLOOKUP($A823,product_category,2, False)</f>
        <v>Meat</v>
      </c>
      <c r="C823" s="7">
        <v>6.38314521E8</v>
      </c>
      <c r="D823" s="9">
        <v>41169.0</v>
      </c>
      <c r="E823" s="10">
        <f t="shared" si="1"/>
        <v>9</v>
      </c>
      <c r="F823" s="10" t="str">
        <f t="shared" si="2"/>
        <v>Sep</v>
      </c>
      <c r="G823" s="11">
        <f t="shared" si="3"/>
        <v>17</v>
      </c>
      <c r="H823" s="7">
        <f t="shared" si="4"/>
        <v>2012</v>
      </c>
      <c r="I823" s="9">
        <v>41197.0</v>
      </c>
      <c r="J823" s="11">
        <f t="shared" si="5"/>
        <v>28</v>
      </c>
      <c r="K823" s="7" t="s">
        <v>382</v>
      </c>
      <c r="L823" s="7" t="e">
        <v>#N/A</v>
      </c>
      <c r="M823" s="7"/>
      <c r="N823" s="7"/>
      <c r="O823" s="7"/>
      <c r="P823" s="7" t="s">
        <v>129</v>
      </c>
      <c r="Q823" s="7">
        <v>306.0</v>
      </c>
      <c r="R823" s="12">
        <v>421.89</v>
      </c>
      <c r="S823" s="12">
        <v>364.69</v>
      </c>
      <c r="T823" s="13">
        <f t="shared" si="6"/>
        <v>129098.34</v>
      </c>
      <c r="U823" s="13">
        <f t="shared" si="7"/>
        <v>784986.73</v>
      </c>
      <c r="V823" s="13">
        <f t="shared" si="8"/>
        <v>-655888.39</v>
      </c>
      <c r="W823" s="14">
        <f>Q823/totals!B$2</f>
        <v>0.0000465291391</v>
      </c>
      <c r="X823" s="14">
        <f t="shared" si="9"/>
        <v>0.6102897214</v>
      </c>
      <c r="Y823" s="14">
        <f>T823/totals!B$5</f>
        <v>0.00007584519683</v>
      </c>
      <c r="Z823" s="14">
        <f t="shared" si="10"/>
        <v>0.6013882839</v>
      </c>
      <c r="AA823" s="14">
        <f>V823/totals!B$4</f>
        <v>-0.001307825628</v>
      </c>
      <c r="AB823" s="14">
        <f t="shared" si="11"/>
        <v>0.6125442368</v>
      </c>
    </row>
    <row r="824">
      <c r="A824" s="7">
        <v>8293.0</v>
      </c>
      <c r="B824" s="7" t="str">
        <f>VLOOKUP($A824,product_category,2, False)</f>
        <v>Cosmetics</v>
      </c>
      <c r="C824" s="7">
        <v>6.385939E8</v>
      </c>
      <c r="D824" s="9">
        <v>41208.0</v>
      </c>
      <c r="E824" s="10">
        <f t="shared" si="1"/>
        <v>10</v>
      </c>
      <c r="F824" s="10" t="str">
        <f t="shared" si="2"/>
        <v>Oct</v>
      </c>
      <c r="G824" s="11">
        <f t="shared" si="3"/>
        <v>26</v>
      </c>
      <c r="H824" s="7">
        <f t="shared" si="4"/>
        <v>2012</v>
      </c>
      <c r="I824" s="9">
        <v>41255.0</v>
      </c>
      <c r="J824" s="11">
        <f t="shared" si="5"/>
        <v>47</v>
      </c>
      <c r="K824" s="7" t="s">
        <v>322</v>
      </c>
      <c r="L824" s="7" t="s">
        <v>702</v>
      </c>
      <c r="M824" s="7" t="str">
        <f>VLOOKUP(L824,countries, 2,false)</f>
        <v>Sweden</v>
      </c>
      <c r="N824" s="7" t="str">
        <f>VLOOKUP(L824,countries, 4,false)</f>
        <v>Europe</v>
      </c>
      <c r="O824" s="7" t="str">
        <f>VLOOKUP(L824,countries, 5,false)</f>
        <v>Northern Europe</v>
      </c>
      <c r="P824" s="7" t="s">
        <v>129</v>
      </c>
      <c r="Q824" s="7">
        <v>2981.0</v>
      </c>
      <c r="R824" s="12">
        <v>437.2</v>
      </c>
      <c r="S824" s="12">
        <v>263.33</v>
      </c>
      <c r="T824" s="13">
        <f t="shared" si="6"/>
        <v>1303293.2</v>
      </c>
      <c r="U824" s="13">
        <f t="shared" si="7"/>
        <v>46979.43</v>
      </c>
      <c r="V824" s="13">
        <f t="shared" si="8"/>
        <v>1256313.77</v>
      </c>
      <c r="W824" s="14">
        <f>Q824/totals!B$2</f>
        <v>0.0004532789662</v>
      </c>
      <c r="X824" s="14">
        <f t="shared" si="9"/>
        <v>0.6107430004</v>
      </c>
      <c r="Y824" s="14">
        <f>T824/totals!B$5</f>
        <v>0.0007656839684</v>
      </c>
      <c r="Z824" s="14">
        <f t="shared" si="10"/>
        <v>0.6021539678</v>
      </c>
      <c r="AA824" s="14">
        <f>V824/totals!B$4</f>
        <v>0.002505059352</v>
      </c>
      <c r="AB824" s="14">
        <f t="shared" si="11"/>
        <v>0.6150492961</v>
      </c>
    </row>
    <row r="825">
      <c r="A825" s="7">
        <v>3127.0</v>
      </c>
      <c r="B825" s="7" t="str">
        <f>VLOOKUP($A825,product_category,2, False)</f>
        <v>Personal Care</v>
      </c>
      <c r="C825" s="7">
        <v>6.38856971E8</v>
      </c>
      <c r="D825" s="9">
        <v>41479.0</v>
      </c>
      <c r="E825" s="10">
        <f t="shared" si="1"/>
        <v>7</v>
      </c>
      <c r="F825" s="10" t="str">
        <f t="shared" si="2"/>
        <v>Jul</v>
      </c>
      <c r="G825" s="11">
        <f t="shared" si="3"/>
        <v>24</v>
      </c>
      <c r="H825" s="7">
        <f t="shared" si="4"/>
        <v>2013</v>
      </c>
      <c r="I825" s="9">
        <v>41507.0</v>
      </c>
      <c r="J825" s="11">
        <f t="shared" si="5"/>
        <v>28</v>
      </c>
      <c r="K825" s="7" t="s">
        <v>110</v>
      </c>
      <c r="L825" s="7" t="s">
        <v>107</v>
      </c>
      <c r="M825" s="7" t="str">
        <f>VLOOKUP(L825,countries, 2,false)</f>
        <v>Belarus</v>
      </c>
      <c r="N825" s="7" t="str">
        <f>VLOOKUP(L825,countries, 4,false)</f>
        <v>Europe</v>
      </c>
      <c r="O825" s="7" t="str">
        <f>VLOOKUP(L825,countries, 5,false)</f>
        <v>Eastern Europe</v>
      </c>
      <c r="P825" s="7" t="s">
        <v>129</v>
      </c>
      <c r="Q825" s="7">
        <v>829.0</v>
      </c>
      <c r="R825" s="12">
        <v>81.73</v>
      </c>
      <c r="S825" s="12">
        <v>56.67</v>
      </c>
      <c r="T825" s="13">
        <f t="shared" si="6"/>
        <v>67754.17</v>
      </c>
      <c r="U825" s="13">
        <f t="shared" si="7"/>
        <v>32558.6</v>
      </c>
      <c r="V825" s="13">
        <f t="shared" si="8"/>
        <v>35195.57</v>
      </c>
      <c r="W825" s="14">
        <f>Q825/totals!B$2</f>
        <v>0.0001260544324</v>
      </c>
      <c r="X825" s="14">
        <f t="shared" si="9"/>
        <v>0.6108690548</v>
      </c>
      <c r="Y825" s="14">
        <f>T825/totals!B$5</f>
        <v>0.00003980553398</v>
      </c>
      <c r="Z825" s="14">
        <f t="shared" si="10"/>
        <v>0.6021937734</v>
      </c>
      <c r="AA825" s="14">
        <f>V825/totals!B$4</f>
        <v>0.00007017911759</v>
      </c>
      <c r="AB825" s="14">
        <f t="shared" si="11"/>
        <v>0.6151194753</v>
      </c>
    </row>
    <row r="826">
      <c r="A826" s="7">
        <v>4594.0</v>
      </c>
      <c r="B826" s="7" t="str">
        <f>VLOOKUP($A826,product_category,2, False)</f>
        <v>Fruits</v>
      </c>
      <c r="C826" s="7">
        <v>6.38937652E8</v>
      </c>
      <c r="D826" s="9">
        <v>41498.0</v>
      </c>
      <c r="E826" s="10">
        <f t="shared" si="1"/>
        <v>8</v>
      </c>
      <c r="F826" s="10" t="str">
        <f t="shared" si="2"/>
        <v>Aug</v>
      </c>
      <c r="G826" s="11">
        <f t="shared" si="3"/>
        <v>12</v>
      </c>
      <c r="H826" s="7">
        <f t="shared" si="4"/>
        <v>2013</v>
      </c>
      <c r="I826" s="9">
        <v>41523.0</v>
      </c>
      <c r="J826" s="11">
        <f t="shared" si="5"/>
        <v>25</v>
      </c>
      <c r="K826" s="7" t="s">
        <v>322</v>
      </c>
      <c r="L826" s="7" t="s">
        <v>111</v>
      </c>
      <c r="M826" s="7" t="str">
        <f>VLOOKUP(L826,countries, 2,false)</f>
        <v>Norway</v>
      </c>
      <c r="N826" s="7" t="str">
        <f>VLOOKUP(L826,countries, 4,false)</f>
        <v>Europe</v>
      </c>
      <c r="O826" s="7" t="str">
        <f>VLOOKUP(L826,countries, 5,false)</f>
        <v>Northern Europe</v>
      </c>
      <c r="P826" s="7" t="s">
        <v>212</v>
      </c>
      <c r="Q826" s="7">
        <v>4705.0</v>
      </c>
      <c r="R826" s="12">
        <v>9.33</v>
      </c>
      <c r="S826" s="12">
        <v>6.92</v>
      </c>
      <c r="T826" s="13">
        <f t="shared" si="6"/>
        <v>43897.65</v>
      </c>
      <c r="U826" s="13">
        <f t="shared" si="7"/>
        <v>21394.67</v>
      </c>
      <c r="V826" s="13">
        <f t="shared" si="8"/>
        <v>22502.98</v>
      </c>
      <c r="W826" s="14">
        <f>Q826/totals!B$2</f>
        <v>0.0007154235277</v>
      </c>
      <c r="X826" s="14">
        <f t="shared" si="9"/>
        <v>0.6115844784</v>
      </c>
      <c r="Y826" s="14">
        <f>T826/totals!B$5</f>
        <v>0.00002578984288</v>
      </c>
      <c r="Z826" s="14">
        <f t="shared" si="10"/>
        <v>0.6022195632</v>
      </c>
      <c r="AA826" s="14">
        <f>V826/totals!B$4</f>
        <v>0.0000448703993</v>
      </c>
      <c r="AB826" s="14">
        <f t="shared" si="11"/>
        <v>0.6151643457</v>
      </c>
    </row>
    <row r="827">
      <c r="A827" s="7">
        <v>1270.0</v>
      </c>
      <c r="B827" s="7" t="str">
        <f>VLOOKUP($A827,product_category,2, False)</f>
        <v>Beverages</v>
      </c>
      <c r="C827" s="7">
        <v>6.38957822E8</v>
      </c>
      <c r="D827" s="9">
        <v>42886.0</v>
      </c>
      <c r="E827" s="10">
        <f t="shared" si="1"/>
        <v>5</v>
      </c>
      <c r="F827" s="10" t="str">
        <f t="shared" si="2"/>
        <v>May</v>
      </c>
      <c r="G827" s="11">
        <f t="shared" si="3"/>
        <v>31</v>
      </c>
      <c r="H827" s="7">
        <f t="shared" si="4"/>
        <v>2017</v>
      </c>
      <c r="I827" s="9">
        <v>42910.0</v>
      </c>
      <c r="J827" s="11">
        <f t="shared" si="5"/>
        <v>24</v>
      </c>
      <c r="K827" s="7" t="s">
        <v>110</v>
      </c>
      <c r="L827" s="7" t="s">
        <v>439</v>
      </c>
      <c r="M827" s="7" t="str">
        <f>VLOOKUP(L827,countries, 2,false)</f>
        <v>Slovakia</v>
      </c>
      <c r="N827" s="7" t="str">
        <f>VLOOKUP(L827,countries, 4,false)</f>
        <v>Europe</v>
      </c>
      <c r="O827" s="7" t="str">
        <f>VLOOKUP(L827,countries, 5,false)</f>
        <v>Eastern Europe</v>
      </c>
      <c r="P827" s="7" t="s">
        <v>129</v>
      </c>
      <c r="Q827" s="7">
        <v>673.0</v>
      </c>
      <c r="R827" s="12">
        <v>47.45</v>
      </c>
      <c r="S827" s="12">
        <v>31.79</v>
      </c>
      <c r="T827" s="13">
        <f t="shared" si="6"/>
        <v>31933.85</v>
      </c>
      <c r="U827" s="13">
        <f t="shared" si="7"/>
        <v>83148.1</v>
      </c>
      <c r="V827" s="13">
        <f t="shared" si="8"/>
        <v>-51214.25</v>
      </c>
      <c r="W827" s="14">
        <f>Q827/totals!B$2</f>
        <v>0.0001023336948</v>
      </c>
      <c r="X827" s="14">
        <f t="shared" si="9"/>
        <v>0.6116868121</v>
      </c>
      <c r="Y827" s="14">
        <f>T827/totals!B$5</f>
        <v>0.0000187611176</v>
      </c>
      <c r="Z827" s="14">
        <f t="shared" si="10"/>
        <v>0.6022383243</v>
      </c>
      <c r="AA827" s="14">
        <f>V827/totals!B$4</f>
        <v>-0.0001021199791</v>
      </c>
      <c r="AB827" s="14">
        <f t="shared" si="11"/>
        <v>0.6150622257</v>
      </c>
    </row>
    <row r="828">
      <c r="A828" s="7">
        <v>2103.0</v>
      </c>
      <c r="B828" s="7" t="str">
        <f>VLOOKUP($A828,product_category,2, False)</f>
        <v>Cereal</v>
      </c>
      <c r="C828" s="7">
        <v>6.39126908E8</v>
      </c>
      <c r="D828" s="9">
        <v>40632.0</v>
      </c>
      <c r="E828" s="10">
        <f t="shared" si="1"/>
        <v>3</v>
      </c>
      <c r="F828" s="10" t="str">
        <f t="shared" si="2"/>
        <v>Mar</v>
      </c>
      <c r="G828" s="11">
        <f t="shared" si="3"/>
        <v>30</v>
      </c>
      <c r="H828" s="7">
        <f t="shared" si="4"/>
        <v>2011</v>
      </c>
      <c r="I828" s="9">
        <v>40673.0</v>
      </c>
      <c r="J828" s="11">
        <f t="shared" si="5"/>
        <v>41</v>
      </c>
      <c r="K828" s="7" t="s">
        <v>198</v>
      </c>
      <c r="L828" s="7" t="s">
        <v>136</v>
      </c>
      <c r="M828" s="7" t="str">
        <f>VLOOKUP(L828,countries, 2,false)</f>
        <v>Bosnia and Herzegovina</v>
      </c>
      <c r="N828" s="7" t="str">
        <f>VLOOKUP(L828,countries, 4,false)</f>
        <v>Europe</v>
      </c>
      <c r="O828" s="7" t="str">
        <f>VLOOKUP(L828,countries, 5,false)</f>
        <v>Southern Europe</v>
      </c>
      <c r="P828" s="7" t="s">
        <v>129</v>
      </c>
      <c r="Q828" s="7">
        <v>710.0</v>
      </c>
      <c r="R828" s="12">
        <v>205.7</v>
      </c>
      <c r="S828" s="12">
        <v>117.11</v>
      </c>
      <c r="T828" s="13">
        <f t="shared" si="6"/>
        <v>146047</v>
      </c>
      <c r="U828" s="13">
        <f t="shared" si="7"/>
        <v>1059664.74</v>
      </c>
      <c r="V828" s="13">
        <f t="shared" si="8"/>
        <v>-913617.74</v>
      </c>
      <c r="W828" s="14">
        <f>Q828/totals!B$2</f>
        <v>0.0001079597672</v>
      </c>
      <c r="X828" s="14">
        <f t="shared" si="9"/>
        <v>0.6117947718</v>
      </c>
      <c r="Y828" s="14">
        <f>T828/totals!B$5</f>
        <v>0.00008580252435</v>
      </c>
      <c r="Z828" s="14">
        <f t="shared" si="10"/>
        <v>0.6023241268</v>
      </c>
      <c r="AA828" s="14">
        <f>V828/totals!B$4</f>
        <v>-0.001821731735</v>
      </c>
      <c r="AB828" s="14">
        <f t="shared" si="11"/>
        <v>0.6132404939</v>
      </c>
    </row>
    <row r="829">
      <c r="A829" s="7">
        <v>7331.0</v>
      </c>
      <c r="B829" s="7" t="str">
        <f>VLOOKUP($A829,product_category,2, False)</f>
        <v>Baby Food</v>
      </c>
      <c r="C829" s="7">
        <v>6.40295922E8</v>
      </c>
      <c r="D829" s="9">
        <v>42095.0</v>
      </c>
      <c r="E829" s="10">
        <f t="shared" si="1"/>
        <v>4</v>
      </c>
      <c r="F829" s="10" t="str">
        <f t="shared" si="2"/>
        <v>Apr</v>
      </c>
      <c r="G829" s="11">
        <f t="shared" si="3"/>
        <v>1</v>
      </c>
      <c r="H829" s="7">
        <f t="shared" si="4"/>
        <v>2015</v>
      </c>
      <c r="I829" s="9">
        <v>42097.0</v>
      </c>
      <c r="J829" s="11">
        <f t="shared" si="5"/>
        <v>2</v>
      </c>
      <c r="K829" s="7" t="s">
        <v>110</v>
      </c>
      <c r="L829" s="7" t="s">
        <v>136</v>
      </c>
      <c r="M829" s="7" t="str">
        <f>VLOOKUP(L829,countries, 2,false)</f>
        <v>Bosnia and Herzegovina</v>
      </c>
      <c r="N829" s="7" t="str">
        <f>VLOOKUP(L829,countries, 4,false)</f>
        <v>Europe</v>
      </c>
      <c r="O829" s="7" t="str">
        <f>VLOOKUP(L829,countries, 5,false)</f>
        <v>Southern Europe</v>
      </c>
      <c r="P829" s="7" t="s">
        <v>129</v>
      </c>
      <c r="Q829" s="7">
        <v>6647.0</v>
      </c>
      <c r="R829" s="12">
        <v>255.28</v>
      </c>
      <c r="S829" s="12">
        <v>159.42</v>
      </c>
      <c r="T829" s="13">
        <f t="shared" si="6"/>
        <v>1696846.16</v>
      </c>
      <c r="U829" s="13">
        <f t="shared" si="7"/>
        <v>3074165.76</v>
      </c>
      <c r="V829" s="13">
        <f t="shared" si="8"/>
        <v>-1377319.6</v>
      </c>
      <c r="W829" s="14">
        <f>Q829/totals!B$2</f>
        <v>0.001010716299</v>
      </c>
      <c r="X829" s="14">
        <f t="shared" si="9"/>
        <v>0.6128054881</v>
      </c>
      <c r="Y829" s="14">
        <f>T829/totals!B$5</f>
        <v>0.0009968960949</v>
      </c>
      <c r="Z829" s="14">
        <f t="shared" si="10"/>
        <v>0.6033210229</v>
      </c>
      <c r="AA829" s="14">
        <f>V829/totals!B$4</f>
        <v>-0.002746342058</v>
      </c>
      <c r="AB829" s="14">
        <f t="shared" si="11"/>
        <v>0.6104941519</v>
      </c>
    </row>
    <row r="830">
      <c r="A830" s="7">
        <v>8681.0</v>
      </c>
      <c r="B830" s="7" t="str">
        <f>VLOOKUP($A830,product_category,2, False)</f>
        <v>Office Supplies</v>
      </c>
      <c r="C830" s="7">
        <v>6.40394628E8</v>
      </c>
      <c r="D830" s="9">
        <v>42296.0</v>
      </c>
      <c r="E830" s="10">
        <f t="shared" si="1"/>
        <v>10</v>
      </c>
      <c r="F830" s="10" t="str">
        <f t="shared" si="2"/>
        <v>Oct</v>
      </c>
      <c r="G830" s="11">
        <f t="shared" si="3"/>
        <v>19</v>
      </c>
      <c r="H830" s="7">
        <f t="shared" si="4"/>
        <v>2015</v>
      </c>
      <c r="I830" s="9">
        <v>42315.0</v>
      </c>
      <c r="J830" s="11">
        <f t="shared" si="5"/>
        <v>19</v>
      </c>
      <c r="K830" s="7" t="s">
        <v>382</v>
      </c>
      <c r="L830" s="7" t="s">
        <v>136</v>
      </c>
      <c r="M830" s="7" t="str">
        <f>VLOOKUP(L830,countries, 2,false)</f>
        <v>Bosnia and Herzegovina</v>
      </c>
      <c r="N830" s="7" t="str">
        <f>VLOOKUP(L830,countries, 4,false)</f>
        <v>Europe</v>
      </c>
      <c r="O830" s="7" t="str">
        <f>VLOOKUP(L830,countries, 5,false)</f>
        <v>Southern Europe</v>
      </c>
      <c r="P830" s="7" t="s">
        <v>212</v>
      </c>
      <c r="Q830" s="7">
        <v>5856.0</v>
      </c>
      <c r="R830" s="12">
        <v>651.21</v>
      </c>
      <c r="S830" s="12">
        <v>524.96</v>
      </c>
      <c r="T830" s="13">
        <f t="shared" si="6"/>
        <v>3813485.76</v>
      </c>
      <c r="U830" s="13">
        <f t="shared" si="7"/>
        <v>775.04</v>
      </c>
      <c r="V830" s="13">
        <f t="shared" si="8"/>
        <v>3812710.72</v>
      </c>
      <c r="W830" s="14">
        <f>Q830/totals!B$2</f>
        <v>0.0008904399954</v>
      </c>
      <c r="X830" s="14">
        <f t="shared" si="9"/>
        <v>0.6136959281</v>
      </c>
      <c r="Y830" s="14">
        <f>T830/totals!B$5</f>
        <v>0.002240420582</v>
      </c>
      <c r="Z830" s="14">
        <f t="shared" si="10"/>
        <v>0.6055614435</v>
      </c>
      <c r="AA830" s="14">
        <f>V830/totals!B$4</f>
        <v>0.007602453205</v>
      </c>
      <c r="AB830" s="14">
        <f t="shared" si="11"/>
        <v>0.6180966051</v>
      </c>
    </row>
    <row r="831">
      <c r="A831" s="7">
        <v>4594.0</v>
      </c>
      <c r="B831" s="7" t="str">
        <f>VLOOKUP($A831,product_category,2, False)</f>
        <v>Fruits</v>
      </c>
      <c r="C831" s="7">
        <v>6.40476596E8</v>
      </c>
      <c r="D831" s="9">
        <v>41933.0</v>
      </c>
      <c r="E831" s="10">
        <f t="shared" si="1"/>
        <v>10</v>
      </c>
      <c r="F831" s="10" t="str">
        <f t="shared" si="2"/>
        <v>Oct</v>
      </c>
      <c r="G831" s="11">
        <f t="shared" si="3"/>
        <v>21</v>
      </c>
      <c r="H831" s="7">
        <f t="shared" si="4"/>
        <v>2014</v>
      </c>
      <c r="I831" s="9">
        <v>41936.0</v>
      </c>
      <c r="J831" s="11">
        <f t="shared" si="5"/>
        <v>3</v>
      </c>
      <c r="K831" s="7" t="s">
        <v>382</v>
      </c>
      <c r="L831" s="7" t="s">
        <v>367</v>
      </c>
      <c r="M831" s="7" t="str">
        <f>VLOOKUP(L831,countries, 2,false)</f>
        <v>Iceland</v>
      </c>
      <c r="N831" s="7" t="str">
        <f>VLOOKUP(L831,countries, 4,false)</f>
        <v>Europe</v>
      </c>
      <c r="O831" s="7" t="str">
        <f>VLOOKUP(L831,countries, 5,false)</f>
        <v>Northern Europe</v>
      </c>
      <c r="P831" s="7" t="s">
        <v>129</v>
      </c>
      <c r="Q831" s="7">
        <v>112.0</v>
      </c>
      <c r="R831" s="12">
        <v>9.33</v>
      </c>
      <c r="S831" s="12">
        <v>6.92</v>
      </c>
      <c r="T831" s="13">
        <f t="shared" si="6"/>
        <v>1044.96</v>
      </c>
      <c r="U831" s="13">
        <f t="shared" si="7"/>
        <v>2124513.12</v>
      </c>
      <c r="V831" s="13">
        <f t="shared" si="8"/>
        <v>-2123468.16</v>
      </c>
      <c r="W831" s="14">
        <f>Q831/totals!B$2</f>
        <v>0.00001703027314</v>
      </c>
      <c r="X831" s="14">
        <f t="shared" si="9"/>
        <v>0.6137129584</v>
      </c>
      <c r="Y831" s="14">
        <f>T831/totals!B$5</f>
        <v>0.0000006139133693</v>
      </c>
      <c r="Z831" s="14">
        <f t="shared" si="10"/>
        <v>0.6055620574</v>
      </c>
      <c r="AA831" s="14">
        <f>V831/totals!B$4</f>
        <v>-0.004234144288</v>
      </c>
      <c r="AB831" s="14">
        <f t="shared" si="11"/>
        <v>0.6138624608</v>
      </c>
    </row>
    <row r="832">
      <c r="A832" s="7">
        <v>8681.0</v>
      </c>
      <c r="B832" s="7" t="str">
        <f>VLOOKUP($A832,product_category,2, False)</f>
        <v>Office Supplies</v>
      </c>
      <c r="C832" s="7">
        <v>6.41537463E8</v>
      </c>
      <c r="D832" s="9">
        <v>42310.0</v>
      </c>
      <c r="E832" s="10">
        <f t="shared" si="1"/>
        <v>11</v>
      </c>
      <c r="F832" s="10" t="str">
        <f t="shared" si="2"/>
        <v>Nov</v>
      </c>
      <c r="G832" s="11">
        <f t="shared" si="3"/>
        <v>2</v>
      </c>
      <c r="H832" s="7">
        <f t="shared" si="4"/>
        <v>2015</v>
      </c>
      <c r="I832" s="9">
        <v>42352.0</v>
      </c>
      <c r="J832" s="11">
        <f t="shared" si="5"/>
        <v>42</v>
      </c>
      <c r="K832" s="7" t="s">
        <v>382</v>
      </c>
      <c r="L832" s="7" t="s">
        <v>155</v>
      </c>
      <c r="M832" s="7" t="str">
        <f>VLOOKUP(L832,countries, 2,false)</f>
        <v>Bulgaria</v>
      </c>
      <c r="N832" s="7" t="str">
        <f>VLOOKUP(L832,countries, 4,false)</f>
        <v>Europe</v>
      </c>
      <c r="O832" s="7" t="str">
        <f>VLOOKUP(L832,countries, 5,false)</f>
        <v>Eastern Europe</v>
      </c>
      <c r="P832" s="7" t="s">
        <v>129</v>
      </c>
      <c r="Q832" s="7">
        <v>4047.0</v>
      </c>
      <c r="R832" s="12">
        <v>651.21</v>
      </c>
      <c r="S832" s="12">
        <v>524.96</v>
      </c>
      <c r="T832" s="13">
        <f t="shared" si="6"/>
        <v>2635446.87</v>
      </c>
      <c r="U832" s="13">
        <f t="shared" si="7"/>
        <v>239156.17</v>
      </c>
      <c r="V832" s="13">
        <f t="shared" si="8"/>
        <v>2396290.7</v>
      </c>
      <c r="W832" s="14">
        <f>Q832/totals!B$2</f>
        <v>0.000615370673</v>
      </c>
      <c r="X832" s="14">
        <f t="shared" si="9"/>
        <v>0.6143283291</v>
      </c>
      <c r="Y832" s="14">
        <f>T832/totals!B$5</f>
        <v>0.001548323445</v>
      </c>
      <c r="Z832" s="14">
        <f t="shared" si="10"/>
        <v>0.6071103809</v>
      </c>
      <c r="AA832" s="14">
        <f>V832/totals!B$4</f>
        <v>0.004778145852</v>
      </c>
      <c r="AB832" s="14">
        <f t="shared" si="11"/>
        <v>0.6186406066</v>
      </c>
    </row>
    <row r="833">
      <c r="A833" s="7">
        <v>1270.0</v>
      </c>
      <c r="B833" s="7" t="str">
        <f>VLOOKUP($A833,product_category,2, False)</f>
        <v>Beverages</v>
      </c>
      <c r="C833" s="7">
        <v>6.42123687E8</v>
      </c>
      <c r="D833" s="9">
        <v>40688.0</v>
      </c>
      <c r="E833" s="10">
        <f t="shared" si="1"/>
        <v>5</v>
      </c>
      <c r="F833" s="10" t="str">
        <f t="shared" si="2"/>
        <v>May</v>
      </c>
      <c r="G833" s="11">
        <f t="shared" si="3"/>
        <v>25</v>
      </c>
      <c r="H833" s="7">
        <f t="shared" si="4"/>
        <v>2011</v>
      </c>
      <c r="I833" s="9">
        <v>40693.0</v>
      </c>
      <c r="J833" s="11">
        <f t="shared" si="5"/>
        <v>5</v>
      </c>
      <c r="K833" s="7" t="s">
        <v>110</v>
      </c>
      <c r="L833" s="7" t="s">
        <v>316</v>
      </c>
      <c r="M833" s="7" t="str">
        <f>VLOOKUP(L833,countries, 2,false)</f>
        <v>Greece</v>
      </c>
      <c r="N833" s="7" t="str">
        <f>VLOOKUP(L833,countries, 4,false)</f>
        <v>Europe</v>
      </c>
      <c r="O833" s="7" t="str">
        <f>VLOOKUP(L833,countries, 5,false)</f>
        <v>Southern Europe</v>
      </c>
      <c r="P833" s="7" t="s">
        <v>129</v>
      </c>
      <c r="Q833" s="7">
        <v>7523.0</v>
      </c>
      <c r="R833" s="12">
        <v>47.45</v>
      </c>
      <c r="S833" s="12">
        <v>31.79</v>
      </c>
      <c r="T833" s="13">
        <f t="shared" si="6"/>
        <v>356966.35</v>
      </c>
      <c r="U833" s="13">
        <f t="shared" si="7"/>
        <v>99629.86</v>
      </c>
      <c r="V833" s="13">
        <f t="shared" si="8"/>
        <v>257336.49</v>
      </c>
      <c r="W833" s="14">
        <f>Q833/totals!B$2</f>
        <v>0.001143917364</v>
      </c>
      <c r="X833" s="14">
        <f t="shared" si="9"/>
        <v>0.6154722464</v>
      </c>
      <c r="Y833" s="14">
        <f>T833/totals!B$5</f>
        <v>0.0002097175152</v>
      </c>
      <c r="Z833" s="14">
        <f t="shared" si="10"/>
        <v>0.6073200984</v>
      </c>
      <c r="AA833" s="14">
        <f>V833/totals!B$4</f>
        <v>0.0005131227535</v>
      </c>
      <c r="AB833" s="14">
        <f t="shared" si="11"/>
        <v>0.6191537294</v>
      </c>
    </row>
    <row r="834">
      <c r="A834" s="7">
        <v>1270.0</v>
      </c>
      <c r="B834" s="7" t="str">
        <f>VLOOKUP($A834,product_category,2, False)</f>
        <v>Beverages</v>
      </c>
      <c r="C834" s="7">
        <v>6.4295367E8</v>
      </c>
      <c r="D834" s="9">
        <v>42304.0</v>
      </c>
      <c r="E834" s="10">
        <f t="shared" si="1"/>
        <v>10</v>
      </c>
      <c r="F834" s="10" t="str">
        <f t="shared" si="2"/>
        <v>Oct</v>
      </c>
      <c r="G834" s="11">
        <f t="shared" si="3"/>
        <v>27</v>
      </c>
      <c r="H834" s="7">
        <f t="shared" si="4"/>
        <v>2015</v>
      </c>
      <c r="I834" s="9">
        <v>42347.0</v>
      </c>
      <c r="J834" s="11">
        <f t="shared" si="5"/>
        <v>43</v>
      </c>
      <c r="K834" s="7" t="s">
        <v>110</v>
      </c>
      <c r="L834" s="7" t="s">
        <v>534</v>
      </c>
      <c r="M834" s="7" t="str">
        <f>VLOOKUP(L834,countries, 2,false)</f>
        <v>Netherlands</v>
      </c>
      <c r="N834" s="7" t="str">
        <f>VLOOKUP(L834,countries, 4,false)</f>
        <v>Europe</v>
      </c>
      <c r="O834" s="7" t="str">
        <f>VLOOKUP(L834,countries, 5,false)</f>
        <v>Western Europe</v>
      </c>
      <c r="P834" s="7" t="s">
        <v>212</v>
      </c>
      <c r="Q834" s="7">
        <v>3134.0</v>
      </c>
      <c r="R834" s="12">
        <v>47.45</v>
      </c>
      <c r="S834" s="12">
        <v>31.79</v>
      </c>
      <c r="T834" s="13">
        <f t="shared" si="6"/>
        <v>148708.3</v>
      </c>
      <c r="U834" s="13">
        <f t="shared" si="7"/>
        <v>1815062.13</v>
      </c>
      <c r="V834" s="13">
        <f t="shared" si="8"/>
        <v>-1666353.83</v>
      </c>
      <c r="W834" s="14">
        <f>Q834/totals!B$2</f>
        <v>0.0004765435358</v>
      </c>
      <c r="X834" s="14">
        <f t="shared" si="9"/>
        <v>0.61594879</v>
      </c>
      <c r="Y834" s="14">
        <f>T834/totals!B$5</f>
        <v>0.0000873660365</v>
      </c>
      <c r="Z834" s="14">
        <f t="shared" si="10"/>
        <v>0.6074074644</v>
      </c>
      <c r="AA834" s="14">
        <f>V834/totals!B$4</f>
        <v>-0.003322669341</v>
      </c>
      <c r="AB834" s="14">
        <f t="shared" si="11"/>
        <v>0.6158310601</v>
      </c>
    </row>
    <row r="835">
      <c r="A835" s="7">
        <v>8875.0</v>
      </c>
      <c r="B835" s="7" t="str">
        <f>VLOOKUP($A835,product_category,2, False)</f>
        <v>Meat</v>
      </c>
      <c r="C835" s="7">
        <v>6.43027484E8</v>
      </c>
      <c r="D835" s="9">
        <v>40674.0</v>
      </c>
      <c r="E835" s="10">
        <f t="shared" si="1"/>
        <v>5</v>
      </c>
      <c r="F835" s="10" t="str">
        <f t="shared" si="2"/>
        <v>May</v>
      </c>
      <c r="G835" s="11">
        <f t="shared" si="3"/>
        <v>11</v>
      </c>
      <c r="H835" s="7">
        <f t="shared" si="4"/>
        <v>2011</v>
      </c>
      <c r="I835" s="9">
        <v>40681.0</v>
      </c>
      <c r="J835" s="11">
        <f t="shared" si="5"/>
        <v>7</v>
      </c>
      <c r="K835" s="7" t="s">
        <v>382</v>
      </c>
      <c r="L835" s="7" t="s">
        <v>367</v>
      </c>
      <c r="M835" s="7" t="str">
        <f>VLOOKUP(L835,countries, 2,false)</f>
        <v>Iceland</v>
      </c>
      <c r="N835" s="7" t="str">
        <f>VLOOKUP(L835,countries, 4,false)</f>
        <v>Europe</v>
      </c>
      <c r="O835" s="7" t="str">
        <f>VLOOKUP(L835,countries, 5,false)</f>
        <v>Northern Europe</v>
      </c>
      <c r="P835" s="7" t="s">
        <v>129</v>
      </c>
      <c r="Q835" s="7">
        <v>4977.0</v>
      </c>
      <c r="R835" s="12">
        <v>421.89</v>
      </c>
      <c r="S835" s="12">
        <v>364.69</v>
      </c>
      <c r="T835" s="13">
        <f t="shared" si="6"/>
        <v>2099746.53</v>
      </c>
      <c r="U835" s="13">
        <f t="shared" si="7"/>
        <v>1296472.95</v>
      </c>
      <c r="V835" s="13">
        <f t="shared" si="8"/>
        <v>803273.58</v>
      </c>
      <c r="W835" s="14">
        <f>Q835/totals!B$2</f>
        <v>0.0007567827624</v>
      </c>
      <c r="X835" s="14">
        <f t="shared" si="9"/>
        <v>0.6167055727</v>
      </c>
      <c r="Y835" s="14">
        <f>T835/totals!B$5</f>
        <v>0.001233599819</v>
      </c>
      <c r="Z835" s="14">
        <f t="shared" si="10"/>
        <v>0.6086410643</v>
      </c>
      <c r="AA835" s="14">
        <f>V835/totals!B$4</f>
        <v>0.001601708142</v>
      </c>
      <c r="AB835" s="14">
        <f t="shared" si="11"/>
        <v>0.6174327682</v>
      </c>
    </row>
    <row r="836">
      <c r="A836" s="7">
        <v>8875.0</v>
      </c>
      <c r="B836" s="7" t="str">
        <f>VLOOKUP($A836,product_category,2, False)</f>
        <v>Meat</v>
      </c>
      <c r="C836" s="7">
        <v>6.43259227E8</v>
      </c>
      <c r="D836" s="9">
        <v>41025.0</v>
      </c>
      <c r="E836" s="10">
        <f t="shared" si="1"/>
        <v>4</v>
      </c>
      <c r="F836" s="10" t="str">
        <f t="shared" si="2"/>
        <v>Apr</v>
      </c>
      <c r="G836" s="11">
        <f t="shared" si="3"/>
        <v>26</v>
      </c>
      <c r="H836" s="7">
        <f t="shared" si="4"/>
        <v>2012</v>
      </c>
      <c r="I836" s="9">
        <v>41025.0</v>
      </c>
      <c r="J836" s="11">
        <f t="shared" si="5"/>
        <v>0</v>
      </c>
      <c r="K836" s="7" t="s">
        <v>322</v>
      </c>
      <c r="L836" s="7" t="s">
        <v>705</v>
      </c>
      <c r="M836" s="7" t="str">
        <f>VLOOKUP(L836,countries, 2,false)</f>
        <v>Switzerland</v>
      </c>
      <c r="N836" s="7" t="str">
        <f>VLOOKUP(L836,countries, 4,false)</f>
        <v>Europe</v>
      </c>
      <c r="O836" s="7" t="str">
        <f>VLOOKUP(L836,countries, 5,false)</f>
        <v>Western Europe</v>
      </c>
      <c r="P836" s="7" t="s">
        <v>212</v>
      </c>
      <c r="Q836" s="7">
        <v>3555.0</v>
      </c>
      <c r="R836" s="12">
        <v>421.89</v>
      </c>
      <c r="S836" s="12">
        <v>364.69</v>
      </c>
      <c r="T836" s="13">
        <f t="shared" si="6"/>
        <v>1499818.95</v>
      </c>
      <c r="U836" s="13">
        <f t="shared" si="7"/>
        <v>66155.2</v>
      </c>
      <c r="V836" s="13">
        <f t="shared" si="8"/>
        <v>1433663.75</v>
      </c>
      <c r="W836" s="14">
        <f>Q836/totals!B$2</f>
        <v>0.000540559116</v>
      </c>
      <c r="X836" s="14">
        <f t="shared" si="9"/>
        <v>0.6172461318</v>
      </c>
      <c r="Y836" s="14">
        <f>T836/totals!B$5</f>
        <v>0.0008811427279</v>
      </c>
      <c r="Z836" s="14">
        <f t="shared" si="10"/>
        <v>0.609522207</v>
      </c>
      <c r="AA836" s="14">
        <f>V836/totals!B$4</f>
        <v>0.002858690934</v>
      </c>
      <c r="AB836" s="14">
        <f t="shared" si="11"/>
        <v>0.6202914591</v>
      </c>
    </row>
    <row r="837">
      <c r="A837" s="7">
        <v>4594.0</v>
      </c>
      <c r="B837" s="7" t="str">
        <f>VLOOKUP($A837,product_category,2, False)</f>
        <v>Fruits</v>
      </c>
      <c r="C837" s="7">
        <v>6.43448483E8</v>
      </c>
      <c r="D837" s="9">
        <v>42925.0</v>
      </c>
      <c r="E837" s="10">
        <f t="shared" si="1"/>
        <v>7</v>
      </c>
      <c r="F837" s="10" t="str">
        <f t="shared" si="2"/>
        <v>Jul</v>
      </c>
      <c r="G837" s="11">
        <f t="shared" si="3"/>
        <v>9</v>
      </c>
      <c r="H837" s="7">
        <f t="shared" si="4"/>
        <v>2017</v>
      </c>
      <c r="I837" s="9">
        <v>42941.0</v>
      </c>
      <c r="J837" s="11">
        <f t="shared" si="5"/>
        <v>16</v>
      </c>
      <c r="K837" s="7" t="s">
        <v>322</v>
      </c>
      <c r="L837" s="7" t="s">
        <v>316</v>
      </c>
      <c r="M837" s="7" t="str">
        <f>VLOOKUP(L837,countries, 2,false)</f>
        <v>Greece</v>
      </c>
      <c r="N837" s="7" t="str">
        <f>VLOOKUP(L837,countries, 4,false)</f>
        <v>Europe</v>
      </c>
      <c r="O837" s="7" t="str">
        <f>VLOOKUP(L837,countries, 5,false)</f>
        <v>Southern Europe</v>
      </c>
      <c r="P837" s="7" t="s">
        <v>129</v>
      </c>
      <c r="Q837" s="7">
        <v>9560.0</v>
      </c>
      <c r="R837" s="12">
        <v>9.33</v>
      </c>
      <c r="S837" s="12">
        <v>6.92</v>
      </c>
      <c r="T837" s="13">
        <f t="shared" si="6"/>
        <v>89194.8</v>
      </c>
      <c r="U837" s="13">
        <f t="shared" si="7"/>
        <v>279609.78</v>
      </c>
      <c r="V837" s="13">
        <f t="shared" si="8"/>
        <v>-190414.98</v>
      </c>
      <c r="W837" s="14">
        <f>Q837/totals!B$2</f>
        <v>0.001453655457</v>
      </c>
      <c r="X837" s="14">
        <f t="shared" si="9"/>
        <v>0.6186997873</v>
      </c>
      <c r="Y837" s="14">
        <f>T837/totals!B$5</f>
        <v>0.00005240189117</v>
      </c>
      <c r="Z837" s="14">
        <f t="shared" si="10"/>
        <v>0.6095746089</v>
      </c>
      <c r="AA837" s="14">
        <f>V837/totals!B$4</f>
        <v>-0.0003796828769</v>
      </c>
      <c r="AB837" s="14">
        <f t="shared" si="11"/>
        <v>0.6199117763</v>
      </c>
    </row>
    <row r="838">
      <c r="A838" s="7">
        <v>3127.0</v>
      </c>
      <c r="B838" s="7" t="str">
        <f>VLOOKUP($A838,product_category,2, False)</f>
        <v>Personal Care</v>
      </c>
      <c r="C838" s="7">
        <v>6.43770778E8</v>
      </c>
      <c r="D838" s="9">
        <v>42209.0</v>
      </c>
      <c r="E838" s="10">
        <f t="shared" si="1"/>
        <v>7</v>
      </c>
      <c r="F838" s="10" t="str">
        <f t="shared" si="2"/>
        <v>Jul</v>
      </c>
      <c r="G838" s="11">
        <f t="shared" si="3"/>
        <v>24</v>
      </c>
      <c r="H838" s="7">
        <f t="shared" si="4"/>
        <v>2015</v>
      </c>
      <c r="I838" s="9">
        <v>42216.0</v>
      </c>
      <c r="J838" s="11">
        <f t="shared" si="5"/>
        <v>7</v>
      </c>
      <c r="K838" s="7" t="s">
        <v>322</v>
      </c>
      <c r="L838" s="7" t="s">
        <v>304</v>
      </c>
      <c r="M838" s="7" t="str">
        <f>VLOOKUP(L838,countries, 2,false)</f>
        <v>Georgia</v>
      </c>
      <c r="N838" s="7" t="str">
        <f>VLOOKUP(L838,countries, 4,false)</f>
        <v>Asia</v>
      </c>
      <c r="O838" s="7" t="str">
        <f>VLOOKUP(L838,countries, 5,false)</f>
        <v>Western Asia</v>
      </c>
      <c r="P838" s="7" t="s">
        <v>212</v>
      </c>
      <c r="Q838" s="7">
        <v>4934.0</v>
      </c>
      <c r="R838" s="12">
        <v>81.73</v>
      </c>
      <c r="S838" s="12">
        <v>56.67</v>
      </c>
      <c r="T838" s="13">
        <f t="shared" si="6"/>
        <v>403255.82</v>
      </c>
      <c r="U838" s="13">
        <f t="shared" si="7"/>
        <v>4268449.76</v>
      </c>
      <c r="V838" s="13">
        <f t="shared" si="8"/>
        <v>-3865193.94</v>
      </c>
      <c r="W838" s="14">
        <f>Q838/totals!B$2</f>
        <v>0.000750244354</v>
      </c>
      <c r="X838" s="14">
        <f t="shared" si="9"/>
        <v>0.6194500317</v>
      </c>
      <c r="Y838" s="14">
        <f>T838/totals!B$5</f>
        <v>0.0002369125509</v>
      </c>
      <c r="Z838" s="14">
        <f t="shared" si="10"/>
        <v>0.6098115214</v>
      </c>
      <c r="AA838" s="14">
        <f>V838/totals!B$4</f>
        <v>-0.00770710348</v>
      </c>
      <c r="AB838" s="14">
        <f t="shared" si="11"/>
        <v>0.6122046728</v>
      </c>
    </row>
    <row r="839">
      <c r="A839" s="7">
        <v>8681.0</v>
      </c>
      <c r="B839" s="7" t="str">
        <f>VLOOKUP($A839,product_category,2, False)</f>
        <v>Office Supplies</v>
      </c>
      <c r="C839" s="7">
        <v>6.44592607E8</v>
      </c>
      <c r="D839" s="9">
        <v>42557.0</v>
      </c>
      <c r="E839" s="10">
        <f t="shared" si="1"/>
        <v>7</v>
      </c>
      <c r="F839" s="10" t="str">
        <f t="shared" si="2"/>
        <v>Jul</v>
      </c>
      <c r="G839" s="11">
        <f t="shared" si="3"/>
        <v>6</v>
      </c>
      <c r="H839" s="7">
        <f t="shared" si="4"/>
        <v>2016</v>
      </c>
      <c r="I839" s="9">
        <v>42582.0</v>
      </c>
      <c r="J839" s="11">
        <f t="shared" si="5"/>
        <v>25</v>
      </c>
      <c r="K839" s="7" t="s">
        <v>382</v>
      </c>
      <c r="L839" s="7" t="s">
        <v>107</v>
      </c>
      <c r="M839" s="7" t="str">
        <f>VLOOKUP(L839,countries, 2,false)</f>
        <v>Belarus</v>
      </c>
      <c r="N839" s="7" t="str">
        <f>VLOOKUP(L839,countries, 4,false)</f>
        <v>Europe</v>
      </c>
      <c r="O839" s="7" t="str">
        <f>VLOOKUP(L839,countries, 5,false)</f>
        <v>Eastern Europe</v>
      </c>
      <c r="P839" s="7" t="s">
        <v>212</v>
      </c>
      <c r="Q839" s="7">
        <v>8131.0</v>
      </c>
      <c r="R839" s="12">
        <v>651.21</v>
      </c>
      <c r="S839" s="12">
        <v>524.96</v>
      </c>
      <c r="T839" s="13">
        <f t="shared" si="6"/>
        <v>5294988.51</v>
      </c>
      <c r="U839" s="13">
        <f t="shared" si="7"/>
        <v>562716.67</v>
      </c>
      <c r="V839" s="13">
        <f t="shared" si="8"/>
        <v>4732271.84</v>
      </c>
      <c r="W839" s="14">
        <f>Q839/totals!B$2</f>
        <v>0.001236367418</v>
      </c>
      <c r="X839" s="14">
        <f t="shared" si="9"/>
        <v>0.6206863991</v>
      </c>
      <c r="Y839" s="14">
        <f>T839/totals!B$5</f>
        <v>0.003110802554</v>
      </c>
      <c r="Z839" s="14">
        <f t="shared" si="10"/>
        <v>0.612922324</v>
      </c>
      <c r="AA839" s="14">
        <f>V839/totals!B$4</f>
        <v>0.009436035896</v>
      </c>
      <c r="AB839" s="14">
        <f t="shared" si="11"/>
        <v>0.6216407087</v>
      </c>
    </row>
    <row r="840">
      <c r="A840" s="7">
        <v>8875.0</v>
      </c>
      <c r="B840" s="7" t="str">
        <f>VLOOKUP($A840,product_category,2, False)</f>
        <v>Meat</v>
      </c>
      <c r="C840" s="7">
        <v>6.45111024E8</v>
      </c>
      <c r="D840" s="9">
        <v>42625.0</v>
      </c>
      <c r="E840" s="10">
        <f t="shared" si="1"/>
        <v>9</v>
      </c>
      <c r="F840" s="10" t="str">
        <f t="shared" si="2"/>
        <v>Sep</v>
      </c>
      <c r="G840" s="11">
        <f t="shared" si="3"/>
        <v>12</v>
      </c>
      <c r="H840" s="7">
        <f t="shared" si="4"/>
        <v>2016</v>
      </c>
      <c r="I840" s="9">
        <v>42639.0</v>
      </c>
      <c r="J840" s="11">
        <f t="shared" si="5"/>
        <v>14</v>
      </c>
      <c r="K840" s="7" t="s">
        <v>198</v>
      </c>
      <c r="L840" s="7" t="s">
        <v>316</v>
      </c>
      <c r="M840" s="7" t="str">
        <f>VLOOKUP(L840,countries, 2,false)</f>
        <v>Greece</v>
      </c>
      <c r="N840" s="7" t="str">
        <f>VLOOKUP(L840,countries, 4,false)</f>
        <v>Europe</v>
      </c>
      <c r="O840" s="7" t="str">
        <f>VLOOKUP(L840,countries, 5,false)</f>
        <v>Southern Europe</v>
      </c>
      <c r="P840" s="7" t="s">
        <v>212</v>
      </c>
      <c r="Q840" s="7">
        <v>1543.0</v>
      </c>
      <c r="R840" s="12">
        <v>421.89</v>
      </c>
      <c r="S840" s="12">
        <v>364.69</v>
      </c>
      <c r="T840" s="13">
        <f t="shared" si="6"/>
        <v>650976.27</v>
      </c>
      <c r="U840" s="13">
        <f t="shared" si="7"/>
        <v>124723.98</v>
      </c>
      <c r="V840" s="13">
        <f t="shared" si="8"/>
        <v>526252.29</v>
      </c>
      <c r="W840" s="14">
        <f>Q840/totals!B$2</f>
        <v>0.0002346224236</v>
      </c>
      <c r="X840" s="14">
        <f t="shared" si="9"/>
        <v>0.6209210215</v>
      </c>
      <c r="Y840" s="14">
        <f>T840/totals!B$5</f>
        <v>0.0003824481657</v>
      </c>
      <c r="Z840" s="14">
        <f t="shared" si="10"/>
        <v>0.6133047721</v>
      </c>
      <c r="AA840" s="14">
        <f>V840/totals!B$4</f>
        <v>0.001049334372</v>
      </c>
      <c r="AB840" s="14">
        <f t="shared" si="11"/>
        <v>0.622690043</v>
      </c>
    </row>
    <row r="841">
      <c r="A841" s="7">
        <v>8875.0</v>
      </c>
      <c r="B841" s="7" t="str">
        <f>VLOOKUP($A841,product_category,2, False)</f>
        <v>Meat</v>
      </c>
      <c r="C841" s="7">
        <v>6.45309722E8</v>
      </c>
      <c r="D841" s="9">
        <v>42644.0</v>
      </c>
      <c r="E841" s="10">
        <f t="shared" si="1"/>
        <v>10</v>
      </c>
      <c r="F841" s="10" t="str">
        <f t="shared" si="2"/>
        <v>Oct</v>
      </c>
      <c r="G841" s="11">
        <f t="shared" si="3"/>
        <v>1</v>
      </c>
      <c r="H841" s="7">
        <f t="shared" si="4"/>
        <v>2016</v>
      </c>
      <c r="I841" s="9">
        <v>42680.0</v>
      </c>
      <c r="J841" s="11">
        <f t="shared" si="5"/>
        <v>36</v>
      </c>
      <c r="K841" s="7" t="s">
        <v>198</v>
      </c>
      <c r="L841" s="7" t="s">
        <v>77</v>
      </c>
      <c r="M841" s="7" t="str">
        <f>VLOOKUP(L841,countries, 2,false)</f>
        <v>Armenia</v>
      </c>
      <c r="N841" s="7" t="str">
        <f>VLOOKUP(L841,countries, 4,false)</f>
        <v>Asia</v>
      </c>
      <c r="O841" s="7" t="str">
        <f>VLOOKUP(L841,countries, 5,false)</f>
        <v>Western Asia</v>
      </c>
      <c r="P841" s="7" t="s">
        <v>212</v>
      </c>
      <c r="Q841" s="7">
        <v>342.0</v>
      </c>
      <c r="R841" s="12">
        <v>421.89</v>
      </c>
      <c r="S841" s="12">
        <v>364.69</v>
      </c>
      <c r="T841" s="13">
        <f t="shared" si="6"/>
        <v>144286.38</v>
      </c>
      <c r="U841" s="13">
        <f t="shared" si="7"/>
        <v>751377.76</v>
      </c>
      <c r="V841" s="13">
        <f t="shared" si="8"/>
        <v>-607091.38</v>
      </c>
      <c r="W841" s="14">
        <f>Q841/totals!B$2</f>
        <v>0.00005200315547</v>
      </c>
      <c r="X841" s="14">
        <f t="shared" si="9"/>
        <v>0.6209730247</v>
      </c>
      <c r="Y841" s="14">
        <f>T841/totals!B$5</f>
        <v>0.00008476816117</v>
      </c>
      <c r="Z841" s="14">
        <f t="shared" si="10"/>
        <v>0.6133895403</v>
      </c>
      <c r="AA841" s="14">
        <f>V841/totals!B$4</f>
        <v>-0.001210525567</v>
      </c>
      <c r="AB841" s="14">
        <f t="shared" si="11"/>
        <v>0.6214795175</v>
      </c>
    </row>
    <row r="842">
      <c r="A842" s="7">
        <v>2103.0</v>
      </c>
      <c r="B842" s="7" t="str">
        <f>VLOOKUP($A842,product_category,2, False)</f>
        <v>Cereal</v>
      </c>
      <c r="C842" s="7">
        <v>6.45701968E8</v>
      </c>
      <c r="D842" s="9">
        <v>41445.0</v>
      </c>
      <c r="E842" s="10">
        <f t="shared" si="1"/>
        <v>6</v>
      </c>
      <c r="F842" s="10" t="str">
        <f t="shared" si="2"/>
        <v>Jun</v>
      </c>
      <c r="G842" s="11">
        <f t="shared" si="3"/>
        <v>20</v>
      </c>
      <c r="H842" s="7">
        <f t="shared" si="4"/>
        <v>2013</v>
      </c>
      <c r="I842" s="9">
        <v>41476.0</v>
      </c>
      <c r="J842" s="11">
        <f t="shared" si="5"/>
        <v>31</v>
      </c>
      <c r="K842" s="7" t="s">
        <v>322</v>
      </c>
      <c r="L842" s="7" t="s">
        <v>111</v>
      </c>
      <c r="M842" s="7" t="str">
        <f>VLOOKUP(L842,countries, 2,false)</f>
        <v>Norway</v>
      </c>
      <c r="N842" s="7" t="str">
        <f>VLOOKUP(L842,countries, 4,false)</f>
        <v>Europe</v>
      </c>
      <c r="O842" s="7" t="str">
        <f>VLOOKUP(L842,countries, 5,false)</f>
        <v>Northern Europe</v>
      </c>
      <c r="P842" s="7" t="s">
        <v>212</v>
      </c>
      <c r="Q842" s="7">
        <v>6416.0</v>
      </c>
      <c r="R842" s="12">
        <v>205.7</v>
      </c>
      <c r="S842" s="12">
        <v>117.11</v>
      </c>
      <c r="T842" s="13">
        <f t="shared" si="6"/>
        <v>1319771.2</v>
      </c>
      <c r="U842" s="13">
        <f t="shared" si="7"/>
        <v>274999.5</v>
      </c>
      <c r="V842" s="13">
        <f t="shared" si="8"/>
        <v>1044771.7</v>
      </c>
      <c r="W842" s="14">
        <f>Q842/totals!B$2</f>
        <v>0.000975591361</v>
      </c>
      <c r="X842" s="14">
        <f t="shared" si="9"/>
        <v>0.621948616</v>
      </c>
      <c r="Y842" s="14">
        <f>T842/totals!B$5</f>
        <v>0.0007753647834</v>
      </c>
      <c r="Z842" s="14">
        <f t="shared" si="10"/>
        <v>0.6141649051</v>
      </c>
      <c r="AA842" s="14">
        <f>V842/totals!B$4</f>
        <v>0.002083249568</v>
      </c>
      <c r="AB842" s="14">
        <f t="shared" si="11"/>
        <v>0.623562767</v>
      </c>
    </row>
    <row r="843">
      <c r="A843" s="7">
        <v>7331.0</v>
      </c>
      <c r="B843" s="7" t="str">
        <f>VLOOKUP($A843,product_category,2, False)</f>
        <v>Baby Food</v>
      </c>
      <c r="C843" s="7">
        <v>6.45956456E8</v>
      </c>
      <c r="D843" s="9">
        <v>42420.0</v>
      </c>
      <c r="E843" s="10">
        <f t="shared" si="1"/>
        <v>2</v>
      </c>
      <c r="F843" s="10" t="str">
        <f t="shared" si="2"/>
        <v>Feb</v>
      </c>
      <c r="G843" s="11">
        <f t="shared" si="3"/>
        <v>20</v>
      </c>
      <c r="H843" s="7">
        <f t="shared" si="4"/>
        <v>2016</v>
      </c>
      <c r="I843" s="9">
        <v>42468.0</v>
      </c>
      <c r="J843" s="11">
        <f t="shared" si="5"/>
        <v>48</v>
      </c>
      <c r="K843" s="7" t="s">
        <v>382</v>
      </c>
      <c r="L843" s="7" t="s">
        <v>594</v>
      </c>
      <c r="M843" s="7" t="str">
        <f>VLOOKUP(L843,countries, 2,false)</f>
        <v>Poland</v>
      </c>
      <c r="N843" s="7" t="str">
        <f>VLOOKUP(L843,countries, 4,false)</f>
        <v>Europe</v>
      </c>
      <c r="O843" s="7" t="str">
        <f>VLOOKUP(L843,countries, 5,false)</f>
        <v>Eastern Europe</v>
      </c>
      <c r="P843" s="7" t="s">
        <v>212</v>
      </c>
      <c r="Q843" s="7">
        <v>1725.0</v>
      </c>
      <c r="R843" s="12">
        <v>255.28</v>
      </c>
      <c r="S843" s="12">
        <v>159.42</v>
      </c>
      <c r="T843" s="13">
        <f t="shared" si="6"/>
        <v>440358</v>
      </c>
      <c r="U843" s="13">
        <f t="shared" si="7"/>
        <v>294661.51</v>
      </c>
      <c r="V843" s="13">
        <f t="shared" si="8"/>
        <v>145696.49</v>
      </c>
      <c r="W843" s="14">
        <f>Q843/totals!B$2</f>
        <v>0.0002622966175</v>
      </c>
      <c r="X843" s="14">
        <f t="shared" si="9"/>
        <v>0.6222109126</v>
      </c>
      <c r="Y843" s="14">
        <f>T843/totals!B$5</f>
        <v>0.0002587100592</v>
      </c>
      <c r="Z843" s="14">
        <f t="shared" si="10"/>
        <v>0.6144236151</v>
      </c>
      <c r="AA843" s="14">
        <f>V843/totals!B$4</f>
        <v>0.0002905152865</v>
      </c>
      <c r="AB843" s="14">
        <f t="shared" si="11"/>
        <v>0.6238532823</v>
      </c>
    </row>
    <row r="844">
      <c r="A844" s="7">
        <v>1270.0</v>
      </c>
      <c r="B844" s="7" t="str">
        <f>VLOOKUP($A844,product_category,2, False)</f>
        <v>Beverages</v>
      </c>
      <c r="C844" s="7">
        <v>6.46691596E8</v>
      </c>
      <c r="D844" s="9">
        <v>42688.0</v>
      </c>
      <c r="E844" s="10">
        <f t="shared" si="1"/>
        <v>11</v>
      </c>
      <c r="F844" s="10" t="str">
        <f t="shared" si="2"/>
        <v>Nov</v>
      </c>
      <c r="G844" s="11">
        <f t="shared" si="3"/>
        <v>14</v>
      </c>
      <c r="H844" s="7">
        <f t="shared" si="4"/>
        <v>2016</v>
      </c>
      <c r="I844" s="9">
        <v>42717.0</v>
      </c>
      <c r="J844" s="11">
        <f t="shared" si="5"/>
        <v>29</v>
      </c>
      <c r="K844" s="7" t="s">
        <v>382</v>
      </c>
      <c r="L844" s="7" t="s">
        <v>88</v>
      </c>
      <c r="M844" s="7" t="str">
        <f>VLOOKUP(L844,countries, 2,false)</f>
        <v>Austria</v>
      </c>
      <c r="N844" s="7" t="str">
        <f>VLOOKUP(L844,countries, 4,false)</f>
        <v>Europe</v>
      </c>
      <c r="O844" s="7" t="str">
        <f>VLOOKUP(L844,countries, 5,false)</f>
        <v>Western Europe</v>
      </c>
      <c r="P844" s="7" t="s">
        <v>129</v>
      </c>
      <c r="Q844" s="7">
        <v>9269.0</v>
      </c>
      <c r="R844" s="12">
        <v>47.45</v>
      </c>
      <c r="S844" s="12">
        <v>31.79</v>
      </c>
      <c r="T844" s="13">
        <f t="shared" si="6"/>
        <v>439814.05</v>
      </c>
      <c r="U844" s="13">
        <f t="shared" si="7"/>
        <v>815911.56</v>
      </c>
      <c r="V844" s="13">
        <f t="shared" si="8"/>
        <v>-376097.51</v>
      </c>
      <c r="W844" s="14">
        <f>Q844/totals!B$2</f>
        <v>0.001409407158</v>
      </c>
      <c r="X844" s="14">
        <f t="shared" si="9"/>
        <v>0.6236203198</v>
      </c>
      <c r="Y844" s="14">
        <f>T844/totals!B$5</f>
        <v>0.0002583904889</v>
      </c>
      <c r="Z844" s="14">
        <f t="shared" si="10"/>
        <v>0.6146820056</v>
      </c>
      <c r="AA844" s="14">
        <f>V844/totals!B$4</f>
        <v>-0.0007499293627</v>
      </c>
      <c r="AB844" s="14">
        <f t="shared" si="11"/>
        <v>0.623103353</v>
      </c>
    </row>
    <row r="845">
      <c r="A845" s="7">
        <v>7331.0</v>
      </c>
      <c r="B845" s="7" t="str">
        <f>VLOOKUP($A845,product_category,2, False)</f>
        <v>Baby Food</v>
      </c>
      <c r="C845" s="7">
        <v>6.46981704E8</v>
      </c>
      <c r="D845" s="9">
        <v>40464.0</v>
      </c>
      <c r="E845" s="10">
        <f t="shared" si="1"/>
        <v>10</v>
      </c>
      <c r="F845" s="10" t="str">
        <f t="shared" si="2"/>
        <v>Oct</v>
      </c>
      <c r="G845" s="11">
        <f t="shared" si="3"/>
        <v>13</v>
      </c>
      <c r="H845" s="7">
        <f t="shared" si="4"/>
        <v>2010</v>
      </c>
      <c r="I845" s="9">
        <v>40505.0</v>
      </c>
      <c r="J845" s="11">
        <f t="shared" si="5"/>
        <v>41</v>
      </c>
      <c r="K845" s="7" t="s">
        <v>110</v>
      </c>
      <c r="L845" s="7" t="s">
        <v>283</v>
      </c>
      <c r="M845" s="7" t="str">
        <f>VLOOKUP(L845,countries, 2,false)</f>
        <v>Finland</v>
      </c>
      <c r="N845" s="7" t="str">
        <f>VLOOKUP(L845,countries, 4,false)</f>
        <v>Europe</v>
      </c>
      <c r="O845" s="7" t="str">
        <f>VLOOKUP(L845,countries, 5,false)</f>
        <v>Northern Europe</v>
      </c>
      <c r="P845" s="7" t="s">
        <v>129</v>
      </c>
      <c r="Q845" s="7">
        <v>5118.0</v>
      </c>
      <c r="R845" s="12">
        <v>255.28</v>
      </c>
      <c r="S845" s="12">
        <v>159.42</v>
      </c>
      <c r="T845" s="13">
        <f t="shared" si="6"/>
        <v>1306523.04</v>
      </c>
      <c r="U845" s="13">
        <f t="shared" si="7"/>
        <v>352773.12</v>
      </c>
      <c r="V845" s="13">
        <f t="shared" si="8"/>
        <v>953749.92</v>
      </c>
      <c r="W845" s="14">
        <f>Q845/totals!B$2</f>
        <v>0.0007782226599</v>
      </c>
      <c r="X845" s="14">
        <f t="shared" si="9"/>
        <v>0.6243985425</v>
      </c>
      <c r="Y845" s="14">
        <f>T845/totals!B$5</f>
        <v>0.0007675814974</v>
      </c>
      <c r="Z845" s="14">
        <f t="shared" si="10"/>
        <v>0.6154495871</v>
      </c>
      <c r="AA845" s="14">
        <f>V845/totals!B$4</f>
        <v>0.001901754334</v>
      </c>
      <c r="AB845" s="14">
        <f t="shared" si="11"/>
        <v>0.6250051073</v>
      </c>
    </row>
    <row r="846">
      <c r="A846" s="7">
        <v>2455.0</v>
      </c>
      <c r="B846" s="7" t="str">
        <f>VLOOKUP($A846,product_category,2, False)</f>
        <v>Clothes</v>
      </c>
      <c r="C846" s="7">
        <v>6.47943866E8</v>
      </c>
      <c r="D846" s="9">
        <v>40640.0</v>
      </c>
      <c r="E846" s="10">
        <f t="shared" si="1"/>
        <v>4</v>
      </c>
      <c r="F846" s="10" t="str">
        <f t="shared" si="2"/>
        <v>Apr</v>
      </c>
      <c r="G846" s="11">
        <f t="shared" si="3"/>
        <v>7</v>
      </c>
      <c r="H846" s="7">
        <f t="shared" si="4"/>
        <v>2011</v>
      </c>
      <c r="I846" s="9">
        <v>40651.0</v>
      </c>
      <c r="J846" s="11">
        <f t="shared" si="5"/>
        <v>11</v>
      </c>
      <c r="K846" s="7" t="s">
        <v>110</v>
      </c>
      <c r="L846" s="7" t="s">
        <v>28</v>
      </c>
      <c r="M846" s="7" t="str">
        <f>VLOOKUP(L846,countries, 2,false)</f>
        <v>Albania</v>
      </c>
      <c r="N846" s="7" t="str">
        <f>VLOOKUP(L846,countries, 4,false)</f>
        <v>Europe</v>
      </c>
      <c r="O846" s="7" t="str">
        <f>VLOOKUP(L846,countries, 5,false)</f>
        <v>Southern Europe</v>
      </c>
      <c r="P846" s="7" t="s">
        <v>129</v>
      </c>
      <c r="Q846" s="7">
        <v>9843.0</v>
      </c>
      <c r="R846" s="12">
        <v>109.28</v>
      </c>
      <c r="S846" s="12">
        <v>35.84</v>
      </c>
      <c r="T846" s="13">
        <f t="shared" si="6"/>
        <v>1075643.04</v>
      </c>
      <c r="U846" s="13">
        <f t="shared" si="7"/>
        <v>798989.12</v>
      </c>
      <c r="V846" s="13">
        <f t="shared" si="8"/>
        <v>276653.92</v>
      </c>
      <c r="W846" s="14">
        <f>Q846/totals!B$2</f>
        <v>0.001496687308</v>
      </c>
      <c r="X846" s="14">
        <f t="shared" si="9"/>
        <v>0.6258952298</v>
      </c>
      <c r="Y846" s="14">
        <f>T846/totals!B$5</f>
        <v>0.0006319396368</v>
      </c>
      <c r="Z846" s="14">
        <f t="shared" si="10"/>
        <v>0.6160815268</v>
      </c>
      <c r="AA846" s="14">
        <f>V846/totals!B$4</f>
        <v>0.000551641243</v>
      </c>
      <c r="AB846" s="14">
        <f t="shared" si="11"/>
        <v>0.6255567485</v>
      </c>
    </row>
    <row r="847">
      <c r="A847" s="7">
        <v>8681.0</v>
      </c>
      <c r="B847" s="7" t="str">
        <f>VLOOKUP($A847,product_category,2, False)</f>
        <v>Office Supplies</v>
      </c>
      <c r="C847" s="7">
        <v>6.50078475E8</v>
      </c>
      <c r="D847" s="9">
        <v>40338.0</v>
      </c>
      <c r="E847" s="10">
        <f t="shared" si="1"/>
        <v>6</v>
      </c>
      <c r="F847" s="10" t="str">
        <f t="shared" si="2"/>
        <v>Jun</v>
      </c>
      <c r="G847" s="11">
        <f t="shared" si="3"/>
        <v>9</v>
      </c>
      <c r="H847" s="7">
        <f t="shared" si="4"/>
        <v>2010</v>
      </c>
      <c r="I847" s="9">
        <v>40347.0</v>
      </c>
      <c r="J847" s="11">
        <f t="shared" si="5"/>
        <v>9</v>
      </c>
      <c r="K847" s="7" t="s">
        <v>382</v>
      </c>
      <c r="L847" s="7" t="s">
        <v>222</v>
      </c>
      <c r="M847" s="7" t="str">
        <f>VLOOKUP(L847,countries, 2,false)</f>
        <v>Croatia</v>
      </c>
      <c r="N847" s="7" t="str">
        <f>VLOOKUP(L847,countries, 4,false)</f>
        <v>Europe</v>
      </c>
      <c r="O847" s="7" t="str">
        <f>VLOOKUP(L847,countries, 5,false)</f>
        <v>Southern Europe</v>
      </c>
      <c r="P847" s="7" t="s">
        <v>129</v>
      </c>
      <c r="Q847" s="7">
        <v>1522.0</v>
      </c>
      <c r="R847" s="12">
        <v>651.21</v>
      </c>
      <c r="S847" s="12">
        <v>524.96</v>
      </c>
      <c r="T847" s="13">
        <f t="shared" si="6"/>
        <v>991141.62</v>
      </c>
      <c r="U847" s="13">
        <f t="shared" si="7"/>
        <v>313926.25</v>
      </c>
      <c r="V847" s="13">
        <f t="shared" si="8"/>
        <v>677215.37</v>
      </c>
      <c r="W847" s="14">
        <f>Q847/totals!B$2</f>
        <v>0.0002314292474</v>
      </c>
      <c r="X847" s="14">
        <f t="shared" si="9"/>
        <v>0.626126659</v>
      </c>
      <c r="Y847" s="14">
        <f>T847/totals!B$5</f>
        <v>0.0005822951035</v>
      </c>
      <c r="Z847" s="14">
        <f t="shared" si="10"/>
        <v>0.6166638219</v>
      </c>
      <c r="AA847" s="14">
        <f>V847/totals!B$4</f>
        <v>0.001350351112</v>
      </c>
      <c r="AB847" s="14">
        <f t="shared" si="11"/>
        <v>0.6269070997</v>
      </c>
    </row>
    <row r="848">
      <c r="A848" s="7">
        <v>1270.0</v>
      </c>
      <c r="B848" s="7" t="str">
        <f>VLOOKUP($A848,product_category,2, False)</f>
        <v>Beverages</v>
      </c>
      <c r="C848" s="7">
        <v>6.50208079E8</v>
      </c>
      <c r="D848" s="9">
        <v>42429.0</v>
      </c>
      <c r="E848" s="10">
        <f t="shared" si="1"/>
        <v>2</v>
      </c>
      <c r="F848" s="10" t="str">
        <f t="shared" si="2"/>
        <v>Feb</v>
      </c>
      <c r="G848" s="11">
        <f t="shared" si="3"/>
        <v>29</v>
      </c>
      <c r="H848" s="7">
        <f t="shared" si="4"/>
        <v>2016</v>
      </c>
      <c r="I848" s="9">
        <v>42448.0</v>
      </c>
      <c r="J848" s="11">
        <f t="shared" si="5"/>
        <v>19</v>
      </c>
      <c r="K848" s="7" t="s">
        <v>382</v>
      </c>
      <c r="L848" s="7" t="s">
        <v>264</v>
      </c>
      <c r="M848" s="7" t="str">
        <f>VLOOKUP(L848,countries, 2,false)</f>
        <v>Estonia</v>
      </c>
      <c r="N848" s="7" t="str">
        <f>VLOOKUP(L848,countries, 4,false)</f>
        <v>Europe</v>
      </c>
      <c r="O848" s="7" t="str">
        <f>VLOOKUP(L848,countries, 5,false)</f>
        <v>Northern Europe</v>
      </c>
      <c r="P848" s="7" t="s">
        <v>129</v>
      </c>
      <c r="Q848" s="7">
        <v>9875.0</v>
      </c>
      <c r="R848" s="12">
        <v>47.45</v>
      </c>
      <c r="S848" s="12">
        <v>31.79</v>
      </c>
      <c r="T848" s="13">
        <f t="shared" si="6"/>
        <v>468568.75</v>
      </c>
      <c r="U848" s="13">
        <f t="shared" si="7"/>
        <v>678246.87</v>
      </c>
      <c r="V848" s="13">
        <f t="shared" si="8"/>
        <v>-209678.12</v>
      </c>
      <c r="W848" s="14">
        <f>Q848/totals!B$2</f>
        <v>0.0015015531</v>
      </c>
      <c r="X848" s="14">
        <f t="shared" si="9"/>
        <v>0.6276282121</v>
      </c>
      <c r="Y848" s="14">
        <f>T848/totals!B$5</f>
        <v>0.0002752838578</v>
      </c>
      <c r="Z848" s="14">
        <f t="shared" si="10"/>
        <v>0.6169391057</v>
      </c>
      <c r="AA848" s="14">
        <f>V848/totals!B$4</f>
        <v>-0.0004180931134</v>
      </c>
      <c r="AB848" s="14">
        <f t="shared" si="11"/>
        <v>0.6264890065</v>
      </c>
    </row>
    <row r="849">
      <c r="A849" s="7">
        <v>5988.0</v>
      </c>
      <c r="B849" s="7" t="str">
        <f>VLOOKUP($A849,product_category,2, False)</f>
        <v>Vegetables</v>
      </c>
      <c r="C849" s="7">
        <v>6.51247489E8</v>
      </c>
      <c r="D849" s="9">
        <v>41801.0</v>
      </c>
      <c r="E849" s="10">
        <f t="shared" si="1"/>
        <v>6</v>
      </c>
      <c r="F849" s="10" t="str">
        <f t="shared" si="2"/>
        <v>Jun</v>
      </c>
      <c r="G849" s="11">
        <f t="shared" si="3"/>
        <v>11</v>
      </c>
      <c r="H849" s="7">
        <f t="shared" si="4"/>
        <v>2014</v>
      </c>
      <c r="I849" s="9">
        <v>41822.0</v>
      </c>
      <c r="J849" s="11">
        <f t="shared" si="5"/>
        <v>21</v>
      </c>
      <c r="K849" s="7" t="s">
        <v>198</v>
      </c>
      <c r="L849" s="7" t="s">
        <v>155</v>
      </c>
      <c r="M849" s="7" t="str">
        <f>VLOOKUP(L849,countries, 2,false)</f>
        <v>Bulgaria</v>
      </c>
      <c r="N849" s="7" t="str">
        <f>VLOOKUP(L849,countries, 4,false)</f>
        <v>Europe</v>
      </c>
      <c r="O849" s="7" t="str">
        <f>VLOOKUP(L849,countries, 5,false)</f>
        <v>Eastern Europe</v>
      </c>
      <c r="P849" s="7" t="s">
        <v>212</v>
      </c>
      <c r="Q849" s="7">
        <v>7459.0</v>
      </c>
      <c r="R849" s="12">
        <v>154.06</v>
      </c>
      <c r="S849" s="12">
        <v>90.93</v>
      </c>
      <c r="T849" s="13">
        <f t="shared" si="6"/>
        <v>1149133.54</v>
      </c>
      <c r="U849" s="13">
        <f t="shared" si="7"/>
        <v>1470330.66</v>
      </c>
      <c r="V849" s="13">
        <f t="shared" si="8"/>
        <v>-321197.12</v>
      </c>
      <c r="W849" s="14">
        <f>Q849/totals!B$2</f>
        <v>0.00113418578</v>
      </c>
      <c r="X849" s="14">
        <f t="shared" si="9"/>
        <v>0.6287623979</v>
      </c>
      <c r="Y849" s="14">
        <f>T849/totals!B$5</f>
        <v>0.0006751152612</v>
      </c>
      <c r="Z849" s="14">
        <f t="shared" si="10"/>
        <v>0.617614221</v>
      </c>
      <c r="AA849" s="14">
        <f>V849/totals!B$4</f>
        <v>-0.0006404593093</v>
      </c>
      <c r="AB849" s="14">
        <f t="shared" si="11"/>
        <v>0.6258485472</v>
      </c>
    </row>
    <row r="850">
      <c r="A850" s="7">
        <v>7331.0</v>
      </c>
      <c r="B850" s="7" t="str">
        <f>VLOOKUP($A850,product_category,2, False)</f>
        <v>Baby Food</v>
      </c>
      <c r="C850" s="7">
        <v>6.51895511E8</v>
      </c>
      <c r="D850" s="9">
        <v>41194.0</v>
      </c>
      <c r="E850" s="10">
        <f t="shared" si="1"/>
        <v>10</v>
      </c>
      <c r="F850" s="10" t="str">
        <f t="shared" si="2"/>
        <v>Oct</v>
      </c>
      <c r="G850" s="11">
        <f t="shared" si="3"/>
        <v>12</v>
      </c>
      <c r="H850" s="7">
        <f t="shared" si="4"/>
        <v>2012</v>
      </c>
      <c r="I850" s="9">
        <v>41214.0</v>
      </c>
      <c r="J850" s="11">
        <f t="shared" si="5"/>
        <v>20</v>
      </c>
      <c r="K850" s="7" t="s">
        <v>322</v>
      </c>
      <c r="L850" s="7" t="s">
        <v>448</v>
      </c>
      <c r="M850" s="7" t="str">
        <f>VLOOKUP(L850,countries, 2,false)</f>
        <v>Liechtenstein</v>
      </c>
      <c r="N850" s="7" t="str">
        <f>VLOOKUP(L850,countries, 4,false)</f>
        <v>Europe</v>
      </c>
      <c r="O850" s="7" t="str">
        <f>VLOOKUP(L850,countries, 5,false)</f>
        <v>Western Europe</v>
      </c>
      <c r="P850" s="7" t="s">
        <v>212</v>
      </c>
      <c r="Q850" s="7">
        <v>9223.0</v>
      </c>
      <c r="R850" s="12">
        <v>255.28</v>
      </c>
      <c r="S850" s="12">
        <v>159.42</v>
      </c>
      <c r="T850" s="13">
        <f t="shared" si="6"/>
        <v>2354447.44</v>
      </c>
      <c r="U850" s="13">
        <f t="shared" si="7"/>
        <v>432554.01</v>
      </c>
      <c r="V850" s="13">
        <f t="shared" si="8"/>
        <v>1921893.43</v>
      </c>
      <c r="W850" s="14">
        <f>Q850/totals!B$2</f>
        <v>0.001402412581</v>
      </c>
      <c r="X850" s="14">
        <f t="shared" si="9"/>
        <v>0.6301648105</v>
      </c>
      <c r="Y850" s="14">
        <f>T850/totals!B$5</f>
        <v>0.00138323645</v>
      </c>
      <c r="Z850" s="14">
        <f t="shared" si="10"/>
        <v>0.6189974574</v>
      </c>
      <c r="AA850" s="14">
        <f>V850/totals!B$4</f>
        <v>0.003832209139</v>
      </c>
      <c r="AB850" s="14">
        <f t="shared" si="11"/>
        <v>0.6296807564</v>
      </c>
    </row>
    <row r="851">
      <c r="A851" s="7">
        <v>5988.0</v>
      </c>
      <c r="B851" s="7" t="str">
        <f>VLOOKUP($A851,product_category,2, False)</f>
        <v>Vegetables</v>
      </c>
      <c r="C851" s="7">
        <v>6.52252137E8</v>
      </c>
      <c r="D851" s="9">
        <v>40428.0</v>
      </c>
      <c r="E851" s="10">
        <f t="shared" si="1"/>
        <v>9</v>
      </c>
      <c r="F851" s="10" t="str">
        <f t="shared" si="2"/>
        <v>Sep</v>
      </c>
      <c r="G851" s="11">
        <f t="shared" si="3"/>
        <v>7</v>
      </c>
      <c r="H851" s="7">
        <f t="shared" si="4"/>
        <v>2010</v>
      </c>
      <c r="I851" s="9">
        <v>40447.0</v>
      </c>
      <c r="J851" s="11">
        <f t="shared" si="5"/>
        <v>19</v>
      </c>
      <c r="K851" s="7" t="s">
        <v>322</v>
      </c>
      <c r="L851" s="7" t="s">
        <v>762</v>
      </c>
      <c r="M851" s="7" t="str">
        <f>VLOOKUP(L851,countries, 2,false)</f>
        <v>United Kingdom</v>
      </c>
      <c r="N851" s="7" t="str">
        <f>VLOOKUP(L851,countries, 4,false)</f>
        <v>Europe</v>
      </c>
      <c r="O851" s="7" t="str">
        <f>VLOOKUP(L851,countries, 5,false)</f>
        <v>Northern Europe</v>
      </c>
      <c r="P851" s="7" t="s">
        <v>129</v>
      </c>
      <c r="Q851" s="7">
        <v>4757.0</v>
      </c>
      <c r="R851" s="12">
        <v>154.06</v>
      </c>
      <c r="S851" s="12">
        <v>90.93</v>
      </c>
      <c r="T851" s="13">
        <f t="shared" si="6"/>
        <v>732863.42</v>
      </c>
      <c r="U851" s="13">
        <f t="shared" si="7"/>
        <v>1015109.48</v>
      </c>
      <c r="V851" s="13">
        <f t="shared" si="8"/>
        <v>-282246.06</v>
      </c>
      <c r="W851" s="14">
        <f>Q851/totals!B$2</f>
        <v>0.0007233304402</v>
      </c>
      <c r="X851" s="14">
        <f t="shared" si="9"/>
        <v>0.6308881409</v>
      </c>
      <c r="Y851" s="14">
        <f>T851/totals!B$5</f>
        <v>0.0004305568169</v>
      </c>
      <c r="Z851" s="14">
        <f t="shared" si="10"/>
        <v>0.6194280143</v>
      </c>
      <c r="AA851" s="14">
        <f>V851/totals!B$4</f>
        <v>-0.0005627918353</v>
      </c>
      <c r="AB851" s="14">
        <f t="shared" si="11"/>
        <v>0.6291179645</v>
      </c>
    </row>
    <row r="852">
      <c r="A852" s="7">
        <v>2103.0</v>
      </c>
      <c r="B852" s="7" t="str">
        <f>VLOOKUP($A852,product_category,2, False)</f>
        <v>Cereal</v>
      </c>
      <c r="C852" s="7">
        <v>6.52501904E8</v>
      </c>
      <c r="D852" s="9">
        <v>40960.0</v>
      </c>
      <c r="E852" s="10">
        <f t="shared" si="1"/>
        <v>2</v>
      </c>
      <c r="F852" s="10" t="str">
        <f t="shared" si="2"/>
        <v>Feb</v>
      </c>
      <c r="G852" s="11">
        <f t="shared" si="3"/>
        <v>21</v>
      </c>
      <c r="H852" s="7">
        <f t="shared" si="4"/>
        <v>2012</v>
      </c>
      <c r="I852" s="9">
        <v>40993.0</v>
      </c>
      <c r="J852" s="11">
        <f t="shared" si="5"/>
        <v>33</v>
      </c>
      <c r="K852" s="7" t="s">
        <v>110</v>
      </c>
      <c r="L852" s="7" t="s">
        <v>670</v>
      </c>
      <c r="M852" s="7" t="str">
        <f>VLOOKUP(L852,countries, 2,false)</f>
        <v>Slovenia</v>
      </c>
      <c r="N852" s="7" t="str">
        <f>VLOOKUP(L852,countries, 4,false)</f>
        <v>Europe</v>
      </c>
      <c r="O852" s="7" t="str">
        <f>VLOOKUP(L852,countries, 5,false)</f>
        <v>Southern Europe</v>
      </c>
      <c r="P852" s="7" t="s">
        <v>129</v>
      </c>
      <c r="Q852" s="7">
        <v>8668.0</v>
      </c>
      <c r="R852" s="12">
        <v>205.7</v>
      </c>
      <c r="S852" s="12">
        <v>117.11</v>
      </c>
      <c r="T852" s="13">
        <f t="shared" si="6"/>
        <v>1783007.6</v>
      </c>
      <c r="U852" s="13">
        <f t="shared" si="7"/>
        <v>184259.04</v>
      </c>
      <c r="V852" s="13">
        <f t="shared" si="8"/>
        <v>1598748.56</v>
      </c>
      <c r="W852" s="14">
        <f>Q852/totals!B$2</f>
        <v>0.001318021496</v>
      </c>
      <c r="X852" s="14">
        <f t="shared" si="9"/>
        <v>0.6322061624</v>
      </c>
      <c r="Y852" s="14">
        <f>T852/totals!B$5</f>
        <v>0.001047515889</v>
      </c>
      <c r="Z852" s="14">
        <f t="shared" si="10"/>
        <v>0.6204755301</v>
      </c>
      <c r="AA852" s="14">
        <f>V852/totals!B$4</f>
        <v>0.003187866063</v>
      </c>
      <c r="AB852" s="14">
        <f t="shared" si="11"/>
        <v>0.6323058306</v>
      </c>
    </row>
    <row r="853">
      <c r="A853" s="7">
        <v>8969.0</v>
      </c>
      <c r="B853" s="7" t="str">
        <f>VLOOKUP($A853,product_category,2, False)</f>
        <v>Snacks</v>
      </c>
      <c r="C853" s="7">
        <v>6.5308727E8</v>
      </c>
      <c r="D853" s="9">
        <v>40514.0</v>
      </c>
      <c r="E853" s="10">
        <f t="shared" si="1"/>
        <v>12</v>
      </c>
      <c r="F853" s="10" t="str">
        <f t="shared" si="2"/>
        <v>Dec</v>
      </c>
      <c r="G853" s="11">
        <f t="shared" si="3"/>
        <v>2</v>
      </c>
      <c r="H853" s="7">
        <f t="shared" si="4"/>
        <v>2010</v>
      </c>
      <c r="I853" s="9">
        <v>40519.0</v>
      </c>
      <c r="J853" s="11">
        <f t="shared" si="5"/>
        <v>5</v>
      </c>
      <c r="K853" s="7" t="s">
        <v>382</v>
      </c>
      <c r="L853" s="7" t="s">
        <v>28</v>
      </c>
      <c r="M853" s="7" t="str">
        <f>VLOOKUP(L853,countries, 2,false)</f>
        <v>Albania</v>
      </c>
      <c r="N853" s="7" t="str">
        <f>VLOOKUP(L853,countries, 4,false)</f>
        <v>Europe</v>
      </c>
      <c r="O853" s="7" t="str">
        <f>VLOOKUP(L853,countries, 5,false)</f>
        <v>Southern Europe</v>
      </c>
      <c r="P853" s="7" t="s">
        <v>129</v>
      </c>
      <c r="Q853" s="7">
        <v>1891.0</v>
      </c>
      <c r="R853" s="12">
        <v>152.58</v>
      </c>
      <c r="S853" s="12">
        <v>97.44</v>
      </c>
      <c r="T853" s="13">
        <f t="shared" si="6"/>
        <v>288528.78</v>
      </c>
      <c r="U853" s="13">
        <f t="shared" si="7"/>
        <v>37957.26</v>
      </c>
      <c r="V853" s="13">
        <f t="shared" si="8"/>
        <v>250571.52</v>
      </c>
      <c r="W853" s="14">
        <f>Q853/totals!B$2</f>
        <v>0.0002875379152</v>
      </c>
      <c r="X853" s="14">
        <f t="shared" si="9"/>
        <v>0.6324937003</v>
      </c>
      <c r="Y853" s="14">
        <f>T853/totals!B$5</f>
        <v>0.0001695104841</v>
      </c>
      <c r="Z853" s="14">
        <f t="shared" si="10"/>
        <v>0.6206450406</v>
      </c>
      <c r="AA853" s="14">
        <f>V853/totals!B$4</f>
        <v>0.0004996335666</v>
      </c>
      <c r="AB853" s="14">
        <f t="shared" si="11"/>
        <v>0.6328054642</v>
      </c>
    </row>
    <row r="854">
      <c r="A854" s="7">
        <v>1270.0</v>
      </c>
      <c r="B854" s="7" t="str">
        <f>VLOOKUP($A854,product_category,2, False)</f>
        <v>Beverages</v>
      </c>
      <c r="C854" s="7">
        <v>6.53152501E8</v>
      </c>
      <c r="D854" s="9">
        <v>42355.0</v>
      </c>
      <c r="E854" s="10">
        <f t="shared" si="1"/>
        <v>12</v>
      </c>
      <c r="F854" s="10" t="str">
        <f t="shared" si="2"/>
        <v>Dec</v>
      </c>
      <c r="G854" s="11">
        <f t="shared" si="3"/>
        <v>17</v>
      </c>
      <c r="H854" s="7">
        <f t="shared" si="4"/>
        <v>2015</v>
      </c>
      <c r="I854" s="9">
        <v>42360.0</v>
      </c>
      <c r="J854" s="11">
        <f t="shared" si="5"/>
        <v>5</v>
      </c>
      <c r="K854" s="7" t="s">
        <v>110</v>
      </c>
      <c r="L854" s="7" t="s">
        <v>460</v>
      </c>
      <c r="M854" s="7" t="str">
        <f>VLOOKUP(L854,countries, 2,false)</f>
        <v>Macedonia</v>
      </c>
      <c r="N854" s="7" t="str">
        <f>VLOOKUP(L854,countries, 4,false)</f>
        <v>Europe</v>
      </c>
      <c r="O854" s="7" t="str">
        <f>VLOOKUP(L854,countries, 5,false)</f>
        <v>Southern Europe</v>
      </c>
      <c r="P854" s="7" t="s">
        <v>212</v>
      </c>
      <c r="Q854" s="7">
        <v>1194.0</v>
      </c>
      <c r="R854" s="12">
        <v>47.45</v>
      </c>
      <c r="S854" s="12">
        <v>31.79</v>
      </c>
      <c r="T854" s="13">
        <f t="shared" si="6"/>
        <v>56655.3</v>
      </c>
      <c r="U854" s="13">
        <f t="shared" si="7"/>
        <v>267417.48</v>
      </c>
      <c r="V854" s="13">
        <f t="shared" si="8"/>
        <v>-210762.18</v>
      </c>
      <c r="W854" s="14">
        <f>Q854/totals!B$2</f>
        <v>0.0001815548761</v>
      </c>
      <c r="X854" s="14">
        <f t="shared" si="9"/>
        <v>0.6326752552</v>
      </c>
      <c r="Y854" s="14">
        <f>T854/totals!B$5</f>
        <v>0.00003328495456</v>
      </c>
      <c r="Z854" s="14">
        <f t="shared" si="10"/>
        <v>0.6206783256</v>
      </c>
      <c r="AA854" s="14">
        <f>V854/totals!B$4</f>
        <v>-0.0004202547029</v>
      </c>
      <c r="AB854" s="14">
        <f t="shared" si="11"/>
        <v>0.6323852095</v>
      </c>
    </row>
    <row r="855">
      <c r="A855" s="7">
        <v>1270.0</v>
      </c>
      <c r="B855" s="7" t="str">
        <f>VLOOKUP($A855,product_category,2, False)</f>
        <v>Beverages</v>
      </c>
      <c r="C855" s="7">
        <v>6.5354861E8</v>
      </c>
      <c r="D855" s="9">
        <v>42775.0</v>
      </c>
      <c r="E855" s="10">
        <f t="shared" si="1"/>
        <v>2</v>
      </c>
      <c r="F855" s="10" t="str">
        <f t="shared" si="2"/>
        <v>Feb</v>
      </c>
      <c r="G855" s="11">
        <f t="shared" si="3"/>
        <v>9</v>
      </c>
      <c r="H855" s="7">
        <f t="shared" si="4"/>
        <v>2017</v>
      </c>
      <c r="I855" s="9">
        <v>42787.0</v>
      </c>
      <c r="J855" s="11">
        <f t="shared" si="5"/>
        <v>12</v>
      </c>
      <c r="K855" s="7" t="s">
        <v>198</v>
      </c>
      <c r="L855" s="7" t="s">
        <v>264</v>
      </c>
      <c r="M855" s="7" t="str">
        <f>VLOOKUP(L855,countries, 2,false)</f>
        <v>Estonia</v>
      </c>
      <c r="N855" s="7" t="str">
        <f>VLOOKUP(L855,countries, 4,false)</f>
        <v>Europe</v>
      </c>
      <c r="O855" s="7" t="str">
        <f>VLOOKUP(L855,countries, 5,false)</f>
        <v>Northern Europe</v>
      </c>
      <c r="P855" s="7" t="s">
        <v>212</v>
      </c>
      <c r="Q855" s="7">
        <v>8412.0</v>
      </c>
      <c r="R855" s="12">
        <v>47.45</v>
      </c>
      <c r="S855" s="12">
        <v>31.79</v>
      </c>
      <c r="T855" s="13">
        <f t="shared" si="6"/>
        <v>399149.4</v>
      </c>
      <c r="U855" s="13">
        <f t="shared" si="7"/>
        <v>167629.86</v>
      </c>
      <c r="V855" s="13">
        <f t="shared" si="8"/>
        <v>231519.54</v>
      </c>
      <c r="W855" s="14">
        <f>Q855/totals!B$2</f>
        <v>0.001279095157</v>
      </c>
      <c r="X855" s="14">
        <f t="shared" si="9"/>
        <v>0.6339543504</v>
      </c>
      <c r="Y855" s="14">
        <f>T855/totals!B$5</f>
        <v>0.0002345000316</v>
      </c>
      <c r="Z855" s="14">
        <f t="shared" si="10"/>
        <v>0.6209128256</v>
      </c>
      <c r="AA855" s="14">
        <f>V855/totals!B$4</f>
        <v>0.000461644378</v>
      </c>
      <c r="AB855" s="14">
        <f t="shared" si="11"/>
        <v>0.6328468538</v>
      </c>
    </row>
    <row r="856">
      <c r="A856" s="7">
        <v>3127.0</v>
      </c>
      <c r="B856" s="7" t="str">
        <f>VLOOKUP($A856,product_category,2, False)</f>
        <v>Personal Care</v>
      </c>
      <c r="C856" s="7">
        <v>6.53800523E8</v>
      </c>
      <c r="D856" s="9">
        <v>41748.0</v>
      </c>
      <c r="E856" s="10">
        <f t="shared" si="1"/>
        <v>4</v>
      </c>
      <c r="F856" s="10" t="str">
        <f t="shared" si="2"/>
        <v>Apr</v>
      </c>
      <c r="G856" s="11">
        <f t="shared" si="3"/>
        <v>19</v>
      </c>
      <c r="H856" s="7">
        <f t="shared" si="4"/>
        <v>2014</v>
      </c>
      <c r="I856" s="9">
        <v>41752.0</v>
      </c>
      <c r="J856" s="11">
        <f t="shared" si="5"/>
        <v>4</v>
      </c>
      <c r="K856" s="7" t="s">
        <v>382</v>
      </c>
      <c r="L856" s="7" t="s">
        <v>705</v>
      </c>
      <c r="M856" s="7" t="str">
        <f>VLOOKUP(L856,countries, 2,false)</f>
        <v>Switzerland</v>
      </c>
      <c r="N856" s="7" t="str">
        <f>VLOOKUP(L856,countries, 4,false)</f>
        <v>Europe</v>
      </c>
      <c r="O856" s="7" t="str">
        <f>VLOOKUP(L856,countries, 5,false)</f>
        <v>Western Europe</v>
      </c>
      <c r="P856" s="7" t="s">
        <v>212</v>
      </c>
      <c r="Q856" s="7">
        <v>2958.0</v>
      </c>
      <c r="R856" s="12">
        <v>81.73</v>
      </c>
      <c r="S856" s="12">
        <v>56.67</v>
      </c>
      <c r="T856" s="13">
        <f t="shared" si="6"/>
        <v>241757.34</v>
      </c>
      <c r="U856" s="13">
        <f t="shared" si="7"/>
        <v>2804336.32</v>
      </c>
      <c r="V856" s="13">
        <f t="shared" si="8"/>
        <v>-2562578.98</v>
      </c>
      <c r="W856" s="14">
        <f>Q856/totals!B$2</f>
        <v>0.000449781678</v>
      </c>
      <c r="X856" s="14">
        <f t="shared" si="9"/>
        <v>0.634404132</v>
      </c>
      <c r="Y856" s="14">
        <f>T856/totals!B$5</f>
        <v>0.0001420322913</v>
      </c>
      <c r="Z856" s="14">
        <f t="shared" si="10"/>
        <v>0.6210548579</v>
      </c>
      <c r="AA856" s="14">
        <f>V856/totals!B$4</f>
        <v>-0.005109720671</v>
      </c>
      <c r="AB856" s="14">
        <f t="shared" si="11"/>
        <v>0.6277371332</v>
      </c>
    </row>
    <row r="857">
      <c r="A857" s="7">
        <v>8681.0</v>
      </c>
      <c r="B857" s="7" t="str">
        <f>VLOOKUP($A857,product_category,2, False)</f>
        <v>Office Supplies</v>
      </c>
      <c r="C857" s="7">
        <v>6.53909957E8</v>
      </c>
      <c r="D857" s="9">
        <v>42452.0</v>
      </c>
      <c r="E857" s="10">
        <f t="shared" si="1"/>
        <v>3</v>
      </c>
      <c r="F857" s="10" t="str">
        <f t="shared" si="2"/>
        <v>Mar</v>
      </c>
      <c r="G857" s="11">
        <f t="shared" si="3"/>
        <v>23</v>
      </c>
      <c r="H857" s="7">
        <f t="shared" si="4"/>
        <v>2016</v>
      </c>
      <c r="I857" s="9">
        <v>42466.0</v>
      </c>
      <c r="J857" s="11">
        <f t="shared" si="5"/>
        <v>14</v>
      </c>
      <c r="K857" s="7" t="s">
        <v>110</v>
      </c>
      <c r="L857" s="7" t="s">
        <v>439</v>
      </c>
      <c r="M857" s="7" t="str">
        <f>VLOOKUP(L857,countries, 2,false)</f>
        <v>Slovakia</v>
      </c>
      <c r="N857" s="7" t="str">
        <f>VLOOKUP(L857,countries, 4,false)</f>
        <v>Europe</v>
      </c>
      <c r="O857" s="7" t="str">
        <f>VLOOKUP(L857,countries, 5,false)</f>
        <v>Eastern Europe</v>
      </c>
      <c r="P857" s="7" t="s">
        <v>129</v>
      </c>
      <c r="Q857" s="7">
        <v>5342.0</v>
      </c>
      <c r="R857" s="12">
        <v>651.21</v>
      </c>
      <c r="S857" s="12">
        <v>524.96</v>
      </c>
      <c r="T857" s="13">
        <f t="shared" si="6"/>
        <v>3478763.82</v>
      </c>
      <c r="U857" s="13">
        <f t="shared" si="7"/>
        <v>829896.48</v>
      </c>
      <c r="V857" s="13">
        <f t="shared" si="8"/>
        <v>2648867.34</v>
      </c>
      <c r="W857" s="14">
        <f>Q857/totals!B$2</f>
        <v>0.0008122832061</v>
      </c>
      <c r="X857" s="14">
        <f t="shared" si="9"/>
        <v>0.6352164152</v>
      </c>
      <c r="Y857" s="14">
        <f>T857/totals!B$5</f>
        <v>0.002043771645</v>
      </c>
      <c r="Z857" s="14">
        <f t="shared" si="10"/>
        <v>0.6230986296</v>
      </c>
      <c r="AA857" s="14">
        <f>V857/totals!B$4</f>
        <v>0.00528177758</v>
      </c>
      <c r="AB857" s="14">
        <f t="shared" si="11"/>
        <v>0.6330189108</v>
      </c>
    </row>
    <row r="858">
      <c r="A858" s="7">
        <v>8969.0</v>
      </c>
      <c r="B858" s="7" t="str">
        <f>VLOOKUP($A858,product_category,2, False)</f>
        <v>Snacks</v>
      </c>
      <c r="C858" s="7">
        <v>6.53920686E8</v>
      </c>
      <c r="D858" s="9">
        <v>40189.0</v>
      </c>
      <c r="E858" s="10">
        <f t="shared" si="1"/>
        <v>1</v>
      </c>
      <c r="F858" s="10" t="str">
        <f t="shared" si="2"/>
        <v>Jan</v>
      </c>
      <c r="G858" s="11">
        <f t="shared" si="3"/>
        <v>11</v>
      </c>
      <c r="H858" s="7">
        <f t="shared" si="4"/>
        <v>2010</v>
      </c>
      <c r="I858" s="9">
        <v>40196.0</v>
      </c>
      <c r="J858" s="11">
        <f t="shared" si="5"/>
        <v>7</v>
      </c>
      <c r="K858" s="7" t="s">
        <v>198</v>
      </c>
      <c r="L858" s="7" t="s">
        <v>609</v>
      </c>
      <c r="M858" s="7" t="str">
        <f>VLOOKUP(L858,countries, 2,false)</f>
        <v>Romania</v>
      </c>
      <c r="N858" s="7" t="str">
        <f>VLOOKUP(L858,countries, 4,false)</f>
        <v>Europe</v>
      </c>
      <c r="O858" s="7" t="str">
        <f>VLOOKUP(L858,countries, 5,false)</f>
        <v>Eastern Europe</v>
      </c>
      <c r="P858" s="7" t="s">
        <v>129</v>
      </c>
      <c r="Q858" s="7">
        <v>8517.0</v>
      </c>
      <c r="R858" s="12">
        <v>152.58</v>
      </c>
      <c r="S858" s="12">
        <v>97.44</v>
      </c>
      <c r="T858" s="13">
        <f t="shared" si="6"/>
        <v>1299523.86</v>
      </c>
      <c r="U858" s="13">
        <f t="shared" si="7"/>
        <v>1443797.42</v>
      </c>
      <c r="V858" s="13">
        <f t="shared" si="8"/>
        <v>-144273.56</v>
      </c>
      <c r="W858" s="14">
        <f>Q858/totals!B$2</f>
        <v>0.001295061038</v>
      </c>
      <c r="X858" s="14">
        <f t="shared" si="9"/>
        <v>0.6365114763</v>
      </c>
      <c r="Y858" s="14">
        <f>T858/totals!B$5</f>
        <v>0.0007634694834</v>
      </c>
      <c r="Z858" s="14">
        <f t="shared" si="10"/>
        <v>0.623862099</v>
      </c>
      <c r="AA858" s="14">
        <f>V858/totals!B$4</f>
        <v>-0.0002876779985</v>
      </c>
      <c r="AB858" s="14">
        <f t="shared" si="11"/>
        <v>0.6327312328</v>
      </c>
    </row>
    <row r="859">
      <c r="A859" s="7">
        <v>7940.0</v>
      </c>
      <c r="B859" s="7" t="str">
        <f>VLOOKUP($A859,product_category,2, False)</f>
        <v>Household</v>
      </c>
      <c r="C859" s="7">
        <v>6.5528711E8</v>
      </c>
      <c r="D859" s="9">
        <v>42053.0</v>
      </c>
      <c r="E859" s="10">
        <f t="shared" si="1"/>
        <v>2</v>
      </c>
      <c r="F859" s="10" t="str">
        <f t="shared" si="2"/>
        <v>Feb</v>
      </c>
      <c r="G859" s="11">
        <f t="shared" si="3"/>
        <v>18</v>
      </c>
      <c r="H859" s="7">
        <f t="shared" si="4"/>
        <v>2015</v>
      </c>
      <c r="I859" s="9">
        <v>42057.0</v>
      </c>
      <c r="J859" s="11">
        <f t="shared" si="5"/>
        <v>4</v>
      </c>
      <c r="K859" s="7" t="s">
        <v>382</v>
      </c>
      <c r="L859" s="7" t="s">
        <v>597</v>
      </c>
      <c r="M859" s="7" t="str">
        <f>VLOOKUP(L859,countries, 2,false)</f>
        <v>Portugal</v>
      </c>
      <c r="N859" s="7" t="str">
        <f>VLOOKUP(L859,countries, 4,false)</f>
        <v>Europe</v>
      </c>
      <c r="O859" s="7" t="str">
        <f>VLOOKUP(L859,countries, 5,false)</f>
        <v>Southern Europe</v>
      </c>
      <c r="P859" s="7" t="s">
        <v>212</v>
      </c>
      <c r="Q859" s="7">
        <v>2873.0</v>
      </c>
      <c r="R859" s="12">
        <v>668.27</v>
      </c>
      <c r="S859" s="12">
        <v>502.54</v>
      </c>
      <c r="T859" s="13">
        <f t="shared" si="6"/>
        <v>1919939.71</v>
      </c>
      <c r="U859" s="13">
        <f t="shared" si="7"/>
        <v>607918.01</v>
      </c>
      <c r="V859" s="13">
        <f t="shared" si="8"/>
        <v>1312021.7</v>
      </c>
      <c r="W859" s="14">
        <f>Q859/totals!B$2</f>
        <v>0.0004368569171</v>
      </c>
      <c r="X859" s="14">
        <f t="shared" si="9"/>
        <v>0.6369483332</v>
      </c>
      <c r="Y859" s="14">
        <f>T859/totals!B$5</f>
        <v>0.001127963421</v>
      </c>
      <c r="Z859" s="14">
        <f t="shared" si="10"/>
        <v>0.6249900625</v>
      </c>
      <c r="AA859" s="14">
        <f>V859/totals!B$4</f>
        <v>0.002616139621</v>
      </c>
      <c r="AB859" s="14">
        <f t="shared" si="11"/>
        <v>0.6353473724</v>
      </c>
    </row>
    <row r="860">
      <c r="A860" s="7">
        <v>2103.0</v>
      </c>
      <c r="B860" s="7" t="str">
        <f>VLOOKUP($A860,product_category,2, False)</f>
        <v>Cereal</v>
      </c>
      <c r="C860" s="7">
        <v>6.55328738E8</v>
      </c>
      <c r="D860" s="9">
        <v>41680.0</v>
      </c>
      <c r="E860" s="10">
        <f t="shared" si="1"/>
        <v>2</v>
      </c>
      <c r="F860" s="10" t="str">
        <f t="shared" si="2"/>
        <v>Feb</v>
      </c>
      <c r="G860" s="11">
        <f t="shared" si="3"/>
        <v>10</v>
      </c>
      <c r="H860" s="7">
        <f t="shared" si="4"/>
        <v>2014</v>
      </c>
      <c r="I860" s="9">
        <v>41720.0</v>
      </c>
      <c r="J860" s="11">
        <f t="shared" si="5"/>
        <v>40</v>
      </c>
      <c r="K860" s="7" t="s">
        <v>198</v>
      </c>
      <c r="L860" s="7" t="s">
        <v>594</v>
      </c>
      <c r="M860" s="7" t="str">
        <f>VLOOKUP(L860,countries, 2,false)</f>
        <v>Poland</v>
      </c>
      <c r="N860" s="7" t="str">
        <f>VLOOKUP(L860,countries, 4,false)</f>
        <v>Europe</v>
      </c>
      <c r="O860" s="7" t="str">
        <f>VLOOKUP(L860,countries, 5,false)</f>
        <v>Eastern Europe</v>
      </c>
      <c r="P860" s="7" t="s">
        <v>212</v>
      </c>
      <c r="Q860" s="7">
        <v>5191.0</v>
      </c>
      <c r="R860" s="12">
        <v>205.7</v>
      </c>
      <c r="S860" s="12">
        <v>117.11</v>
      </c>
      <c r="T860" s="13">
        <f t="shared" si="6"/>
        <v>1067788.7</v>
      </c>
      <c r="U860" s="13">
        <f t="shared" si="7"/>
        <v>42910.92</v>
      </c>
      <c r="V860" s="13">
        <f t="shared" si="8"/>
        <v>1024877.78</v>
      </c>
      <c r="W860" s="14">
        <f>Q860/totals!B$2</f>
        <v>0.0007893227486</v>
      </c>
      <c r="X860" s="14">
        <f t="shared" si="9"/>
        <v>0.6377376559</v>
      </c>
      <c r="Y860" s="14">
        <f>T860/totals!B$5</f>
        <v>0.0006273252168</v>
      </c>
      <c r="Z860" s="14">
        <f t="shared" si="10"/>
        <v>0.6256173877</v>
      </c>
      <c r="AA860" s="14">
        <f>V860/totals!B$4</f>
        <v>0.002043581571</v>
      </c>
      <c r="AB860" s="14">
        <f t="shared" si="11"/>
        <v>0.6373909539</v>
      </c>
    </row>
    <row r="861">
      <c r="A861" s="7">
        <v>4594.0</v>
      </c>
      <c r="B861" s="7" t="str">
        <f>VLOOKUP($A861,product_category,2, False)</f>
        <v>Fruits</v>
      </c>
      <c r="C861" s="7">
        <v>6.56244552E8</v>
      </c>
      <c r="D861" s="9">
        <v>41787.0</v>
      </c>
      <c r="E861" s="10">
        <f t="shared" si="1"/>
        <v>5</v>
      </c>
      <c r="F861" s="10" t="str">
        <f t="shared" si="2"/>
        <v>May</v>
      </c>
      <c r="G861" s="11">
        <f t="shared" si="3"/>
        <v>28</v>
      </c>
      <c r="H861" s="7">
        <f t="shared" si="4"/>
        <v>2014</v>
      </c>
      <c r="I861" s="9">
        <v>41809.0</v>
      </c>
      <c r="J861" s="11">
        <f t="shared" si="5"/>
        <v>22</v>
      </c>
      <c r="K861" s="7" t="s">
        <v>198</v>
      </c>
      <c r="L861" s="7" t="s">
        <v>316</v>
      </c>
      <c r="M861" s="7" t="str">
        <f>VLOOKUP(L861,countries, 2,false)</f>
        <v>Greece</v>
      </c>
      <c r="N861" s="7" t="str">
        <f>VLOOKUP(L861,countries, 4,false)</f>
        <v>Europe</v>
      </c>
      <c r="O861" s="7" t="str">
        <f>VLOOKUP(L861,countries, 5,false)</f>
        <v>Southern Europe</v>
      </c>
      <c r="P861" s="7" t="s">
        <v>212</v>
      </c>
      <c r="Q861" s="7">
        <v>6201.0</v>
      </c>
      <c r="R861" s="12">
        <v>9.33</v>
      </c>
      <c r="S861" s="12">
        <v>6.92</v>
      </c>
      <c r="T861" s="13">
        <f t="shared" si="6"/>
        <v>57855.33</v>
      </c>
      <c r="U861" s="13">
        <f t="shared" si="7"/>
        <v>3904233.26</v>
      </c>
      <c r="V861" s="13">
        <f t="shared" si="8"/>
        <v>-3846377.93</v>
      </c>
      <c r="W861" s="14">
        <f>Q861/totals!B$2</f>
        <v>0.0009428993188</v>
      </c>
      <c r="X861" s="14">
        <f t="shared" si="9"/>
        <v>0.6386805553</v>
      </c>
      <c r="Y861" s="14">
        <f>T861/totals!B$5</f>
        <v>0.00003398997146</v>
      </c>
      <c r="Z861" s="14">
        <f t="shared" si="10"/>
        <v>0.6256513776</v>
      </c>
      <c r="AA861" s="14">
        <f>V861/totals!B$4</f>
        <v>-0.007669584809</v>
      </c>
      <c r="AB861" s="14">
        <f t="shared" si="11"/>
        <v>0.6297213691</v>
      </c>
    </row>
    <row r="862">
      <c r="A862" s="7">
        <v>7940.0</v>
      </c>
      <c r="B862" s="7" t="str">
        <f>VLOOKUP($A862,product_category,2, False)</f>
        <v>Household</v>
      </c>
      <c r="C862" s="7">
        <v>6.56689155E8</v>
      </c>
      <c r="D862" s="9">
        <v>40718.0</v>
      </c>
      <c r="E862" s="10">
        <f t="shared" si="1"/>
        <v>6</v>
      </c>
      <c r="F862" s="10" t="str">
        <f t="shared" si="2"/>
        <v>Jun</v>
      </c>
      <c r="G862" s="11">
        <f t="shared" si="3"/>
        <v>24</v>
      </c>
      <c r="H862" s="7">
        <f t="shared" si="4"/>
        <v>2011</v>
      </c>
      <c r="I862" s="9">
        <v>40764.0</v>
      </c>
      <c r="J862" s="11">
        <f t="shared" si="5"/>
        <v>46</v>
      </c>
      <c r="K862" s="7" t="s">
        <v>198</v>
      </c>
      <c r="L862" s="7" t="s">
        <v>702</v>
      </c>
      <c r="M862" s="7" t="str">
        <f>VLOOKUP(L862,countries, 2,false)</f>
        <v>Sweden</v>
      </c>
      <c r="N862" s="7" t="str">
        <f>VLOOKUP(L862,countries, 4,false)</f>
        <v>Europe</v>
      </c>
      <c r="O862" s="7" t="str">
        <f>VLOOKUP(L862,countries, 5,false)</f>
        <v>Northern Europe</v>
      </c>
      <c r="P862" s="7" t="s">
        <v>212</v>
      </c>
      <c r="Q862" s="7">
        <v>7769.0</v>
      </c>
      <c r="R862" s="12">
        <v>668.27</v>
      </c>
      <c r="S862" s="12">
        <v>502.54</v>
      </c>
      <c r="T862" s="13">
        <f t="shared" si="6"/>
        <v>5191789.63</v>
      </c>
      <c r="U862" s="13">
        <f t="shared" si="7"/>
        <v>4681593.28</v>
      </c>
      <c r="V862" s="13">
        <f t="shared" si="8"/>
        <v>510196.35</v>
      </c>
      <c r="W862" s="14">
        <f>Q862/totals!B$2</f>
        <v>0.001181323143</v>
      </c>
      <c r="X862" s="14">
        <f t="shared" si="9"/>
        <v>0.6398618784</v>
      </c>
      <c r="Y862" s="14">
        <f>T862/totals!B$5</f>
        <v>0.003050173274</v>
      </c>
      <c r="Z862" s="14">
        <f t="shared" si="10"/>
        <v>0.6287015509</v>
      </c>
      <c r="AA862" s="14">
        <f>V862/totals!B$4</f>
        <v>0.001017319215</v>
      </c>
      <c r="AB862" s="14">
        <f t="shared" si="11"/>
        <v>0.6307386884</v>
      </c>
    </row>
    <row r="863">
      <c r="A863" s="7">
        <v>8681.0</v>
      </c>
      <c r="B863" s="7" t="str">
        <f>VLOOKUP($A863,product_category,2, False)</f>
        <v>Office Supplies</v>
      </c>
      <c r="C863" s="7">
        <v>6.59193694E8</v>
      </c>
      <c r="D863" s="9">
        <v>42155.0</v>
      </c>
      <c r="E863" s="10">
        <f t="shared" si="1"/>
        <v>5</v>
      </c>
      <c r="F863" s="10" t="str">
        <f t="shared" si="2"/>
        <v>May</v>
      </c>
      <c r="G863" s="11">
        <f t="shared" si="3"/>
        <v>31</v>
      </c>
      <c r="H863" s="7">
        <f t="shared" si="4"/>
        <v>2015</v>
      </c>
      <c r="I863" s="9">
        <v>42166.0</v>
      </c>
      <c r="J863" s="11">
        <f t="shared" si="5"/>
        <v>11</v>
      </c>
      <c r="K863" s="7" t="s">
        <v>110</v>
      </c>
      <c r="L863" s="7" t="s">
        <v>200</v>
      </c>
      <c r="M863" s="7" t="str">
        <f>VLOOKUP(L863,countries, 2,false)</f>
        <v>Serbia</v>
      </c>
      <c r="N863" s="7" t="str">
        <f>VLOOKUP(L863,countries, 4,false)</f>
        <v>Europe</v>
      </c>
      <c r="O863" s="7" t="str">
        <f>VLOOKUP(L863,countries, 5,false)</f>
        <v>Southern Europe</v>
      </c>
      <c r="P863" s="7" t="s">
        <v>129</v>
      </c>
      <c r="Q863" s="7">
        <v>8918.0</v>
      </c>
      <c r="R863" s="12">
        <v>651.21</v>
      </c>
      <c r="S863" s="12">
        <v>524.96</v>
      </c>
      <c r="T863" s="13">
        <f t="shared" si="6"/>
        <v>5807490.78</v>
      </c>
      <c r="U863" s="13">
        <f t="shared" si="7"/>
        <v>4864587.2</v>
      </c>
      <c r="V863" s="13">
        <f t="shared" si="8"/>
        <v>942903.58</v>
      </c>
      <c r="W863" s="14">
        <f>Q863/totals!B$2</f>
        <v>0.001356035498</v>
      </c>
      <c r="X863" s="14">
        <f t="shared" si="9"/>
        <v>0.6412179139</v>
      </c>
      <c r="Y863" s="14">
        <f>T863/totals!B$5</f>
        <v>0.003411897328</v>
      </c>
      <c r="Z863" s="14">
        <f t="shared" si="10"/>
        <v>0.6321134482</v>
      </c>
      <c r="AA863" s="14">
        <f>V863/totals!B$4</f>
        <v>0.001880126994</v>
      </c>
      <c r="AB863" s="14">
        <f t="shared" si="11"/>
        <v>0.6326188153</v>
      </c>
    </row>
    <row r="864">
      <c r="A864" s="7">
        <v>7940.0</v>
      </c>
      <c r="B864" s="7" t="str">
        <f>VLOOKUP($A864,product_category,2, False)</f>
        <v>Household</v>
      </c>
      <c r="C864" s="7">
        <v>6.59196269E8</v>
      </c>
      <c r="D864" s="9">
        <v>41390.0</v>
      </c>
      <c r="E864" s="10">
        <f t="shared" si="1"/>
        <v>4</v>
      </c>
      <c r="F864" s="10" t="str">
        <f t="shared" si="2"/>
        <v>Apr</v>
      </c>
      <c r="G864" s="11">
        <f t="shared" si="3"/>
        <v>26</v>
      </c>
      <c r="H864" s="7">
        <f t="shared" si="4"/>
        <v>2013</v>
      </c>
      <c r="I864" s="9">
        <v>41426.0</v>
      </c>
      <c r="J864" s="11">
        <f t="shared" si="5"/>
        <v>36</v>
      </c>
      <c r="K864" s="7" t="s">
        <v>322</v>
      </c>
      <c r="L864" s="7" t="s">
        <v>222</v>
      </c>
      <c r="M864" s="7" t="str">
        <f>VLOOKUP(L864,countries, 2,false)</f>
        <v>Croatia</v>
      </c>
      <c r="N864" s="7" t="str">
        <f>VLOOKUP(L864,countries, 4,false)</f>
        <v>Europe</v>
      </c>
      <c r="O864" s="7" t="str">
        <f>VLOOKUP(L864,countries, 5,false)</f>
        <v>Southern Europe</v>
      </c>
      <c r="P864" s="7" t="s">
        <v>129</v>
      </c>
      <c r="Q864" s="7">
        <v>9680.0</v>
      </c>
      <c r="R864" s="12">
        <v>668.27</v>
      </c>
      <c r="S864" s="12">
        <v>502.54</v>
      </c>
      <c r="T864" s="13">
        <f t="shared" si="6"/>
        <v>6468853.6</v>
      </c>
      <c r="U864" s="13">
        <f t="shared" si="7"/>
        <v>102962.03</v>
      </c>
      <c r="V864" s="13">
        <f t="shared" si="8"/>
        <v>6365891.57</v>
      </c>
      <c r="W864" s="14">
        <f>Q864/totals!B$2</f>
        <v>0.001471902178</v>
      </c>
      <c r="X864" s="14">
        <f t="shared" si="9"/>
        <v>0.6426898161</v>
      </c>
      <c r="Y864" s="14">
        <f>T864/totals!B$5</f>
        <v>0.003800447586</v>
      </c>
      <c r="Z864" s="14">
        <f t="shared" si="10"/>
        <v>0.6359138958</v>
      </c>
      <c r="AA864" s="14">
        <f>V864/totals!B$4</f>
        <v>0.01269343423</v>
      </c>
      <c r="AB864" s="14">
        <f t="shared" si="11"/>
        <v>0.6453122496</v>
      </c>
    </row>
    <row r="865">
      <c r="A865" s="7">
        <v>8293.0</v>
      </c>
      <c r="B865" s="7" t="str">
        <f>VLOOKUP($A865,product_category,2, False)</f>
        <v>Cosmetics</v>
      </c>
      <c r="C865" s="7">
        <v>6.59671771E8</v>
      </c>
      <c r="D865" s="9">
        <v>42213.0</v>
      </c>
      <c r="E865" s="10">
        <f t="shared" si="1"/>
        <v>7</v>
      </c>
      <c r="F865" s="10" t="str">
        <f t="shared" si="2"/>
        <v>Jul</v>
      </c>
      <c r="G865" s="11">
        <f t="shared" si="3"/>
        <v>28</v>
      </c>
      <c r="H865" s="7">
        <f t="shared" si="4"/>
        <v>2015</v>
      </c>
      <c r="I865" s="9">
        <v>42214.0</v>
      </c>
      <c r="J865" s="11">
        <f t="shared" si="5"/>
        <v>1</v>
      </c>
      <c r="K865" s="7" t="s">
        <v>198</v>
      </c>
      <c r="L865" s="7" t="s">
        <v>612</v>
      </c>
      <c r="M865" s="7" t="str">
        <f>VLOOKUP(L865,countries, 2,false)</f>
        <v>Russia</v>
      </c>
      <c r="N865" s="7" t="str">
        <f>VLOOKUP(L865,countries, 4,false)</f>
        <v>Europe</v>
      </c>
      <c r="O865" s="7" t="str">
        <f>VLOOKUP(L865,countries, 5,false)</f>
        <v>Eastern Europe</v>
      </c>
      <c r="P865" s="7" t="s">
        <v>212</v>
      </c>
      <c r="Q865" s="7">
        <v>391.0</v>
      </c>
      <c r="R865" s="12">
        <v>437.2</v>
      </c>
      <c r="S865" s="12">
        <v>263.33</v>
      </c>
      <c r="T865" s="13">
        <f t="shared" si="6"/>
        <v>170945.2</v>
      </c>
      <c r="U865" s="13">
        <f t="shared" si="7"/>
        <v>4408.32</v>
      </c>
      <c r="V865" s="13">
        <f t="shared" si="8"/>
        <v>166536.88</v>
      </c>
      <c r="W865" s="14">
        <f>Q865/totals!B$2</f>
        <v>0.00005945389996</v>
      </c>
      <c r="X865" s="14">
        <f t="shared" si="9"/>
        <v>0.64274927</v>
      </c>
      <c r="Y865" s="14">
        <f>T865/totals!B$5</f>
        <v>0.0001004302018</v>
      </c>
      <c r="Z865" s="14">
        <f t="shared" si="10"/>
        <v>0.636014326</v>
      </c>
      <c r="AA865" s="14">
        <f>V865/totals!B$4</f>
        <v>0.0003320705215</v>
      </c>
      <c r="AB865" s="14">
        <f t="shared" si="11"/>
        <v>0.6456443201</v>
      </c>
    </row>
    <row r="866">
      <c r="A866" s="7">
        <v>2455.0</v>
      </c>
      <c r="B866" s="7" t="str">
        <f>VLOOKUP($A866,product_category,2, False)</f>
        <v>Clothes</v>
      </c>
      <c r="C866" s="7">
        <v>6.60312926E8</v>
      </c>
      <c r="D866" s="9">
        <v>42722.0</v>
      </c>
      <c r="E866" s="10">
        <f t="shared" si="1"/>
        <v>12</v>
      </c>
      <c r="F866" s="10" t="str">
        <f t="shared" si="2"/>
        <v>Dec</v>
      </c>
      <c r="G866" s="11">
        <f t="shared" si="3"/>
        <v>18</v>
      </c>
      <c r="H866" s="7">
        <f t="shared" si="4"/>
        <v>2016</v>
      </c>
      <c r="I866" s="9">
        <v>42740.0</v>
      </c>
      <c r="J866" s="11">
        <f t="shared" si="5"/>
        <v>18</v>
      </c>
      <c r="K866" s="7" t="s">
        <v>198</v>
      </c>
      <c r="L866" s="7" t="s">
        <v>264</v>
      </c>
      <c r="M866" s="7" t="str">
        <f>VLOOKUP(L866,countries, 2,false)</f>
        <v>Estonia</v>
      </c>
      <c r="N866" s="7" t="str">
        <f>VLOOKUP(L866,countries, 4,false)</f>
        <v>Europe</v>
      </c>
      <c r="O866" s="7" t="str">
        <f>VLOOKUP(L866,countries, 5,false)</f>
        <v>Northern Europe</v>
      </c>
      <c r="P866" s="7" t="s">
        <v>212</v>
      </c>
      <c r="Q866" s="7">
        <v>123.0</v>
      </c>
      <c r="R866" s="12">
        <v>109.28</v>
      </c>
      <c r="S866" s="12">
        <v>35.84</v>
      </c>
      <c r="T866" s="13">
        <f t="shared" si="6"/>
        <v>13441.44</v>
      </c>
      <c r="U866" s="13">
        <f t="shared" si="7"/>
        <v>17323.68</v>
      </c>
      <c r="V866" s="13">
        <f t="shared" si="8"/>
        <v>-3882.24</v>
      </c>
      <c r="W866" s="14">
        <f>Q866/totals!B$2</f>
        <v>0.00001870288925</v>
      </c>
      <c r="X866" s="14">
        <f t="shared" si="9"/>
        <v>0.6427679729</v>
      </c>
      <c r="Y866" s="14">
        <f>T866/totals!B$5</f>
        <v>0.000007896837887</v>
      </c>
      <c r="Z866" s="14">
        <f t="shared" si="10"/>
        <v>0.6360222229</v>
      </c>
      <c r="AA866" s="14">
        <f>V866/totals!B$4</f>
        <v>-0.000007741092912</v>
      </c>
      <c r="AB866" s="14">
        <f t="shared" si="11"/>
        <v>0.645636579</v>
      </c>
    </row>
    <row r="867">
      <c r="A867" s="7">
        <v>8681.0</v>
      </c>
      <c r="B867" s="7" t="str">
        <f>VLOOKUP($A867,product_category,2, False)</f>
        <v>Office Supplies</v>
      </c>
      <c r="C867" s="7">
        <v>6.60481584E8</v>
      </c>
      <c r="D867" s="9">
        <v>42440.0</v>
      </c>
      <c r="E867" s="10">
        <f t="shared" si="1"/>
        <v>3</v>
      </c>
      <c r="F867" s="10" t="str">
        <f t="shared" si="2"/>
        <v>Mar</v>
      </c>
      <c r="G867" s="11">
        <f t="shared" si="3"/>
        <v>11</v>
      </c>
      <c r="H867" s="7">
        <f t="shared" si="4"/>
        <v>2016</v>
      </c>
      <c r="I867" s="9">
        <v>42480.0</v>
      </c>
      <c r="J867" s="11">
        <f t="shared" si="5"/>
        <v>40</v>
      </c>
      <c r="K867" s="7" t="s">
        <v>110</v>
      </c>
      <c r="L867" s="7" t="s">
        <v>756</v>
      </c>
      <c r="M867" s="7" t="str">
        <f>VLOOKUP(L867,countries, 2,false)</f>
        <v>Ukraine</v>
      </c>
      <c r="N867" s="7" t="str">
        <f>VLOOKUP(L867,countries, 4,false)</f>
        <v>Europe</v>
      </c>
      <c r="O867" s="7" t="str">
        <f>VLOOKUP(L867,countries, 5,false)</f>
        <v>Eastern Europe</v>
      </c>
      <c r="P867" s="7" t="s">
        <v>212</v>
      </c>
      <c r="Q867" s="7">
        <v>33.0</v>
      </c>
      <c r="R867" s="12">
        <v>651.21</v>
      </c>
      <c r="S867" s="12">
        <v>524.96</v>
      </c>
      <c r="T867" s="13">
        <f t="shared" si="6"/>
        <v>21489.93</v>
      </c>
      <c r="U867" s="13">
        <f t="shared" si="7"/>
        <v>1411350.3</v>
      </c>
      <c r="V867" s="13">
        <f t="shared" si="8"/>
        <v>-1389860.37</v>
      </c>
      <c r="W867" s="14">
        <f>Q867/totals!B$2</f>
        <v>0.000005017848334</v>
      </c>
      <c r="X867" s="14">
        <f t="shared" si="9"/>
        <v>0.6427729907</v>
      </c>
      <c r="Y867" s="14">
        <f>T867/totals!B$5</f>
        <v>0.0000126253209</v>
      </c>
      <c r="Z867" s="14">
        <f t="shared" si="10"/>
        <v>0.6360348482</v>
      </c>
      <c r="AA867" s="14">
        <f>V867/totals!B$4</f>
        <v>-0.002771348051</v>
      </c>
      <c r="AB867" s="14">
        <f t="shared" si="11"/>
        <v>0.642865231</v>
      </c>
    </row>
    <row r="868">
      <c r="A868" s="7">
        <v>8875.0</v>
      </c>
      <c r="B868" s="7" t="str">
        <f>VLOOKUP($A868,product_category,2, False)</f>
        <v>Meat</v>
      </c>
      <c r="C868" s="7">
        <v>6.62623488E8</v>
      </c>
      <c r="D868" s="9">
        <v>41816.0</v>
      </c>
      <c r="E868" s="10">
        <f t="shared" si="1"/>
        <v>6</v>
      </c>
      <c r="F868" s="10" t="str">
        <f t="shared" si="2"/>
        <v>Jun</v>
      </c>
      <c r="G868" s="11">
        <f t="shared" si="3"/>
        <v>26</v>
      </c>
      <c r="H868" s="7">
        <f t="shared" si="4"/>
        <v>2014</v>
      </c>
      <c r="I868" s="9">
        <v>41831.0</v>
      </c>
      <c r="J868" s="11">
        <f t="shared" si="5"/>
        <v>15</v>
      </c>
      <c r="K868" s="7" t="s">
        <v>198</v>
      </c>
      <c r="L868" s="7" t="s">
        <v>478</v>
      </c>
      <c r="M868" s="7" t="str">
        <f>VLOOKUP(L868,countries, 2,false)</f>
        <v>Malta</v>
      </c>
      <c r="N868" s="7" t="str">
        <f>VLOOKUP(L868,countries, 4,false)</f>
        <v>Europe</v>
      </c>
      <c r="O868" s="7" t="str">
        <f>VLOOKUP(L868,countries, 5,false)</f>
        <v>Southern Europe</v>
      </c>
      <c r="P868" s="7" t="s">
        <v>212</v>
      </c>
      <c r="Q868" s="7">
        <v>3870.0</v>
      </c>
      <c r="R868" s="12">
        <v>421.89</v>
      </c>
      <c r="S868" s="12">
        <v>364.69</v>
      </c>
      <c r="T868" s="13">
        <f t="shared" si="6"/>
        <v>1632714.3</v>
      </c>
      <c r="U868" s="13">
        <f t="shared" si="7"/>
        <v>3280021.86</v>
      </c>
      <c r="V868" s="13">
        <f t="shared" si="8"/>
        <v>-1647307.56</v>
      </c>
      <c r="W868" s="14">
        <f>Q868/totals!B$2</f>
        <v>0.0005884567592</v>
      </c>
      <c r="X868" s="14">
        <f t="shared" si="9"/>
        <v>0.6433614475</v>
      </c>
      <c r="Y868" s="14">
        <f>T868/totals!B$5</f>
        <v>0.0009592186658</v>
      </c>
      <c r="Z868" s="14">
        <f t="shared" si="10"/>
        <v>0.6369940669</v>
      </c>
      <c r="AA868" s="14">
        <f>V868/totals!B$4</f>
        <v>-0.003284691538</v>
      </c>
      <c r="AB868" s="14">
        <f t="shared" si="11"/>
        <v>0.6395805394</v>
      </c>
    </row>
    <row r="869">
      <c r="A869" s="7">
        <v>8875.0</v>
      </c>
      <c r="B869" s="7" t="str">
        <f>VLOOKUP($A869,product_category,2, False)</f>
        <v>Meat</v>
      </c>
      <c r="C869" s="7">
        <v>6.63080108E8</v>
      </c>
      <c r="D869" s="9">
        <v>40868.0</v>
      </c>
      <c r="E869" s="10">
        <f t="shared" si="1"/>
        <v>11</v>
      </c>
      <c r="F869" s="10" t="str">
        <f t="shared" si="2"/>
        <v>Nov</v>
      </c>
      <c r="G869" s="11">
        <f t="shared" si="3"/>
        <v>21</v>
      </c>
      <c r="H869" s="7">
        <f t="shared" si="4"/>
        <v>2011</v>
      </c>
      <c r="I869" s="9">
        <v>40887.0</v>
      </c>
      <c r="J869" s="11">
        <f t="shared" si="5"/>
        <v>19</v>
      </c>
      <c r="K869" s="7" t="s">
        <v>382</v>
      </c>
      <c r="L869" s="7" t="s">
        <v>597</v>
      </c>
      <c r="M869" s="7" t="str">
        <f>VLOOKUP(L869,countries, 2,false)</f>
        <v>Portugal</v>
      </c>
      <c r="N869" s="7" t="str">
        <f>VLOOKUP(L869,countries, 4,false)</f>
        <v>Europe</v>
      </c>
      <c r="O869" s="7" t="str">
        <f>VLOOKUP(L869,countries, 5,false)</f>
        <v>Southern Europe</v>
      </c>
      <c r="P869" s="7" t="s">
        <v>129</v>
      </c>
      <c r="Q869" s="7">
        <v>8994.0</v>
      </c>
      <c r="R869" s="12">
        <v>421.89</v>
      </c>
      <c r="S869" s="12">
        <v>364.69</v>
      </c>
      <c r="T869" s="13">
        <f t="shared" si="6"/>
        <v>3794478.66</v>
      </c>
      <c r="U869" s="13">
        <f t="shared" si="7"/>
        <v>68909.36</v>
      </c>
      <c r="V869" s="13">
        <f t="shared" si="8"/>
        <v>3725569.3</v>
      </c>
      <c r="W869" s="14">
        <f>Q869/totals!B$2</f>
        <v>0.001367591755</v>
      </c>
      <c r="X869" s="14">
        <f t="shared" si="9"/>
        <v>0.6447290392</v>
      </c>
      <c r="Y869" s="14">
        <f>T869/totals!B$5</f>
        <v>0.002229253923</v>
      </c>
      <c r="Z869" s="14">
        <f t="shared" si="10"/>
        <v>0.6392233208</v>
      </c>
      <c r="AA869" s="14">
        <f>V869/totals!B$4</f>
        <v>0.007428695315</v>
      </c>
      <c r="AB869" s="14">
        <f t="shared" si="11"/>
        <v>0.6470092347</v>
      </c>
    </row>
    <row r="870">
      <c r="A870" s="7">
        <v>4594.0</v>
      </c>
      <c r="B870" s="7" t="str">
        <f>VLOOKUP($A870,product_category,2, False)</f>
        <v>Fruits</v>
      </c>
      <c r="C870" s="7">
        <v>6.65786778E8</v>
      </c>
      <c r="D870" s="9">
        <v>40383.0</v>
      </c>
      <c r="E870" s="10">
        <f t="shared" si="1"/>
        <v>7</v>
      </c>
      <c r="F870" s="10" t="str">
        <f t="shared" si="2"/>
        <v>Jul</v>
      </c>
      <c r="G870" s="11">
        <f t="shared" si="3"/>
        <v>24</v>
      </c>
      <c r="H870" s="7">
        <f t="shared" si="4"/>
        <v>2010</v>
      </c>
      <c r="I870" s="9">
        <v>40405.0</v>
      </c>
      <c r="J870" s="11">
        <f t="shared" si="5"/>
        <v>22</v>
      </c>
      <c r="K870" s="7" t="s">
        <v>322</v>
      </c>
      <c r="L870" s="7" t="s">
        <v>609</v>
      </c>
      <c r="M870" s="7" t="str">
        <f>VLOOKUP(L870,countries, 2,false)</f>
        <v>Romania</v>
      </c>
      <c r="N870" s="7" t="str">
        <f>VLOOKUP(L870,countries, 4,false)</f>
        <v>Europe</v>
      </c>
      <c r="O870" s="7" t="str">
        <f>VLOOKUP(L870,countries, 5,false)</f>
        <v>Eastern Europe</v>
      </c>
      <c r="P870" s="7" t="s">
        <v>212</v>
      </c>
      <c r="Q870" s="7">
        <v>9958.0</v>
      </c>
      <c r="R870" s="12">
        <v>9.33</v>
      </c>
      <c r="S870" s="12">
        <v>6.92</v>
      </c>
      <c r="T870" s="13">
        <f t="shared" si="6"/>
        <v>92908.14</v>
      </c>
      <c r="U870" s="13">
        <f t="shared" si="7"/>
        <v>62985.84</v>
      </c>
      <c r="V870" s="13">
        <f t="shared" si="8"/>
        <v>29922.3</v>
      </c>
      <c r="W870" s="14">
        <f>Q870/totals!B$2</f>
        <v>0.001514173749</v>
      </c>
      <c r="X870" s="14">
        <f t="shared" si="9"/>
        <v>0.646243213</v>
      </c>
      <c r="Y870" s="14">
        <f>T870/totals!B$5</f>
        <v>0.00005458347618</v>
      </c>
      <c r="Z870" s="14">
        <f t="shared" si="10"/>
        <v>0.6392779043</v>
      </c>
      <c r="AA870" s="14">
        <f>V870/totals!B$4</f>
        <v>0.00005966434441</v>
      </c>
      <c r="AB870" s="14">
        <f t="shared" si="11"/>
        <v>0.6470688991</v>
      </c>
    </row>
    <row r="871">
      <c r="A871" s="7">
        <v>4594.0</v>
      </c>
      <c r="B871" s="7" t="str">
        <f>VLOOKUP($A871,product_category,2, False)</f>
        <v>Fruits</v>
      </c>
      <c r="C871" s="7">
        <v>6.65817677E8</v>
      </c>
      <c r="D871" s="9">
        <v>42273.0</v>
      </c>
      <c r="E871" s="10">
        <f t="shared" si="1"/>
        <v>9</v>
      </c>
      <c r="F871" s="10" t="str">
        <f t="shared" si="2"/>
        <v>Sep</v>
      </c>
      <c r="G871" s="11">
        <f t="shared" si="3"/>
        <v>26</v>
      </c>
      <c r="H871" s="7">
        <f t="shared" si="4"/>
        <v>2015</v>
      </c>
      <c r="I871" s="9">
        <v>42287.0</v>
      </c>
      <c r="J871" s="11">
        <f t="shared" si="5"/>
        <v>14</v>
      </c>
      <c r="K871" s="7" t="s">
        <v>198</v>
      </c>
      <c r="L871" s="7" t="s">
        <v>200</v>
      </c>
      <c r="M871" s="7" t="str">
        <f>VLOOKUP(L871,countries, 2,false)</f>
        <v>Serbia</v>
      </c>
      <c r="N871" s="7" t="str">
        <f>VLOOKUP(L871,countries, 4,false)</f>
        <v>Europe</v>
      </c>
      <c r="O871" s="7" t="str">
        <f>VLOOKUP(L871,countries, 5,false)</f>
        <v>Southern Europe</v>
      </c>
      <c r="P871" s="7" t="s">
        <v>129</v>
      </c>
      <c r="Q871" s="7">
        <v>9102.0</v>
      </c>
      <c r="R871" s="12">
        <v>9.33</v>
      </c>
      <c r="S871" s="12">
        <v>6.92</v>
      </c>
      <c r="T871" s="13">
        <f t="shared" si="6"/>
        <v>84921.66</v>
      </c>
      <c r="U871" s="13">
        <f t="shared" si="7"/>
        <v>3115245.46</v>
      </c>
      <c r="V871" s="13">
        <f t="shared" si="8"/>
        <v>-3030323.8</v>
      </c>
      <c r="W871" s="14">
        <f>Q871/totals!B$2</f>
        <v>0.001384013804</v>
      </c>
      <c r="X871" s="14">
        <f t="shared" si="9"/>
        <v>0.6476272268</v>
      </c>
      <c r="Y871" s="14">
        <f>T871/totals!B$5</f>
        <v>0.000049891424</v>
      </c>
      <c r="Z871" s="14">
        <f t="shared" si="10"/>
        <v>0.6393277957</v>
      </c>
      <c r="AA871" s="14">
        <f>V871/totals!B$4</f>
        <v>-0.006042392559</v>
      </c>
      <c r="AB871" s="14">
        <f t="shared" si="11"/>
        <v>0.6410265065</v>
      </c>
    </row>
    <row r="872">
      <c r="A872" s="7">
        <v>7940.0</v>
      </c>
      <c r="B872" s="7" t="str">
        <f>VLOOKUP($A872,product_category,2, False)</f>
        <v>Household</v>
      </c>
      <c r="C872" s="7">
        <v>6.66483724E8</v>
      </c>
      <c r="D872" s="9">
        <v>41848.0</v>
      </c>
      <c r="E872" s="10">
        <f t="shared" si="1"/>
        <v>7</v>
      </c>
      <c r="F872" s="10" t="str">
        <f t="shared" si="2"/>
        <v>Jul</v>
      </c>
      <c r="G872" s="11">
        <f t="shared" si="3"/>
        <v>28</v>
      </c>
      <c r="H872" s="7">
        <f t="shared" si="4"/>
        <v>2014</v>
      </c>
      <c r="I872" s="9">
        <v>41882.0</v>
      </c>
      <c r="J872" s="11">
        <f t="shared" si="5"/>
        <v>34</v>
      </c>
      <c r="K872" s="7" t="s">
        <v>198</v>
      </c>
      <c r="L872" s="7" t="s">
        <v>460</v>
      </c>
      <c r="M872" s="7" t="str">
        <f>VLOOKUP(L872,countries, 2,false)</f>
        <v>Macedonia</v>
      </c>
      <c r="N872" s="7" t="str">
        <f>VLOOKUP(L872,countries, 4,false)</f>
        <v>Europe</v>
      </c>
      <c r="O872" s="7" t="str">
        <f>VLOOKUP(L872,countries, 5,false)</f>
        <v>Southern Europe</v>
      </c>
      <c r="P872" s="7" t="s">
        <v>129</v>
      </c>
      <c r="Q872" s="7">
        <v>6199.0</v>
      </c>
      <c r="R872" s="12">
        <v>668.27</v>
      </c>
      <c r="S872" s="12">
        <v>502.54</v>
      </c>
      <c r="T872" s="13">
        <f t="shared" si="6"/>
        <v>4142605.73</v>
      </c>
      <c r="U872" s="13">
        <f t="shared" si="7"/>
        <v>671625.85</v>
      </c>
      <c r="V872" s="13">
        <f t="shared" si="8"/>
        <v>3470979.88</v>
      </c>
      <c r="W872" s="14">
        <f>Q872/totals!B$2</f>
        <v>0.0009425952068</v>
      </c>
      <c r="X872" s="14">
        <f t="shared" si="9"/>
        <v>0.648569822</v>
      </c>
      <c r="Y872" s="14">
        <f>T872/totals!B$5</f>
        <v>0.002433778366</v>
      </c>
      <c r="Z872" s="14">
        <f t="shared" si="10"/>
        <v>0.6417615741</v>
      </c>
      <c r="AA872" s="14">
        <f>V872/totals!B$4</f>
        <v>0.006921050153</v>
      </c>
      <c r="AB872" s="14">
        <f t="shared" si="11"/>
        <v>0.6479475567</v>
      </c>
    </row>
    <row r="873">
      <c r="A873" s="7">
        <v>2103.0</v>
      </c>
      <c r="B873" s="7" t="str">
        <f>VLOOKUP($A873,product_category,2, False)</f>
        <v>Cereal</v>
      </c>
      <c r="C873" s="7">
        <v>6.6692146E8</v>
      </c>
      <c r="D873" s="9">
        <v>41896.0</v>
      </c>
      <c r="E873" s="10">
        <f t="shared" si="1"/>
        <v>9</v>
      </c>
      <c r="F873" s="10" t="str">
        <f t="shared" si="2"/>
        <v>Sep</v>
      </c>
      <c r="G873" s="11">
        <f t="shared" si="3"/>
        <v>14</v>
      </c>
      <c r="H873" s="7">
        <f t="shared" si="4"/>
        <v>2014</v>
      </c>
      <c r="I873" s="9">
        <v>41922.0</v>
      </c>
      <c r="J873" s="11">
        <f t="shared" si="5"/>
        <v>26</v>
      </c>
      <c r="K873" s="7" t="s">
        <v>382</v>
      </c>
      <c r="L873" s="7" t="s">
        <v>237</v>
      </c>
      <c r="M873" s="7" t="str">
        <f>VLOOKUP(L873,countries, 2,false)</f>
        <v>Denmark</v>
      </c>
      <c r="N873" s="7" t="str">
        <f>VLOOKUP(L873,countries, 4,false)</f>
        <v>Europe</v>
      </c>
      <c r="O873" s="7" t="str">
        <f>VLOOKUP(L873,countries, 5,false)</f>
        <v>Northern Europe</v>
      </c>
      <c r="P873" s="7" t="s">
        <v>129</v>
      </c>
      <c r="Q873" s="7">
        <v>5735.0</v>
      </c>
      <c r="R873" s="12">
        <v>205.7</v>
      </c>
      <c r="S873" s="12">
        <v>117.11</v>
      </c>
      <c r="T873" s="13">
        <f t="shared" si="6"/>
        <v>1179689.5</v>
      </c>
      <c r="U873" s="13">
        <f t="shared" si="7"/>
        <v>289243.68</v>
      </c>
      <c r="V873" s="13">
        <f t="shared" si="8"/>
        <v>890445.82</v>
      </c>
      <c r="W873" s="14">
        <f>Q873/totals!B$2</f>
        <v>0.0008720412181</v>
      </c>
      <c r="X873" s="14">
        <f t="shared" si="9"/>
        <v>0.6494418632</v>
      </c>
      <c r="Y873" s="14">
        <f>T873/totals!B$5</f>
        <v>0.0006930668692</v>
      </c>
      <c r="Z873" s="14">
        <f t="shared" si="10"/>
        <v>0.6424546409</v>
      </c>
      <c r="AA873" s="14">
        <f>V873/totals!B$4</f>
        <v>0.001775527486</v>
      </c>
      <c r="AB873" s="14">
        <f t="shared" si="11"/>
        <v>0.6497230842</v>
      </c>
    </row>
    <row r="874">
      <c r="A874" s="7">
        <v>3127.0</v>
      </c>
      <c r="B874" s="7" t="str">
        <f>VLOOKUP($A874,product_category,2, False)</f>
        <v>Personal Care</v>
      </c>
      <c r="C874" s="7">
        <v>6.67054498E8</v>
      </c>
      <c r="D874" s="9">
        <v>42046.0</v>
      </c>
      <c r="E874" s="10">
        <f t="shared" si="1"/>
        <v>2</v>
      </c>
      <c r="F874" s="10" t="str">
        <f t="shared" si="2"/>
        <v>Feb</v>
      </c>
      <c r="G874" s="11">
        <f t="shared" si="3"/>
        <v>11</v>
      </c>
      <c r="H874" s="7">
        <f t="shared" si="4"/>
        <v>2015</v>
      </c>
      <c r="I874" s="9">
        <v>42047.0</v>
      </c>
      <c r="J874" s="11">
        <f t="shared" si="5"/>
        <v>1</v>
      </c>
      <c r="K874" s="7" t="s">
        <v>382</v>
      </c>
      <c r="L874" s="7" t="s">
        <v>597</v>
      </c>
      <c r="M874" s="7" t="str">
        <f>VLOOKUP(L874,countries, 2,false)</f>
        <v>Portugal</v>
      </c>
      <c r="N874" s="7" t="str">
        <f>VLOOKUP(L874,countries, 4,false)</f>
        <v>Europe</v>
      </c>
      <c r="O874" s="7" t="str">
        <f>VLOOKUP(L874,countries, 5,false)</f>
        <v>Southern Europe</v>
      </c>
      <c r="P874" s="7" t="s">
        <v>129</v>
      </c>
      <c r="Q874" s="7">
        <v>5104.0</v>
      </c>
      <c r="R874" s="12">
        <v>81.73</v>
      </c>
      <c r="S874" s="12">
        <v>56.67</v>
      </c>
      <c r="T874" s="13">
        <f t="shared" si="6"/>
        <v>417149.92</v>
      </c>
      <c r="U874" s="13">
        <f t="shared" si="7"/>
        <v>794708.7</v>
      </c>
      <c r="V874" s="13">
        <f t="shared" si="8"/>
        <v>-377558.78</v>
      </c>
      <c r="W874" s="14">
        <f>Q874/totals!B$2</f>
        <v>0.0007760938757</v>
      </c>
      <c r="X874" s="14">
        <f t="shared" si="9"/>
        <v>0.6502179571</v>
      </c>
      <c r="Y874" s="14">
        <f>T874/totals!B$5</f>
        <v>0.0002450753262</v>
      </c>
      <c r="Z874" s="14">
        <f t="shared" si="10"/>
        <v>0.6426997162</v>
      </c>
      <c r="AA874" s="14">
        <f>V874/totals!B$4</f>
        <v>-0.0007528430998</v>
      </c>
      <c r="AB874" s="14">
        <f t="shared" si="11"/>
        <v>0.6489702411</v>
      </c>
    </row>
    <row r="875">
      <c r="A875" s="7">
        <v>7331.0</v>
      </c>
      <c r="B875" s="7" t="str">
        <f>VLOOKUP($A875,product_category,2, False)</f>
        <v>Baby Food</v>
      </c>
      <c r="C875" s="7">
        <v>6.67324435E8</v>
      </c>
      <c r="D875" s="9">
        <v>41200.0</v>
      </c>
      <c r="E875" s="10">
        <f t="shared" si="1"/>
        <v>10</v>
      </c>
      <c r="F875" s="10" t="str">
        <f t="shared" si="2"/>
        <v>Oct</v>
      </c>
      <c r="G875" s="11">
        <f t="shared" si="3"/>
        <v>18</v>
      </c>
      <c r="H875" s="7">
        <f t="shared" si="4"/>
        <v>2012</v>
      </c>
      <c r="I875" s="9">
        <v>41213.0</v>
      </c>
      <c r="J875" s="11">
        <f t="shared" si="5"/>
        <v>13</v>
      </c>
      <c r="K875" s="7" t="s">
        <v>322</v>
      </c>
      <c r="L875" s="7" t="s">
        <v>642</v>
      </c>
      <c r="M875" s="7" t="str">
        <f>VLOOKUP(L875,countries, 2,false)</f>
        <v>San Marino</v>
      </c>
      <c r="N875" s="7" t="str">
        <f>VLOOKUP(L875,countries, 4,false)</f>
        <v>Europe</v>
      </c>
      <c r="O875" s="7" t="str">
        <f>VLOOKUP(L875,countries, 5,false)</f>
        <v>Southern Europe</v>
      </c>
      <c r="P875" s="7" t="s">
        <v>129</v>
      </c>
      <c r="Q875" s="7">
        <v>4985.0</v>
      </c>
      <c r="R875" s="12">
        <v>255.28</v>
      </c>
      <c r="S875" s="12">
        <v>159.42</v>
      </c>
      <c r="T875" s="13">
        <f t="shared" si="6"/>
        <v>1272570.8</v>
      </c>
      <c r="U875" s="13">
        <f t="shared" si="7"/>
        <v>201688.53</v>
      </c>
      <c r="V875" s="13">
        <f t="shared" si="8"/>
        <v>1070882.27</v>
      </c>
      <c r="W875" s="14">
        <f>Q875/totals!B$2</f>
        <v>0.0007579992105</v>
      </c>
      <c r="X875" s="14">
        <f t="shared" si="9"/>
        <v>0.6509759563</v>
      </c>
      <c r="Y875" s="14">
        <f>T875/totals!B$5</f>
        <v>0.0007476345769</v>
      </c>
      <c r="Z875" s="14">
        <f t="shared" si="10"/>
        <v>0.6434473508</v>
      </c>
      <c r="AA875" s="14">
        <f>V875/totals!B$4</f>
        <v>0.002135313414</v>
      </c>
      <c r="AB875" s="14">
        <f t="shared" si="11"/>
        <v>0.6511055545</v>
      </c>
    </row>
    <row r="876">
      <c r="A876" s="7">
        <v>3127.0</v>
      </c>
      <c r="B876" s="7" t="str">
        <f>VLOOKUP($A876,product_category,2, False)</f>
        <v>Personal Care</v>
      </c>
      <c r="C876" s="7">
        <v>6.67420995E8</v>
      </c>
      <c r="D876" s="9">
        <v>40194.0</v>
      </c>
      <c r="E876" s="10">
        <f t="shared" si="1"/>
        <v>1</v>
      </c>
      <c r="F876" s="10" t="str">
        <f t="shared" si="2"/>
        <v>Jan</v>
      </c>
      <c r="G876" s="11">
        <f t="shared" si="3"/>
        <v>16</v>
      </c>
      <c r="H876" s="7">
        <f t="shared" si="4"/>
        <v>2010</v>
      </c>
      <c r="I876" s="9">
        <v>40196.0</v>
      </c>
      <c r="J876" s="11">
        <f t="shared" si="5"/>
        <v>2</v>
      </c>
      <c r="K876" s="7" t="s">
        <v>198</v>
      </c>
      <c r="L876" s="7" t="s">
        <v>77</v>
      </c>
      <c r="M876" s="7" t="str">
        <f>VLOOKUP(L876,countries, 2,false)</f>
        <v>Armenia</v>
      </c>
      <c r="N876" s="7" t="str">
        <f>VLOOKUP(L876,countries, 4,false)</f>
        <v>Asia</v>
      </c>
      <c r="O876" s="7" t="str">
        <f>VLOOKUP(L876,countries, 5,false)</f>
        <v>Western Asia</v>
      </c>
      <c r="P876" s="7" t="s">
        <v>129</v>
      </c>
      <c r="Q876" s="7">
        <v>3559.0</v>
      </c>
      <c r="R876" s="12">
        <v>81.73</v>
      </c>
      <c r="S876" s="12">
        <v>56.67</v>
      </c>
      <c r="T876" s="13">
        <f t="shared" si="6"/>
        <v>290877.07</v>
      </c>
      <c r="U876" s="13">
        <f t="shared" si="7"/>
        <v>2892721.08</v>
      </c>
      <c r="V876" s="13">
        <f t="shared" si="8"/>
        <v>-2601844.01</v>
      </c>
      <c r="W876" s="14">
        <f>Q876/totals!B$2</f>
        <v>0.0005411673401</v>
      </c>
      <c r="X876" s="14">
        <f t="shared" si="9"/>
        <v>0.6515171236</v>
      </c>
      <c r="Y876" s="14">
        <f>T876/totals!B$5</f>
        <v>0.0001708901031</v>
      </c>
      <c r="Z876" s="14">
        <f t="shared" si="10"/>
        <v>0.6436182409</v>
      </c>
      <c r="AA876" s="14">
        <f>V876/totals!B$4</f>
        <v>-0.005188014194</v>
      </c>
      <c r="AB876" s="14">
        <f t="shared" si="11"/>
        <v>0.6459175403</v>
      </c>
    </row>
    <row r="877">
      <c r="A877" s="7">
        <v>8875.0</v>
      </c>
      <c r="B877" s="7" t="str">
        <f>VLOOKUP($A877,product_category,2, False)</f>
        <v>Meat</v>
      </c>
      <c r="C877" s="7">
        <v>6.68280589E8</v>
      </c>
      <c r="D877" s="9">
        <v>41316.0</v>
      </c>
      <c r="E877" s="10">
        <f t="shared" si="1"/>
        <v>2</v>
      </c>
      <c r="F877" s="10" t="str">
        <f t="shared" si="2"/>
        <v>Feb</v>
      </c>
      <c r="G877" s="11">
        <f t="shared" si="3"/>
        <v>11</v>
      </c>
      <c r="H877" s="7">
        <f t="shared" si="4"/>
        <v>2013</v>
      </c>
      <c r="I877" s="9">
        <v>41361.0</v>
      </c>
      <c r="J877" s="11">
        <f t="shared" si="5"/>
        <v>45</v>
      </c>
      <c r="K877" s="7" t="s">
        <v>322</v>
      </c>
      <c r="L877" s="7" t="s">
        <v>597</v>
      </c>
      <c r="M877" s="7" t="str">
        <f>VLOOKUP(L877,countries, 2,false)</f>
        <v>Portugal</v>
      </c>
      <c r="N877" s="7" t="str">
        <f>VLOOKUP(L877,countries, 4,false)</f>
        <v>Europe</v>
      </c>
      <c r="O877" s="7" t="str">
        <f>VLOOKUP(L877,countries, 5,false)</f>
        <v>Southern Europe</v>
      </c>
      <c r="P877" s="7" t="s">
        <v>129</v>
      </c>
      <c r="Q877" s="7">
        <v>7932.0</v>
      </c>
      <c r="R877" s="12">
        <v>421.89</v>
      </c>
      <c r="S877" s="12">
        <v>364.69</v>
      </c>
      <c r="T877" s="13">
        <f t="shared" si="6"/>
        <v>3346431.48</v>
      </c>
      <c r="U877" s="13">
        <f t="shared" si="7"/>
        <v>37520.24</v>
      </c>
      <c r="V877" s="13">
        <f t="shared" si="8"/>
        <v>3308911.24</v>
      </c>
      <c r="W877" s="14">
        <f>Q877/totals!B$2</f>
        <v>0.001206108272</v>
      </c>
      <c r="X877" s="14">
        <f t="shared" si="9"/>
        <v>0.6527232319</v>
      </c>
      <c r="Y877" s="14">
        <f>T877/totals!B$5</f>
        <v>0.001966026475</v>
      </c>
      <c r="Z877" s="14">
        <f t="shared" si="10"/>
        <v>0.6455842674</v>
      </c>
      <c r="AA877" s="14">
        <f>V877/totals!B$4</f>
        <v>0.006597889194</v>
      </c>
      <c r="AB877" s="14">
        <f t="shared" si="11"/>
        <v>0.6525154295</v>
      </c>
    </row>
    <row r="878">
      <c r="A878" s="7">
        <v>4594.0</v>
      </c>
      <c r="B878" s="7" t="str">
        <f>VLOOKUP($A878,product_category,2, False)</f>
        <v>Fruits</v>
      </c>
      <c r="C878" s="7">
        <v>6.69353473E8</v>
      </c>
      <c r="D878" s="9">
        <v>41814.0</v>
      </c>
      <c r="E878" s="10">
        <f t="shared" si="1"/>
        <v>6</v>
      </c>
      <c r="F878" s="10" t="str">
        <f t="shared" si="2"/>
        <v>Jun</v>
      </c>
      <c r="G878" s="11">
        <f t="shared" si="3"/>
        <v>24</v>
      </c>
      <c r="H878" s="7">
        <f t="shared" si="4"/>
        <v>2014</v>
      </c>
      <c r="I878" s="9">
        <v>41827.0</v>
      </c>
      <c r="J878" s="11">
        <f t="shared" si="5"/>
        <v>13</v>
      </c>
      <c r="K878" s="7" t="s">
        <v>198</v>
      </c>
      <c r="L878" s="7" t="s">
        <v>107</v>
      </c>
      <c r="M878" s="7" t="str">
        <f>VLOOKUP(L878,countries, 2,false)</f>
        <v>Belarus</v>
      </c>
      <c r="N878" s="7" t="str">
        <f>VLOOKUP(L878,countries, 4,false)</f>
        <v>Europe</v>
      </c>
      <c r="O878" s="7" t="str">
        <f>VLOOKUP(L878,countries, 5,false)</f>
        <v>Eastern Europe</v>
      </c>
      <c r="P878" s="7" t="s">
        <v>129</v>
      </c>
      <c r="Q878" s="7">
        <v>5422.0</v>
      </c>
      <c r="R878" s="12">
        <v>9.33</v>
      </c>
      <c r="S878" s="12">
        <v>6.92</v>
      </c>
      <c r="T878" s="13">
        <f t="shared" si="6"/>
        <v>50587.26</v>
      </c>
      <c r="U878" s="13">
        <f t="shared" si="7"/>
        <v>1011187.2</v>
      </c>
      <c r="V878" s="13">
        <f t="shared" si="8"/>
        <v>-960599.94</v>
      </c>
      <c r="W878" s="14">
        <f>Q878/totals!B$2</f>
        <v>0.000824447687</v>
      </c>
      <c r="X878" s="14">
        <f t="shared" si="9"/>
        <v>0.6535476796</v>
      </c>
      <c r="Y878" s="14">
        <f>T878/totals!B$5</f>
        <v>0.00002971998472</v>
      </c>
      <c r="Z878" s="14">
        <f t="shared" si="10"/>
        <v>0.6456139874</v>
      </c>
      <c r="AA878" s="14">
        <f>V878/totals!B$4</f>
        <v>-0.001915413109</v>
      </c>
      <c r="AB878" s="14">
        <f t="shared" si="11"/>
        <v>0.6506000164</v>
      </c>
    </row>
    <row r="879">
      <c r="A879" s="7">
        <v>8293.0</v>
      </c>
      <c r="B879" s="7" t="str">
        <f>VLOOKUP($A879,product_category,2, False)</f>
        <v>Cosmetics</v>
      </c>
      <c r="C879" s="7">
        <v>6.69550883E8</v>
      </c>
      <c r="D879" s="9">
        <v>42215.0</v>
      </c>
      <c r="E879" s="10">
        <f t="shared" si="1"/>
        <v>7</v>
      </c>
      <c r="F879" s="10" t="str">
        <f t="shared" si="2"/>
        <v>Jul</v>
      </c>
      <c r="G879" s="11">
        <f t="shared" si="3"/>
        <v>30</v>
      </c>
      <c r="H879" s="7">
        <f t="shared" si="4"/>
        <v>2015</v>
      </c>
      <c r="I879" s="9">
        <v>42263.0</v>
      </c>
      <c r="J879" s="11">
        <f t="shared" si="5"/>
        <v>48</v>
      </c>
      <c r="K879" s="7" t="s">
        <v>382</v>
      </c>
      <c r="L879" s="7" t="s">
        <v>107</v>
      </c>
      <c r="M879" s="7" t="str">
        <f>VLOOKUP(L879,countries, 2,false)</f>
        <v>Belarus</v>
      </c>
      <c r="N879" s="7" t="str">
        <f>VLOOKUP(L879,countries, 4,false)</f>
        <v>Europe</v>
      </c>
      <c r="O879" s="7" t="str">
        <f>VLOOKUP(L879,countries, 5,false)</f>
        <v>Eastern Europe</v>
      </c>
      <c r="P879" s="7" t="s">
        <v>212</v>
      </c>
      <c r="Q879" s="7">
        <v>3840.0</v>
      </c>
      <c r="R879" s="12">
        <v>437.2</v>
      </c>
      <c r="S879" s="12">
        <v>263.33</v>
      </c>
      <c r="T879" s="13">
        <f t="shared" si="6"/>
        <v>1678848</v>
      </c>
      <c r="U879" s="13">
        <f t="shared" si="7"/>
        <v>734896.26</v>
      </c>
      <c r="V879" s="13">
        <f t="shared" si="8"/>
        <v>943951.74</v>
      </c>
      <c r="W879" s="14">
        <f>Q879/totals!B$2</f>
        <v>0.0005838950789</v>
      </c>
      <c r="X879" s="14">
        <f t="shared" si="9"/>
        <v>0.6541315747</v>
      </c>
      <c r="Y879" s="14">
        <f>T879/totals!B$5</f>
        <v>0.0009863221867</v>
      </c>
      <c r="Z879" s="14">
        <f t="shared" si="10"/>
        <v>0.6466003096</v>
      </c>
      <c r="AA879" s="14">
        <f>V879/totals!B$4</f>
        <v>0.001882216999</v>
      </c>
      <c r="AB879" s="14">
        <f t="shared" si="11"/>
        <v>0.6524822334</v>
      </c>
    </row>
    <row r="880">
      <c r="A880" s="7">
        <v>5988.0</v>
      </c>
      <c r="B880" s="7" t="str">
        <f>VLOOKUP($A880,product_category,2, False)</f>
        <v>Vegetables</v>
      </c>
      <c r="C880" s="7">
        <v>6.70274865E8</v>
      </c>
      <c r="D880" s="9">
        <v>41186.0</v>
      </c>
      <c r="E880" s="10">
        <f t="shared" si="1"/>
        <v>10</v>
      </c>
      <c r="F880" s="10" t="str">
        <f t="shared" si="2"/>
        <v>Oct</v>
      </c>
      <c r="G880" s="11">
        <f t="shared" si="3"/>
        <v>4</v>
      </c>
      <c r="H880" s="7">
        <f t="shared" si="4"/>
        <v>2012</v>
      </c>
      <c r="I880" s="9">
        <v>41226.0</v>
      </c>
      <c r="J880" s="11">
        <f t="shared" si="5"/>
        <v>40</v>
      </c>
      <c r="K880" s="7" t="s">
        <v>198</v>
      </c>
      <c r="L880" s="7" t="s">
        <v>705</v>
      </c>
      <c r="M880" s="7" t="str">
        <f>VLOOKUP(L880,countries, 2,false)</f>
        <v>Switzerland</v>
      </c>
      <c r="N880" s="7" t="str">
        <f>VLOOKUP(L880,countries, 4,false)</f>
        <v>Europe</v>
      </c>
      <c r="O880" s="7" t="str">
        <f>VLOOKUP(L880,countries, 5,false)</f>
        <v>Western Europe</v>
      </c>
      <c r="P880" s="7" t="s">
        <v>129</v>
      </c>
      <c r="Q880" s="7">
        <v>8082.0</v>
      </c>
      <c r="R880" s="12">
        <v>154.06</v>
      </c>
      <c r="S880" s="12">
        <v>90.93</v>
      </c>
      <c r="T880" s="13">
        <f t="shared" si="6"/>
        <v>1245112.92</v>
      </c>
      <c r="U880" s="13">
        <f t="shared" si="7"/>
        <v>461196.96</v>
      </c>
      <c r="V880" s="13">
        <f t="shared" si="8"/>
        <v>783915.96</v>
      </c>
      <c r="W880" s="14">
        <f>Q880/totals!B$2</f>
        <v>0.001228916674</v>
      </c>
      <c r="X880" s="14">
        <f t="shared" si="9"/>
        <v>0.6553604913</v>
      </c>
      <c r="Y880" s="14">
        <f>T880/totals!B$5</f>
        <v>0.000731503089</v>
      </c>
      <c r="Z880" s="14">
        <f t="shared" si="10"/>
        <v>0.6473318127</v>
      </c>
      <c r="AA880" s="14">
        <f>V880/totals!B$4</f>
        <v>0.001563109514</v>
      </c>
      <c r="AB880" s="14">
        <f t="shared" si="11"/>
        <v>0.6540453429</v>
      </c>
    </row>
    <row r="881">
      <c r="A881" s="7">
        <v>5988.0</v>
      </c>
      <c r="B881" s="7" t="str">
        <f>VLOOKUP($A881,product_category,2, False)</f>
        <v>Vegetables</v>
      </c>
      <c r="C881" s="7">
        <v>6.71616399E8</v>
      </c>
      <c r="D881" s="9">
        <v>41219.0</v>
      </c>
      <c r="E881" s="10">
        <f t="shared" si="1"/>
        <v>11</v>
      </c>
      <c r="F881" s="10" t="str">
        <f t="shared" si="2"/>
        <v>Nov</v>
      </c>
      <c r="G881" s="11">
        <f t="shared" si="3"/>
        <v>6</v>
      </c>
      <c r="H881" s="7">
        <f t="shared" si="4"/>
        <v>2012</v>
      </c>
      <c r="I881" s="9">
        <v>41253.0</v>
      </c>
      <c r="J881" s="11">
        <f t="shared" si="5"/>
        <v>34</v>
      </c>
      <c r="K881" s="7" t="s">
        <v>198</v>
      </c>
      <c r="L881" s="7" t="s">
        <v>505</v>
      </c>
      <c r="M881" s="7" t="str">
        <f>VLOOKUP(L881,countries, 2,false)</f>
        <v>Monaco</v>
      </c>
      <c r="N881" s="7" t="str">
        <f>VLOOKUP(L881,countries, 4,false)</f>
        <v>Europe</v>
      </c>
      <c r="O881" s="7" t="str">
        <f>VLOOKUP(L881,countries, 5,false)</f>
        <v>Western Europe</v>
      </c>
      <c r="P881" s="7" t="s">
        <v>212</v>
      </c>
      <c r="Q881" s="7">
        <v>5072.0</v>
      </c>
      <c r="R881" s="12">
        <v>154.06</v>
      </c>
      <c r="S881" s="12">
        <v>90.93</v>
      </c>
      <c r="T881" s="13">
        <f t="shared" si="6"/>
        <v>781392.32</v>
      </c>
      <c r="U881" s="13">
        <f t="shared" si="7"/>
        <v>3289399.36</v>
      </c>
      <c r="V881" s="13">
        <f t="shared" si="8"/>
        <v>-2508007.04</v>
      </c>
      <c r="W881" s="14">
        <f>Q881/totals!B$2</f>
        <v>0.0007712280834</v>
      </c>
      <c r="X881" s="14">
        <f t="shared" si="9"/>
        <v>0.6561317194</v>
      </c>
      <c r="Y881" s="14">
        <f>T881/totals!B$5</f>
        <v>0.0004590675164</v>
      </c>
      <c r="Z881" s="14">
        <f t="shared" si="10"/>
        <v>0.6477908802</v>
      </c>
      <c r="AA881" s="14">
        <f>V881/totals!B$4</f>
        <v>-0.005000905539</v>
      </c>
      <c r="AB881" s="14">
        <f t="shared" si="11"/>
        <v>0.6490444373</v>
      </c>
    </row>
    <row r="882">
      <c r="A882" s="7">
        <v>8681.0</v>
      </c>
      <c r="B882" s="7" t="str">
        <f>VLOOKUP($A882,product_category,2, False)</f>
        <v>Office Supplies</v>
      </c>
      <c r="C882" s="7">
        <v>6.72330081E8</v>
      </c>
      <c r="D882" s="9">
        <v>40482.0</v>
      </c>
      <c r="E882" s="10">
        <f t="shared" si="1"/>
        <v>10</v>
      </c>
      <c r="F882" s="10" t="str">
        <f t="shared" si="2"/>
        <v>Oct</v>
      </c>
      <c r="G882" s="11">
        <f t="shared" si="3"/>
        <v>31</v>
      </c>
      <c r="H882" s="7">
        <f t="shared" si="4"/>
        <v>2010</v>
      </c>
      <c r="I882" s="9">
        <v>40511.0</v>
      </c>
      <c r="J882" s="11">
        <f t="shared" si="5"/>
        <v>29</v>
      </c>
      <c r="K882" s="7" t="s">
        <v>322</v>
      </c>
      <c r="L882" s="7" t="s">
        <v>155</v>
      </c>
      <c r="M882" s="7" t="str">
        <f>VLOOKUP(L882,countries, 2,false)</f>
        <v>Bulgaria</v>
      </c>
      <c r="N882" s="7" t="str">
        <f>VLOOKUP(L882,countries, 4,false)</f>
        <v>Europe</v>
      </c>
      <c r="O882" s="7" t="str">
        <f>VLOOKUP(L882,countries, 5,false)</f>
        <v>Eastern Europe</v>
      </c>
      <c r="P882" s="7" t="s">
        <v>129</v>
      </c>
      <c r="Q882" s="7">
        <v>6266.0</v>
      </c>
      <c r="R882" s="12">
        <v>651.21</v>
      </c>
      <c r="S882" s="12">
        <v>524.96</v>
      </c>
      <c r="T882" s="13">
        <f t="shared" si="6"/>
        <v>4080481.86</v>
      </c>
      <c r="U882" s="13">
        <f t="shared" si="7"/>
        <v>1050811.14</v>
      </c>
      <c r="V882" s="13">
        <f t="shared" si="8"/>
        <v>3029670.72</v>
      </c>
      <c r="W882" s="14">
        <f>Q882/totals!B$2</f>
        <v>0.0009527829595</v>
      </c>
      <c r="X882" s="14">
        <f t="shared" si="9"/>
        <v>0.6570845024</v>
      </c>
      <c r="Y882" s="14">
        <f>T882/totals!B$5</f>
        <v>0.00239728063</v>
      </c>
      <c r="Z882" s="14">
        <f t="shared" si="10"/>
        <v>0.6501881608</v>
      </c>
      <c r="AA882" s="14">
        <f>V882/totals!B$4</f>
        <v>0.006041090333</v>
      </c>
      <c r="AB882" s="14">
        <f t="shared" si="11"/>
        <v>0.6550855277</v>
      </c>
    </row>
    <row r="883">
      <c r="A883" s="7">
        <v>7940.0</v>
      </c>
      <c r="B883" s="7" t="str">
        <f>VLOOKUP($A883,product_category,2, False)</f>
        <v>Household</v>
      </c>
      <c r="C883" s="7">
        <v>6.72856652E8</v>
      </c>
      <c r="D883" s="9">
        <v>41817.0</v>
      </c>
      <c r="E883" s="10">
        <f t="shared" si="1"/>
        <v>6</v>
      </c>
      <c r="F883" s="10" t="str">
        <f t="shared" si="2"/>
        <v>Jun</v>
      </c>
      <c r="G883" s="11">
        <f t="shared" si="3"/>
        <v>27</v>
      </c>
      <c r="H883" s="7">
        <f t="shared" si="4"/>
        <v>2014</v>
      </c>
      <c r="I883" s="9">
        <v>41854.0</v>
      </c>
      <c r="J883" s="11">
        <f t="shared" si="5"/>
        <v>37</v>
      </c>
      <c r="K883" s="7" t="s">
        <v>198</v>
      </c>
      <c r="L883" s="7" t="e">
        <v>#N/A</v>
      </c>
      <c r="M883" s="7"/>
      <c r="N883" s="7"/>
      <c r="O883" s="7"/>
      <c r="P883" s="7" t="s">
        <v>129</v>
      </c>
      <c r="Q883" s="7">
        <v>2091.0</v>
      </c>
      <c r="R883" s="12">
        <v>668.27</v>
      </c>
      <c r="S883" s="12">
        <v>502.54</v>
      </c>
      <c r="T883" s="13">
        <f t="shared" si="6"/>
        <v>1397352.57</v>
      </c>
      <c r="U883" s="13">
        <f t="shared" si="7"/>
        <v>973769.65</v>
      </c>
      <c r="V883" s="13">
        <f t="shared" si="8"/>
        <v>423582.92</v>
      </c>
      <c r="W883" s="14">
        <f>Q883/totals!B$2</f>
        <v>0.0003179491172</v>
      </c>
      <c r="X883" s="14">
        <f t="shared" si="9"/>
        <v>0.6574024515</v>
      </c>
      <c r="Y883" s="14">
        <f>T883/totals!B$5</f>
        <v>0.0008209437915</v>
      </c>
      <c r="Z883" s="14">
        <f t="shared" si="10"/>
        <v>0.6510091046</v>
      </c>
      <c r="AA883" s="14">
        <f>V883/totals!B$4</f>
        <v>0.0008446141247</v>
      </c>
      <c r="AB883" s="14">
        <f t="shared" si="11"/>
        <v>0.6559301418</v>
      </c>
    </row>
    <row r="884">
      <c r="A884" s="7">
        <v>2103.0</v>
      </c>
      <c r="B884" s="7" t="str">
        <f>VLOOKUP($A884,product_category,2, False)</f>
        <v>Cereal</v>
      </c>
      <c r="C884" s="7">
        <v>6.74060428E8</v>
      </c>
      <c r="D884" s="9">
        <v>41258.0</v>
      </c>
      <c r="E884" s="10">
        <f t="shared" si="1"/>
        <v>12</v>
      </c>
      <c r="F884" s="10" t="str">
        <f t="shared" si="2"/>
        <v>Dec</v>
      </c>
      <c r="G884" s="11">
        <f t="shared" si="3"/>
        <v>15</v>
      </c>
      <c r="H884" s="7">
        <f t="shared" si="4"/>
        <v>2012</v>
      </c>
      <c r="I884" s="9">
        <v>41260.0</v>
      </c>
      <c r="J884" s="11">
        <f t="shared" si="5"/>
        <v>2</v>
      </c>
      <c r="K884" s="7" t="s">
        <v>322</v>
      </c>
      <c r="L884" s="7" t="s">
        <v>107</v>
      </c>
      <c r="M884" s="7" t="str">
        <f>VLOOKUP(L884,countries, 2,false)</f>
        <v>Belarus</v>
      </c>
      <c r="N884" s="7" t="str">
        <f>VLOOKUP(L884,countries, 4,false)</f>
        <v>Europe</v>
      </c>
      <c r="O884" s="7" t="str">
        <f>VLOOKUP(L884,countries, 5,false)</f>
        <v>Eastern Europe</v>
      </c>
      <c r="P884" s="7" t="s">
        <v>129</v>
      </c>
      <c r="Q884" s="7">
        <v>8315.0</v>
      </c>
      <c r="R884" s="12">
        <v>205.7</v>
      </c>
      <c r="S884" s="12">
        <v>117.11</v>
      </c>
      <c r="T884" s="13">
        <f t="shared" si="6"/>
        <v>1710395.5</v>
      </c>
      <c r="U884" s="13">
        <f t="shared" si="7"/>
        <v>99502.92</v>
      </c>
      <c r="V884" s="13">
        <f t="shared" si="8"/>
        <v>1610892.58</v>
      </c>
      <c r="W884" s="14">
        <f>Q884/totals!B$2</f>
        <v>0.001264345724</v>
      </c>
      <c r="X884" s="14">
        <f t="shared" si="9"/>
        <v>0.6586667972</v>
      </c>
      <c r="Y884" s="14">
        <f>T884/totals!B$5</f>
        <v>0.001004856324</v>
      </c>
      <c r="Z884" s="14">
        <f t="shared" si="10"/>
        <v>0.6520139609</v>
      </c>
      <c r="AA884" s="14">
        <f>V884/totals!B$4</f>
        <v>0.003212080946</v>
      </c>
      <c r="AB884" s="14">
        <f t="shared" si="11"/>
        <v>0.6591422227</v>
      </c>
    </row>
    <row r="885">
      <c r="A885" s="7">
        <v>7940.0</v>
      </c>
      <c r="B885" s="7" t="str">
        <f>VLOOKUP($A885,product_category,2, False)</f>
        <v>Household</v>
      </c>
      <c r="C885" s="7">
        <v>6.77851569E8</v>
      </c>
      <c r="D885" s="9">
        <v>40596.0</v>
      </c>
      <c r="E885" s="10">
        <f t="shared" si="1"/>
        <v>2</v>
      </c>
      <c r="F885" s="10" t="str">
        <f t="shared" si="2"/>
        <v>Feb</v>
      </c>
      <c r="G885" s="11">
        <f t="shared" si="3"/>
        <v>22</v>
      </c>
      <c r="H885" s="7">
        <f t="shared" si="4"/>
        <v>2011</v>
      </c>
      <c r="I885" s="9">
        <v>40604.0</v>
      </c>
      <c r="J885" s="11">
        <f t="shared" si="5"/>
        <v>8</v>
      </c>
      <c r="K885" s="7" t="s">
        <v>110</v>
      </c>
      <c r="L885" s="7" t="s">
        <v>392</v>
      </c>
      <c r="M885" s="7" t="str">
        <f>VLOOKUP(L885,countries, 2,false)</f>
        <v>Italy</v>
      </c>
      <c r="N885" s="7" t="str">
        <f>VLOOKUP(L885,countries, 4,false)</f>
        <v>Europe</v>
      </c>
      <c r="O885" s="7" t="str">
        <f>VLOOKUP(L885,countries, 5,false)</f>
        <v>Southern Europe</v>
      </c>
      <c r="P885" s="7" t="s">
        <v>212</v>
      </c>
      <c r="Q885" s="7">
        <v>198.0</v>
      </c>
      <c r="R885" s="12">
        <v>668.27</v>
      </c>
      <c r="S885" s="12">
        <v>502.54</v>
      </c>
      <c r="T885" s="13">
        <f t="shared" si="6"/>
        <v>132317.46</v>
      </c>
      <c r="U885" s="13">
        <f t="shared" si="7"/>
        <v>453717.59</v>
      </c>
      <c r="V885" s="13">
        <f t="shared" si="8"/>
        <v>-321400.13</v>
      </c>
      <c r="W885" s="14">
        <f>Q885/totals!B$2</f>
        <v>0.00003010709001</v>
      </c>
      <c r="X885" s="14">
        <f t="shared" si="9"/>
        <v>0.6586969043</v>
      </c>
      <c r="Y885" s="14">
        <f>T885/totals!B$5</f>
        <v>0.00007773642789</v>
      </c>
      <c r="Z885" s="14">
        <f t="shared" si="10"/>
        <v>0.6520916974</v>
      </c>
      <c r="AA885" s="14">
        <f>V885/totals!B$4</f>
        <v>-0.0006408641064</v>
      </c>
      <c r="AB885" s="14">
        <f t="shared" si="11"/>
        <v>0.6585013586</v>
      </c>
    </row>
    <row r="886">
      <c r="A886" s="7">
        <v>8293.0</v>
      </c>
      <c r="B886" s="7" t="str">
        <f>VLOOKUP($A886,product_category,2, False)</f>
        <v>Cosmetics</v>
      </c>
      <c r="C886" s="7">
        <v>6.79039466E8</v>
      </c>
      <c r="D886" s="9">
        <v>41063.0</v>
      </c>
      <c r="E886" s="10">
        <f t="shared" si="1"/>
        <v>6</v>
      </c>
      <c r="F886" s="10" t="str">
        <f t="shared" si="2"/>
        <v>Jun</v>
      </c>
      <c r="G886" s="11">
        <f t="shared" si="3"/>
        <v>3</v>
      </c>
      <c r="H886" s="7">
        <f t="shared" si="4"/>
        <v>2012</v>
      </c>
      <c r="I886" s="9">
        <v>41095.0</v>
      </c>
      <c r="J886" s="11">
        <f t="shared" si="5"/>
        <v>32</v>
      </c>
      <c r="K886" s="7" t="s">
        <v>382</v>
      </c>
      <c r="L886" s="7" t="s">
        <v>702</v>
      </c>
      <c r="M886" s="7" t="str">
        <f>VLOOKUP(L886,countries, 2,false)</f>
        <v>Sweden</v>
      </c>
      <c r="N886" s="7" t="str">
        <f>VLOOKUP(L886,countries, 4,false)</f>
        <v>Europe</v>
      </c>
      <c r="O886" s="7" t="str">
        <f>VLOOKUP(L886,countries, 5,false)</f>
        <v>Northern Europe</v>
      </c>
      <c r="P886" s="7" t="s">
        <v>212</v>
      </c>
      <c r="Q886" s="7">
        <v>1723.0</v>
      </c>
      <c r="R886" s="12">
        <v>437.2</v>
      </c>
      <c r="S886" s="12">
        <v>263.33</v>
      </c>
      <c r="T886" s="13">
        <f t="shared" si="6"/>
        <v>753295.6</v>
      </c>
      <c r="U886" s="13">
        <f t="shared" si="7"/>
        <v>1090009.26</v>
      </c>
      <c r="V886" s="13">
        <f t="shared" si="8"/>
        <v>-336713.66</v>
      </c>
      <c r="W886" s="14">
        <f>Q886/totals!B$2</f>
        <v>0.0002619925055</v>
      </c>
      <c r="X886" s="14">
        <f t="shared" si="9"/>
        <v>0.6589588968</v>
      </c>
      <c r="Y886" s="14">
        <f>T886/totals!B$5</f>
        <v>0.0004425607103</v>
      </c>
      <c r="Z886" s="14">
        <f t="shared" si="10"/>
        <v>0.6525342581</v>
      </c>
      <c r="AA886" s="14">
        <f>V886/totals!B$4</f>
        <v>-0.0006713989158</v>
      </c>
      <c r="AB886" s="14">
        <f t="shared" si="11"/>
        <v>0.6578299597</v>
      </c>
    </row>
    <row r="887">
      <c r="A887" s="7">
        <v>7940.0</v>
      </c>
      <c r="B887" s="7" t="str">
        <f>VLOOKUP($A887,product_category,2, False)</f>
        <v>Household</v>
      </c>
      <c r="C887" s="7">
        <v>6.7910856E8</v>
      </c>
      <c r="D887" s="9">
        <v>41756.0</v>
      </c>
      <c r="E887" s="10">
        <f t="shared" si="1"/>
        <v>4</v>
      </c>
      <c r="F887" s="10" t="str">
        <f t="shared" si="2"/>
        <v>Apr</v>
      </c>
      <c r="G887" s="11">
        <f t="shared" si="3"/>
        <v>27</v>
      </c>
      <c r="H887" s="7">
        <f t="shared" si="4"/>
        <v>2014</v>
      </c>
      <c r="I887" s="9">
        <v>41801.0</v>
      </c>
      <c r="J887" s="11">
        <f t="shared" si="5"/>
        <v>45</v>
      </c>
      <c r="K887" s="7" t="s">
        <v>110</v>
      </c>
      <c r="L887" s="7" t="s">
        <v>448</v>
      </c>
      <c r="M887" s="7" t="str">
        <f>VLOOKUP(L887,countries, 2,false)</f>
        <v>Liechtenstein</v>
      </c>
      <c r="N887" s="7" t="str">
        <f>VLOOKUP(L887,countries, 4,false)</f>
        <v>Europe</v>
      </c>
      <c r="O887" s="7" t="str">
        <f>VLOOKUP(L887,countries, 5,false)</f>
        <v>Western Europe</v>
      </c>
      <c r="P887" s="7" t="s">
        <v>129</v>
      </c>
      <c r="Q887" s="7">
        <v>2169.0</v>
      </c>
      <c r="R887" s="12">
        <v>668.27</v>
      </c>
      <c r="S887" s="12">
        <v>502.54</v>
      </c>
      <c r="T887" s="13">
        <f t="shared" si="6"/>
        <v>1449477.63</v>
      </c>
      <c r="U887" s="13">
        <f t="shared" si="7"/>
        <v>200318.79</v>
      </c>
      <c r="V887" s="13">
        <f t="shared" si="8"/>
        <v>1249158.84</v>
      </c>
      <c r="W887" s="14">
        <f>Q887/totals!B$2</f>
        <v>0.000329809486</v>
      </c>
      <c r="X887" s="14">
        <f t="shared" si="9"/>
        <v>0.6592887063</v>
      </c>
      <c r="Y887" s="14">
        <f>T887/totals!B$5</f>
        <v>0.0008515672328</v>
      </c>
      <c r="Z887" s="14">
        <f t="shared" si="10"/>
        <v>0.6533858253</v>
      </c>
      <c r="AA887" s="14">
        <f>V887/totals!B$4</f>
        <v>0.002490792595</v>
      </c>
      <c r="AB887" s="14">
        <f t="shared" si="11"/>
        <v>0.6603207523</v>
      </c>
    </row>
    <row r="888">
      <c r="A888" s="7">
        <v>5988.0</v>
      </c>
      <c r="B888" s="7" t="str">
        <f>VLOOKUP($A888,product_category,2, False)</f>
        <v>Vegetables</v>
      </c>
      <c r="C888" s="7">
        <v>6.8032521E8</v>
      </c>
      <c r="D888" s="9">
        <v>42907.0</v>
      </c>
      <c r="E888" s="10">
        <f t="shared" si="1"/>
        <v>6</v>
      </c>
      <c r="F888" s="10" t="str">
        <f t="shared" si="2"/>
        <v>Jun</v>
      </c>
      <c r="G888" s="11">
        <f t="shared" si="3"/>
        <v>21</v>
      </c>
      <c r="H888" s="7">
        <f t="shared" si="4"/>
        <v>2017</v>
      </c>
      <c r="I888" s="9">
        <v>42939.0</v>
      </c>
      <c r="J888" s="11">
        <f t="shared" si="5"/>
        <v>32</v>
      </c>
      <c r="K888" s="7" t="s">
        <v>198</v>
      </c>
      <c r="L888" s="7" t="s">
        <v>283</v>
      </c>
      <c r="M888" s="7" t="str">
        <f>VLOOKUP(L888,countries, 2,false)</f>
        <v>Finland</v>
      </c>
      <c r="N888" s="7" t="str">
        <f>VLOOKUP(L888,countries, 4,false)</f>
        <v>Europe</v>
      </c>
      <c r="O888" s="7" t="str">
        <f>VLOOKUP(L888,countries, 5,false)</f>
        <v>Northern Europe</v>
      </c>
      <c r="P888" s="7" t="s">
        <v>129</v>
      </c>
      <c r="Q888" s="7">
        <v>2203.0</v>
      </c>
      <c r="R888" s="12">
        <v>154.06</v>
      </c>
      <c r="S888" s="12">
        <v>90.93</v>
      </c>
      <c r="T888" s="13">
        <f t="shared" si="6"/>
        <v>339394.18</v>
      </c>
      <c r="U888" s="13">
        <f t="shared" si="7"/>
        <v>92445.32</v>
      </c>
      <c r="V888" s="13">
        <f t="shared" si="8"/>
        <v>246948.86</v>
      </c>
      <c r="W888" s="14">
        <f>Q888/totals!B$2</f>
        <v>0.0003349793903</v>
      </c>
      <c r="X888" s="14">
        <f t="shared" si="9"/>
        <v>0.6596236857</v>
      </c>
      <c r="Y888" s="14">
        <f>T888/totals!B$5</f>
        <v>0.0001993938759</v>
      </c>
      <c r="Z888" s="14">
        <f t="shared" si="10"/>
        <v>0.6535852192</v>
      </c>
      <c r="AA888" s="14">
        <f>V888/totals!B$4</f>
        <v>0.0004924100699</v>
      </c>
      <c r="AB888" s="14">
        <f t="shared" si="11"/>
        <v>0.6608131624</v>
      </c>
    </row>
    <row r="889">
      <c r="A889" s="7">
        <v>1270.0</v>
      </c>
      <c r="B889" s="7" t="str">
        <f>VLOOKUP($A889,product_category,2, False)</f>
        <v>Beverages</v>
      </c>
      <c r="C889" s="7">
        <v>6.81713092E8</v>
      </c>
      <c r="D889" s="9">
        <v>40245.0</v>
      </c>
      <c r="E889" s="10">
        <f t="shared" si="1"/>
        <v>3</v>
      </c>
      <c r="F889" s="10" t="str">
        <f t="shared" si="2"/>
        <v>Mar</v>
      </c>
      <c r="G889" s="11">
        <f t="shared" si="3"/>
        <v>8</v>
      </c>
      <c r="H889" s="7">
        <f t="shared" si="4"/>
        <v>2010</v>
      </c>
      <c r="I889" s="9">
        <v>40259.0</v>
      </c>
      <c r="J889" s="11">
        <f t="shared" si="5"/>
        <v>14</v>
      </c>
      <c r="K889" s="7" t="s">
        <v>382</v>
      </c>
      <c r="L889" s="7" t="s">
        <v>107</v>
      </c>
      <c r="M889" s="7" t="str">
        <f>VLOOKUP(L889,countries, 2,false)</f>
        <v>Belarus</v>
      </c>
      <c r="N889" s="7" t="str">
        <f>VLOOKUP(L889,countries, 4,false)</f>
        <v>Europe</v>
      </c>
      <c r="O889" s="7" t="str">
        <f>VLOOKUP(L889,countries, 5,false)</f>
        <v>Eastern Europe</v>
      </c>
      <c r="P889" s="7" t="s">
        <v>129</v>
      </c>
      <c r="Q889" s="7">
        <v>2908.0</v>
      </c>
      <c r="R889" s="12">
        <v>47.45</v>
      </c>
      <c r="S889" s="12">
        <v>31.79</v>
      </c>
      <c r="T889" s="13">
        <f t="shared" si="6"/>
        <v>137984.6</v>
      </c>
      <c r="U889" s="13">
        <f t="shared" si="7"/>
        <v>675246.18</v>
      </c>
      <c r="V889" s="13">
        <f t="shared" si="8"/>
        <v>-537261.58</v>
      </c>
      <c r="W889" s="14">
        <f>Q889/totals!B$2</f>
        <v>0.0004421788775</v>
      </c>
      <c r="X889" s="14">
        <f t="shared" si="9"/>
        <v>0.6600658646</v>
      </c>
      <c r="Y889" s="14">
        <f>T889/totals!B$5</f>
        <v>0.00008106586922</v>
      </c>
      <c r="Z889" s="14">
        <f t="shared" si="10"/>
        <v>0.653666285</v>
      </c>
      <c r="AA889" s="14">
        <f>V889/totals!B$4</f>
        <v>-0.001071286631</v>
      </c>
      <c r="AB889" s="14">
        <f t="shared" si="11"/>
        <v>0.6597418758</v>
      </c>
    </row>
    <row r="890">
      <c r="A890" s="7">
        <v>5988.0</v>
      </c>
      <c r="B890" s="7" t="str">
        <f>VLOOKUP($A890,product_category,2, False)</f>
        <v>Vegetables</v>
      </c>
      <c r="C890" s="7">
        <v>6.82066285E8</v>
      </c>
      <c r="D890" s="9">
        <v>41420.0</v>
      </c>
      <c r="E890" s="10">
        <f t="shared" si="1"/>
        <v>5</v>
      </c>
      <c r="F890" s="10" t="str">
        <f t="shared" si="2"/>
        <v>May</v>
      </c>
      <c r="G890" s="11">
        <f t="shared" si="3"/>
        <v>26</v>
      </c>
      <c r="H890" s="7">
        <f t="shared" si="4"/>
        <v>2013</v>
      </c>
      <c r="I890" s="9">
        <v>41468.0</v>
      </c>
      <c r="J890" s="11">
        <f t="shared" si="5"/>
        <v>48</v>
      </c>
      <c r="K890" s="7" t="s">
        <v>382</v>
      </c>
      <c r="L890" s="7" t="s">
        <v>113</v>
      </c>
      <c r="M890" s="7" t="str">
        <f>VLOOKUP(L890,countries, 2,false)</f>
        <v>Belgium</v>
      </c>
      <c r="N890" s="7" t="str">
        <f>VLOOKUP(L890,countries, 4,false)</f>
        <v>Europe</v>
      </c>
      <c r="O890" s="7" t="str">
        <f>VLOOKUP(L890,countries, 5,false)</f>
        <v>Western Europe</v>
      </c>
      <c r="P890" s="7" t="s">
        <v>129</v>
      </c>
      <c r="Q890" s="7">
        <v>7426.0</v>
      </c>
      <c r="R890" s="12">
        <v>154.06</v>
      </c>
      <c r="S890" s="12">
        <v>90.93</v>
      </c>
      <c r="T890" s="13">
        <f t="shared" si="6"/>
        <v>1144049.56</v>
      </c>
      <c r="U890" s="13">
        <f t="shared" si="7"/>
        <v>2141824.37</v>
      </c>
      <c r="V890" s="13">
        <f t="shared" si="8"/>
        <v>-997774.81</v>
      </c>
      <c r="W890" s="14">
        <f>Q890/totals!B$2</f>
        <v>0.001129167931</v>
      </c>
      <c r="X890" s="14">
        <f t="shared" si="9"/>
        <v>0.6611950325</v>
      </c>
      <c r="Y890" s="14">
        <f>T890/totals!B$5</f>
        <v>0.000672128426</v>
      </c>
      <c r="Z890" s="14">
        <f t="shared" si="10"/>
        <v>0.6543384135</v>
      </c>
      <c r="AA890" s="14">
        <f>V890/totals!B$4</f>
        <v>-0.001989538903</v>
      </c>
      <c r="AB890" s="14">
        <f t="shared" si="11"/>
        <v>0.6577523369</v>
      </c>
    </row>
    <row r="891">
      <c r="A891" s="7">
        <v>8875.0</v>
      </c>
      <c r="B891" s="7" t="str">
        <f>VLOOKUP($A891,product_category,2, False)</f>
        <v>Meat</v>
      </c>
      <c r="C891" s="7">
        <v>6.82162415E8</v>
      </c>
      <c r="D891" s="9">
        <v>42385.0</v>
      </c>
      <c r="E891" s="10">
        <f t="shared" si="1"/>
        <v>1</v>
      </c>
      <c r="F891" s="10" t="str">
        <f t="shared" si="2"/>
        <v>Jan</v>
      </c>
      <c r="G891" s="11">
        <f t="shared" si="3"/>
        <v>16</v>
      </c>
      <c r="H891" s="7">
        <f t="shared" si="4"/>
        <v>2016</v>
      </c>
      <c r="I891" s="9">
        <v>42426.0</v>
      </c>
      <c r="J891" s="11">
        <f t="shared" si="5"/>
        <v>41</v>
      </c>
      <c r="K891" s="7" t="s">
        <v>198</v>
      </c>
      <c r="L891" s="7" t="s">
        <v>609</v>
      </c>
      <c r="M891" s="7" t="str">
        <f>VLOOKUP(L891,countries, 2,false)</f>
        <v>Romania</v>
      </c>
      <c r="N891" s="7" t="str">
        <f>VLOOKUP(L891,countries, 4,false)</f>
        <v>Europe</v>
      </c>
      <c r="O891" s="7" t="str">
        <f>VLOOKUP(L891,countries, 5,false)</f>
        <v>Eastern Europe</v>
      </c>
      <c r="P891" s="7" t="s">
        <v>212</v>
      </c>
      <c r="Q891" s="7">
        <v>5873.0</v>
      </c>
      <c r="R891" s="12">
        <v>421.89</v>
      </c>
      <c r="S891" s="12">
        <v>364.69</v>
      </c>
      <c r="T891" s="13">
        <f t="shared" si="6"/>
        <v>2477759.97</v>
      </c>
      <c r="U891" s="13">
        <f t="shared" si="7"/>
        <v>30391.24</v>
      </c>
      <c r="V891" s="13">
        <f t="shared" si="8"/>
        <v>2447368.73</v>
      </c>
      <c r="W891" s="14">
        <f>Q891/totals!B$2</f>
        <v>0.0008930249475</v>
      </c>
      <c r="X891" s="14">
        <f t="shared" si="9"/>
        <v>0.6620880575</v>
      </c>
      <c r="Y891" s="14">
        <f>T891/totals!B$5</f>
        <v>0.001455682487</v>
      </c>
      <c r="Z891" s="14">
        <f t="shared" si="10"/>
        <v>0.655794096</v>
      </c>
      <c r="AA891" s="14">
        <f>V891/totals!B$4</f>
        <v>0.004879994212</v>
      </c>
      <c r="AB891" s="14">
        <f t="shared" si="11"/>
        <v>0.6626323311</v>
      </c>
    </row>
    <row r="892">
      <c r="A892" s="7">
        <v>1270.0</v>
      </c>
      <c r="B892" s="7" t="str">
        <f>VLOOKUP($A892,product_category,2, False)</f>
        <v>Beverages</v>
      </c>
      <c r="C892" s="7">
        <v>6.82314765E8</v>
      </c>
      <c r="D892" s="9">
        <v>42334.0</v>
      </c>
      <c r="E892" s="10">
        <f t="shared" si="1"/>
        <v>11</v>
      </c>
      <c r="F892" s="10" t="str">
        <f t="shared" si="2"/>
        <v>Nov</v>
      </c>
      <c r="G892" s="11">
        <f t="shared" si="3"/>
        <v>26</v>
      </c>
      <c r="H892" s="7">
        <f t="shared" si="4"/>
        <v>2015</v>
      </c>
      <c r="I892" s="9">
        <v>42358.0</v>
      </c>
      <c r="J892" s="11">
        <f t="shared" si="5"/>
        <v>24</v>
      </c>
      <c r="K892" s="7" t="s">
        <v>322</v>
      </c>
      <c r="L892" s="7" t="s">
        <v>307</v>
      </c>
      <c r="M892" s="7" t="str">
        <f>VLOOKUP(L892,countries, 2,false)</f>
        <v>Germany</v>
      </c>
      <c r="N892" s="7" t="str">
        <f>VLOOKUP(L892,countries, 4,false)</f>
        <v>Europe</v>
      </c>
      <c r="O892" s="7" t="str">
        <f>VLOOKUP(L892,countries, 5,false)</f>
        <v>Western Europe</v>
      </c>
      <c r="P892" s="7" t="s">
        <v>212</v>
      </c>
      <c r="Q892" s="7">
        <v>956.0</v>
      </c>
      <c r="R892" s="12">
        <v>47.45</v>
      </c>
      <c r="S892" s="12">
        <v>31.79</v>
      </c>
      <c r="T892" s="13">
        <f t="shared" si="6"/>
        <v>45362.2</v>
      </c>
      <c r="U892" s="13">
        <f t="shared" si="7"/>
        <v>174061.13</v>
      </c>
      <c r="V892" s="13">
        <f t="shared" si="8"/>
        <v>-128698.93</v>
      </c>
      <c r="W892" s="14">
        <f>Q892/totals!B$2</f>
        <v>0.0001453655457</v>
      </c>
      <c r="X892" s="14">
        <f t="shared" si="9"/>
        <v>0.662233423</v>
      </c>
      <c r="Y892" s="14">
        <f>T892/totals!B$5</f>
        <v>0.00002665026512</v>
      </c>
      <c r="Z892" s="14">
        <f t="shared" si="10"/>
        <v>0.6558207462</v>
      </c>
      <c r="AA892" s="14">
        <f>V892/totals!B$4</f>
        <v>-0.0002566225619</v>
      </c>
      <c r="AB892" s="14">
        <f t="shared" si="11"/>
        <v>0.6623757085</v>
      </c>
    </row>
    <row r="893">
      <c r="A893" s="7">
        <v>8293.0</v>
      </c>
      <c r="B893" s="7" t="str">
        <f>VLOOKUP($A893,product_category,2, False)</f>
        <v>Cosmetics</v>
      </c>
      <c r="C893" s="7">
        <v>6.84239947E8</v>
      </c>
      <c r="D893" s="9">
        <v>41510.0</v>
      </c>
      <c r="E893" s="10">
        <f t="shared" si="1"/>
        <v>8</v>
      </c>
      <c r="F893" s="10" t="str">
        <f t="shared" si="2"/>
        <v>Aug</v>
      </c>
      <c r="G893" s="11">
        <f t="shared" si="3"/>
        <v>24</v>
      </c>
      <c r="H893" s="7">
        <f t="shared" si="4"/>
        <v>2013</v>
      </c>
      <c r="I893" s="9">
        <v>41517.0</v>
      </c>
      <c r="J893" s="11">
        <f t="shared" si="5"/>
        <v>7</v>
      </c>
      <c r="K893" s="7" t="s">
        <v>322</v>
      </c>
      <c r="L893" s="7" t="s">
        <v>702</v>
      </c>
      <c r="M893" s="7" t="str">
        <f>VLOOKUP(L893,countries, 2,false)</f>
        <v>Sweden</v>
      </c>
      <c r="N893" s="7" t="str">
        <f>VLOOKUP(L893,countries, 4,false)</f>
        <v>Europe</v>
      </c>
      <c r="O893" s="7" t="str">
        <f>VLOOKUP(L893,countries, 5,false)</f>
        <v>Northern Europe</v>
      </c>
      <c r="P893" s="7" t="s">
        <v>129</v>
      </c>
      <c r="Q893" s="7">
        <v>661.0</v>
      </c>
      <c r="R893" s="12">
        <v>437.2</v>
      </c>
      <c r="S893" s="12">
        <v>263.33</v>
      </c>
      <c r="T893" s="13">
        <f t="shared" si="6"/>
        <v>288989.2</v>
      </c>
      <c r="U893" s="13">
        <f t="shared" si="7"/>
        <v>81177.6</v>
      </c>
      <c r="V893" s="13">
        <f t="shared" si="8"/>
        <v>207811.6</v>
      </c>
      <c r="W893" s="14">
        <f>Q893/totals!B$2</f>
        <v>0.0001005090227</v>
      </c>
      <c r="X893" s="14">
        <f t="shared" si="9"/>
        <v>0.662333932</v>
      </c>
      <c r="Y893" s="14">
        <f>T893/totals!B$5</f>
        <v>0.0001697809806</v>
      </c>
      <c r="Z893" s="14">
        <f t="shared" si="10"/>
        <v>0.6559905272</v>
      </c>
      <c r="AA893" s="14">
        <f>V893/totals!B$4</f>
        <v>0.0004143713175</v>
      </c>
      <c r="AB893" s="14">
        <f t="shared" si="11"/>
        <v>0.6627900798</v>
      </c>
    </row>
    <row r="894">
      <c r="A894" s="7">
        <v>2455.0</v>
      </c>
      <c r="B894" s="7" t="str">
        <f>VLOOKUP($A894,product_category,2, False)</f>
        <v>Clothes</v>
      </c>
      <c r="C894" s="7">
        <v>6.84853637E8</v>
      </c>
      <c r="D894" s="9">
        <v>40954.0</v>
      </c>
      <c r="E894" s="10">
        <f t="shared" si="1"/>
        <v>2</v>
      </c>
      <c r="F894" s="10" t="str">
        <f t="shared" si="2"/>
        <v>Feb</v>
      </c>
      <c r="G894" s="11">
        <f t="shared" si="3"/>
        <v>15</v>
      </c>
      <c r="H894" s="7">
        <f t="shared" si="4"/>
        <v>2012</v>
      </c>
      <c r="I894" s="9">
        <v>41002.0</v>
      </c>
      <c r="J894" s="11">
        <f t="shared" si="5"/>
        <v>48</v>
      </c>
      <c r="K894" s="7" t="s">
        <v>382</v>
      </c>
      <c r="L894" s="7" t="s">
        <v>597</v>
      </c>
      <c r="M894" s="7" t="str">
        <f>VLOOKUP(L894,countries, 2,false)</f>
        <v>Portugal</v>
      </c>
      <c r="N894" s="7" t="str">
        <f>VLOOKUP(L894,countries, 4,false)</f>
        <v>Europe</v>
      </c>
      <c r="O894" s="7" t="str">
        <f>VLOOKUP(L894,countries, 5,false)</f>
        <v>Southern Europe</v>
      </c>
      <c r="P894" s="7" t="s">
        <v>212</v>
      </c>
      <c r="Q894" s="7">
        <v>2265.0</v>
      </c>
      <c r="R894" s="12">
        <v>109.28</v>
      </c>
      <c r="S894" s="12">
        <v>35.84</v>
      </c>
      <c r="T894" s="13">
        <f t="shared" si="6"/>
        <v>247519.2</v>
      </c>
      <c r="U894" s="13">
        <f t="shared" si="7"/>
        <v>722013.18</v>
      </c>
      <c r="V894" s="13">
        <f t="shared" si="8"/>
        <v>-474493.98</v>
      </c>
      <c r="W894" s="14">
        <f>Q894/totals!B$2</f>
        <v>0.000344406863</v>
      </c>
      <c r="X894" s="14">
        <f t="shared" si="9"/>
        <v>0.6626783389</v>
      </c>
      <c r="Y894" s="14">
        <f>T894/totals!B$5</f>
        <v>0.0001454173806</v>
      </c>
      <c r="Z894" s="14">
        <f t="shared" si="10"/>
        <v>0.6561359446</v>
      </c>
      <c r="AA894" s="14">
        <f>V894/totals!B$4</f>
        <v>-0.0009461295503</v>
      </c>
      <c r="AB894" s="14">
        <f t="shared" si="11"/>
        <v>0.6618439503</v>
      </c>
    </row>
    <row r="895">
      <c r="A895" s="7">
        <v>7331.0</v>
      </c>
      <c r="B895" s="7" t="str">
        <f>VLOOKUP($A895,product_category,2, False)</f>
        <v>Baby Food</v>
      </c>
      <c r="C895" s="7">
        <v>6.85233008E8</v>
      </c>
      <c r="D895" s="9">
        <v>40812.0</v>
      </c>
      <c r="E895" s="10">
        <f t="shared" si="1"/>
        <v>9</v>
      </c>
      <c r="F895" s="10" t="str">
        <f t="shared" si="2"/>
        <v>Sep</v>
      </c>
      <c r="G895" s="11">
        <f t="shared" si="3"/>
        <v>26</v>
      </c>
      <c r="H895" s="7">
        <f t="shared" si="4"/>
        <v>2011</v>
      </c>
      <c r="I895" s="9">
        <v>40833.0</v>
      </c>
      <c r="J895" s="11">
        <f t="shared" si="5"/>
        <v>21</v>
      </c>
      <c r="K895" s="7" t="s">
        <v>198</v>
      </c>
      <c r="L895" s="7" t="s">
        <v>594</v>
      </c>
      <c r="M895" s="7" t="str">
        <f>VLOOKUP(L895,countries, 2,false)</f>
        <v>Poland</v>
      </c>
      <c r="N895" s="7" t="str">
        <f>VLOOKUP(L895,countries, 4,false)</f>
        <v>Europe</v>
      </c>
      <c r="O895" s="7" t="str">
        <f>VLOOKUP(L895,countries, 5,false)</f>
        <v>Eastern Europe</v>
      </c>
      <c r="P895" s="7" t="s">
        <v>129</v>
      </c>
      <c r="Q895" s="7">
        <v>4529.0</v>
      </c>
      <c r="R895" s="12">
        <v>255.28</v>
      </c>
      <c r="S895" s="12">
        <v>159.42</v>
      </c>
      <c r="T895" s="13">
        <f t="shared" si="6"/>
        <v>1156163.12</v>
      </c>
      <c r="U895" s="13">
        <f t="shared" si="7"/>
        <v>79636.48</v>
      </c>
      <c r="V895" s="13">
        <f t="shared" si="8"/>
        <v>1076526.64</v>
      </c>
      <c r="W895" s="14">
        <f>Q895/totals!B$2</f>
        <v>0.0006886616699</v>
      </c>
      <c r="X895" s="14">
        <f t="shared" si="9"/>
        <v>0.6633670006</v>
      </c>
      <c r="Y895" s="14">
        <f>T895/totals!B$5</f>
        <v>0.0006792451352</v>
      </c>
      <c r="Z895" s="14">
        <f t="shared" si="10"/>
        <v>0.6568151897</v>
      </c>
      <c r="AA895" s="14">
        <f>V895/totals!B$4</f>
        <v>0.002146568152</v>
      </c>
      <c r="AB895" s="14">
        <f t="shared" si="11"/>
        <v>0.6639905184</v>
      </c>
    </row>
    <row r="896">
      <c r="A896" s="7">
        <v>2455.0</v>
      </c>
      <c r="B896" s="7" t="str">
        <f>VLOOKUP($A896,product_category,2, False)</f>
        <v>Clothes</v>
      </c>
      <c r="C896" s="7">
        <v>6.8559693E8</v>
      </c>
      <c r="D896" s="9">
        <v>42489.0</v>
      </c>
      <c r="E896" s="10">
        <f t="shared" si="1"/>
        <v>4</v>
      </c>
      <c r="F896" s="10" t="str">
        <f t="shared" si="2"/>
        <v>Apr</v>
      </c>
      <c r="G896" s="11">
        <f t="shared" si="3"/>
        <v>29</v>
      </c>
      <c r="H896" s="7">
        <f t="shared" si="4"/>
        <v>2016</v>
      </c>
      <c r="I896" s="9">
        <v>42537.0</v>
      </c>
      <c r="J896" s="11">
        <f t="shared" si="5"/>
        <v>48</v>
      </c>
      <c r="K896" s="7" t="s">
        <v>322</v>
      </c>
      <c r="L896" s="7" t="s">
        <v>323</v>
      </c>
      <c r="M896" s="7" t="str">
        <f>VLOOKUP(L896,countries, 2,false)</f>
        <v>Montenegro</v>
      </c>
      <c r="N896" s="7" t="str">
        <f>VLOOKUP(L896,countries, 4,false)</f>
        <v>Europe</v>
      </c>
      <c r="O896" s="7" t="str">
        <f>VLOOKUP(L896,countries, 5,false)</f>
        <v>Southern Europe</v>
      </c>
      <c r="P896" s="7" t="s">
        <v>129</v>
      </c>
      <c r="Q896" s="7">
        <v>2222.0</v>
      </c>
      <c r="R896" s="12">
        <v>109.28</v>
      </c>
      <c r="S896" s="12">
        <v>35.84</v>
      </c>
      <c r="T896" s="13">
        <f t="shared" si="6"/>
        <v>242820.16</v>
      </c>
      <c r="U896" s="13">
        <f t="shared" si="7"/>
        <v>979859.37</v>
      </c>
      <c r="V896" s="13">
        <f t="shared" si="8"/>
        <v>-737039.21</v>
      </c>
      <c r="W896" s="14">
        <f>Q896/totals!B$2</f>
        <v>0.0003378684545</v>
      </c>
      <c r="X896" s="14">
        <f t="shared" si="9"/>
        <v>0.663704869</v>
      </c>
      <c r="Y896" s="14">
        <f>T896/totals!B$5</f>
        <v>0.0001426566974</v>
      </c>
      <c r="Z896" s="14">
        <f t="shared" si="10"/>
        <v>0.6569578464</v>
      </c>
      <c r="AA896" s="14">
        <f>V896/totals!B$4</f>
        <v>-0.001469638406</v>
      </c>
      <c r="AB896" s="14">
        <f t="shared" si="11"/>
        <v>0.66252088</v>
      </c>
    </row>
    <row r="897">
      <c r="A897" s="7">
        <v>2103.0</v>
      </c>
      <c r="B897" s="7" t="str">
        <f>VLOOKUP($A897,product_category,2, False)</f>
        <v>Cereal</v>
      </c>
      <c r="C897" s="7">
        <v>6.87374913E8</v>
      </c>
      <c r="D897" s="9">
        <v>40188.0</v>
      </c>
      <c r="E897" s="10">
        <f t="shared" si="1"/>
        <v>1</v>
      </c>
      <c r="F897" s="10" t="str">
        <f t="shared" si="2"/>
        <v>Jan</v>
      </c>
      <c r="G897" s="11">
        <f t="shared" si="3"/>
        <v>10</v>
      </c>
      <c r="H897" s="7">
        <f t="shared" si="4"/>
        <v>2010</v>
      </c>
      <c r="I897" s="9">
        <v>40235.0</v>
      </c>
      <c r="J897" s="11">
        <f t="shared" si="5"/>
        <v>47</v>
      </c>
      <c r="K897" s="7" t="s">
        <v>110</v>
      </c>
      <c r="L897" s="7" t="s">
        <v>316</v>
      </c>
      <c r="M897" s="7" t="str">
        <f>VLOOKUP(L897,countries, 2,false)</f>
        <v>Greece</v>
      </c>
      <c r="N897" s="7" t="str">
        <f>VLOOKUP(L897,countries, 4,false)</f>
        <v>Europe</v>
      </c>
      <c r="O897" s="7" t="str">
        <f>VLOOKUP(L897,countries, 5,false)</f>
        <v>Southern Europe</v>
      </c>
      <c r="P897" s="7" t="s">
        <v>129</v>
      </c>
      <c r="Q897" s="7">
        <v>8367.0</v>
      </c>
      <c r="R897" s="12">
        <v>205.7</v>
      </c>
      <c r="S897" s="12">
        <v>117.11</v>
      </c>
      <c r="T897" s="13">
        <f t="shared" si="6"/>
        <v>1721091.9</v>
      </c>
      <c r="U897" s="13">
        <f t="shared" si="7"/>
        <v>2978052.04</v>
      </c>
      <c r="V897" s="13">
        <f t="shared" si="8"/>
        <v>-1256960.14</v>
      </c>
      <c r="W897" s="14">
        <f>Q897/totals!B$2</f>
        <v>0.001272252637</v>
      </c>
      <c r="X897" s="14">
        <f t="shared" si="9"/>
        <v>0.6649771217</v>
      </c>
      <c r="Y897" s="14">
        <f>T897/totals!B$5</f>
        <v>0.001011140452</v>
      </c>
      <c r="Z897" s="14">
        <f t="shared" si="10"/>
        <v>0.6579689869</v>
      </c>
      <c r="AA897" s="14">
        <f>V897/totals!B$4</f>
        <v>-0.002506348199</v>
      </c>
      <c r="AB897" s="14">
        <f t="shared" si="11"/>
        <v>0.6600145318</v>
      </c>
    </row>
    <row r="898">
      <c r="A898" s="7">
        <v>7940.0</v>
      </c>
      <c r="B898" s="7" t="str">
        <f>VLOOKUP($A898,product_category,2, False)</f>
        <v>Household</v>
      </c>
      <c r="C898" s="7">
        <v>6.88650786E8</v>
      </c>
      <c r="D898" s="9">
        <v>40352.0</v>
      </c>
      <c r="E898" s="10">
        <f t="shared" si="1"/>
        <v>6</v>
      </c>
      <c r="F898" s="10" t="str">
        <f t="shared" si="2"/>
        <v>Jun</v>
      </c>
      <c r="G898" s="11">
        <f t="shared" si="3"/>
        <v>23</v>
      </c>
      <c r="H898" s="7">
        <f t="shared" si="4"/>
        <v>2010</v>
      </c>
      <c r="I898" s="9">
        <v>40397.0</v>
      </c>
      <c r="J898" s="11">
        <f t="shared" si="5"/>
        <v>45</v>
      </c>
      <c r="K898" s="7" t="s">
        <v>382</v>
      </c>
      <c r="L898" s="7" t="s">
        <v>702</v>
      </c>
      <c r="M898" s="7" t="str">
        <f>VLOOKUP(L898,countries, 2,false)</f>
        <v>Sweden</v>
      </c>
      <c r="N898" s="7" t="str">
        <f>VLOOKUP(L898,countries, 4,false)</f>
        <v>Europe</v>
      </c>
      <c r="O898" s="7" t="str">
        <f>VLOOKUP(L898,countries, 5,false)</f>
        <v>Northern Europe</v>
      </c>
      <c r="P898" s="7" t="s">
        <v>212</v>
      </c>
      <c r="Q898" s="7">
        <v>5926.0</v>
      </c>
      <c r="R898" s="12">
        <v>668.27</v>
      </c>
      <c r="S898" s="12">
        <v>502.54</v>
      </c>
      <c r="T898" s="13">
        <f t="shared" si="6"/>
        <v>3960168.02</v>
      </c>
      <c r="U898" s="13">
        <f t="shared" si="7"/>
        <v>2000.46</v>
      </c>
      <c r="V898" s="13">
        <f t="shared" si="8"/>
        <v>3958167.56</v>
      </c>
      <c r="W898" s="14">
        <f>Q898/totals!B$2</f>
        <v>0.0009010839161</v>
      </c>
      <c r="X898" s="14">
        <f t="shared" si="9"/>
        <v>0.6658782056</v>
      </c>
      <c r="Y898" s="14">
        <f>T898/totals!B$5</f>
        <v>0.002326596322</v>
      </c>
      <c r="Z898" s="14">
        <f t="shared" si="10"/>
        <v>0.6602955832</v>
      </c>
      <c r="AA898" s="14">
        <f>V898/totals!B$4</f>
        <v>0.007892490635</v>
      </c>
      <c r="AB898" s="14">
        <f t="shared" si="11"/>
        <v>0.6679070225</v>
      </c>
    </row>
    <row r="899">
      <c r="A899" s="7">
        <v>5988.0</v>
      </c>
      <c r="B899" s="7" t="str">
        <f>VLOOKUP($A899,product_category,2, False)</f>
        <v>Vegetables</v>
      </c>
      <c r="C899" s="7">
        <v>6.88698422E8</v>
      </c>
      <c r="D899" s="9">
        <v>42806.0</v>
      </c>
      <c r="E899" s="10">
        <f t="shared" si="1"/>
        <v>3</v>
      </c>
      <c r="F899" s="10" t="str">
        <f t="shared" si="2"/>
        <v>Mar</v>
      </c>
      <c r="G899" s="11">
        <f t="shared" si="3"/>
        <v>12</v>
      </c>
      <c r="H899" s="7">
        <f t="shared" si="4"/>
        <v>2017</v>
      </c>
      <c r="I899" s="9">
        <v>42826.0</v>
      </c>
      <c r="J899" s="11">
        <f t="shared" si="5"/>
        <v>20</v>
      </c>
      <c r="K899" s="7" t="s">
        <v>382</v>
      </c>
      <c r="L899" s="7" t="s">
        <v>534</v>
      </c>
      <c r="M899" s="7" t="str">
        <f>VLOOKUP(L899,countries, 2,false)</f>
        <v>Netherlands</v>
      </c>
      <c r="N899" s="7" t="str">
        <f>VLOOKUP(L899,countries, 4,false)</f>
        <v>Europe</v>
      </c>
      <c r="O899" s="7" t="str">
        <f>VLOOKUP(L899,countries, 5,false)</f>
        <v>Western Europe</v>
      </c>
      <c r="P899" s="7" t="s">
        <v>212</v>
      </c>
      <c r="Q899" s="7">
        <v>22.0</v>
      </c>
      <c r="R899" s="12">
        <v>154.06</v>
      </c>
      <c r="S899" s="12">
        <v>90.93</v>
      </c>
      <c r="T899" s="13">
        <f t="shared" si="6"/>
        <v>3389.32</v>
      </c>
      <c r="U899" s="13">
        <f t="shared" si="7"/>
        <v>301524</v>
      </c>
      <c r="V899" s="13">
        <f t="shared" si="8"/>
        <v>-298134.68</v>
      </c>
      <c r="W899" s="14">
        <f>Q899/totals!B$2</f>
        <v>0.000003345232223</v>
      </c>
      <c r="X899" s="14">
        <f t="shared" si="9"/>
        <v>0.6658815508</v>
      </c>
      <c r="Y899" s="14">
        <f>T899/totals!B$5</f>
        <v>0.000001991223454</v>
      </c>
      <c r="Z899" s="14">
        <f t="shared" si="10"/>
        <v>0.6602975744</v>
      </c>
      <c r="AA899" s="14">
        <f>V899/totals!B$4</f>
        <v>-0.0005944733603</v>
      </c>
      <c r="AB899" s="14">
        <f t="shared" si="11"/>
        <v>0.6673125491</v>
      </c>
    </row>
    <row r="900">
      <c r="A900" s="7">
        <v>7940.0</v>
      </c>
      <c r="B900" s="7" t="str">
        <f>VLOOKUP($A900,product_category,2, False)</f>
        <v>Household</v>
      </c>
      <c r="C900" s="7">
        <v>6.88903129E8</v>
      </c>
      <c r="D900" s="9">
        <v>42886.0</v>
      </c>
      <c r="E900" s="10">
        <f t="shared" si="1"/>
        <v>5</v>
      </c>
      <c r="F900" s="10" t="str">
        <f t="shared" si="2"/>
        <v>May</v>
      </c>
      <c r="G900" s="11">
        <f t="shared" si="3"/>
        <v>31</v>
      </c>
      <c r="H900" s="7">
        <f t="shared" si="4"/>
        <v>2017</v>
      </c>
      <c r="I900" s="9">
        <v>42918.0</v>
      </c>
      <c r="J900" s="11">
        <f t="shared" si="5"/>
        <v>32</v>
      </c>
      <c r="K900" s="7" t="s">
        <v>110</v>
      </c>
      <c r="L900" s="7" t="s">
        <v>155</v>
      </c>
      <c r="M900" s="7" t="str">
        <f>VLOOKUP(L900,countries, 2,false)</f>
        <v>Bulgaria</v>
      </c>
      <c r="N900" s="7" t="str">
        <f>VLOOKUP(L900,countries, 4,false)</f>
        <v>Europe</v>
      </c>
      <c r="O900" s="7" t="str">
        <f>VLOOKUP(L900,countries, 5,false)</f>
        <v>Eastern Europe</v>
      </c>
      <c r="P900" s="7" t="s">
        <v>129</v>
      </c>
      <c r="Q900" s="7">
        <v>600.0</v>
      </c>
      <c r="R900" s="12">
        <v>668.27</v>
      </c>
      <c r="S900" s="12">
        <v>502.54</v>
      </c>
      <c r="T900" s="13">
        <f t="shared" si="6"/>
        <v>400962</v>
      </c>
      <c r="U900" s="13">
        <f t="shared" si="7"/>
        <v>670964.84</v>
      </c>
      <c r="V900" s="13">
        <f t="shared" si="8"/>
        <v>-270002.84</v>
      </c>
      <c r="W900" s="14">
        <f>Q900/totals!B$2</f>
        <v>0.00009123360608</v>
      </c>
      <c r="X900" s="14">
        <f t="shared" si="9"/>
        <v>0.6659727844</v>
      </c>
      <c r="Y900" s="14">
        <f>T900/totals!B$5</f>
        <v>0.000235564933</v>
      </c>
      <c r="Z900" s="14">
        <f t="shared" si="10"/>
        <v>0.6605331393</v>
      </c>
      <c r="AA900" s="14">
        <f>V900/totals!B$4</f>
        <v>-0.0005383791499</v>
      </c>
      <c r="AB900" s="14">
        <f t="shared" si="11"/>
        <v>0.6667741699</v>
      </c>
    </row>
    <row r="901">
      <c r="A901" s="7">
        <v>8293.0</v>
      </c>
      <c r="B901" s="7" t="str">
        <f>VLOOKUP($A901,product_category,2, False)</f>
        <v>Cosmetics</v>
      </c>
      <c r="C901" s="7">
        <v>6.89349019E8</v>
      </c>
      <c r="D901" s="9">
        <v>41435.0</v>
      </c>
      <c r="E901" s="10">
        <f t="shared" si="1"/>
        <v>6</v>
      </c>
      <c r="F901" s="10" t="str">
        <f t="shared" si="2"/>
        <v>Jun</v>
      </c>
      <c r="G901" s="11">
        <f t="shared" si="3"/>
        <v>10</v>
      </c>
      <c r="H901" s="7">
        <f t="shared" si="4"/>
        <v>2013</v>
      </c>
      <c r="I901" s="9">
        <v>41478.0</v>
      </c>
      <c r="J901" s="11">
        <f t="shared" si="5"/>
        <v>43</v>
      </c>
      <c r="K901" s="7" t="s">
        <v>382</v>
      </c>
      <c r="L901" s="7" t="s">
        <v>364</v>
      </c>
      <c r="M901" s="7" t="str">
        <f>VLOOKUP(L901,countries, 2,false)</f>
        <v>Hungary</v>
      </c>
      <c r="N901" s="7" t="str">
        <f>VLOOKUP(L901,countries, 4,false)</f>
        <v>Europe</v>
      </c>
      <c r="O901" s="7" t="str">
        <f>VLOOKUP(L901,countries, 5,false)</f>
        <v>Eastern Europe</v>
      </c>
      <c r="P901" s="7" t="s">
        <v>212</v>
      </c>
      <c r="Q901" s="7">
        <v>2548.0</v>
      </c>
      <c r="R901" s="12">
        <v>437.2</v>
      </c>
      <c r="S901" s="12">
        <v>263.33</v>
      </c>
      <c r="T901" s="13">
        <f t="shared" si="6"/>
        <v>1113985.6</v>
      </c>
      <c r="U901" s="13">
        <f t="shared" si="7"/>
        <v>143754.24</v>
      </c>
      <c r="V901" s="13">
        <f t="shared" si="8"/>
        <v>970231.36</v>
      </c>
      <c r="W901" s="14">
        <f>Q901/totals!B$2</f>
        <v>0.0003874387138</v>
      </c>
      <c r="X901" s="14">
        <f t="shared" si="9"/>
        <v>0.6663602231</v>
      </c>
      <c r="Y901" s="14">
        <f>T901/totals!B$5</f>
        <v>0.0006544658677</v>
      </c>
      <c r="Z901" s="14">
        <f t="shared" si="10"/>
        <v>0.6611876052</v>
      </c>
      <c r="AA901" s="14">
        <f>V901/totals!B$4</f>
        <v>0.001934617928</v>
      </c>
      <c r="AB901" s="14">
        <f t="shared" si="11"/>
        <v>0.6687087879</v>
      </c>
    </row>
    <row r="902">
      <c r="A902" s="7">
        <v>2455.0</v>
      </c>
      <c r="B902" s="7" t="str">
        <f>VLOOKUP($A902,product_category,2, False)</f>
        <v>Clothes</v>
      </c>
      <c r="C902" s="7">
        <v>6.89421546E8</v>
      </c>
      <c r="D902" s="9">
        <v>40188.0</v>
      </c>
      <c r="E902" s="10">
        <f t="shared" si="1"/>
        <v>1</v>
      </c>
      <c r="F902" s="10" t="str">
        <f t="shared" si="2"/>
        <v>Jan</v>
      </c>
      <c r="G902" s="11">
        <f t="shared" si="3"/>
        <v>10</v>
      </c>
      <c r="H902" s="7">
        <f t="shared" si="4"/>
        <v>2010</v>
      </c>
      <c r="I902" s="9">
        <v>40209.0</v>
      </c>
      <c r="J902" s="11">
        <f t="shared" si="5"/>
        <v>21</v>
      </c>
      <c r="K902" s="7" t="s">
        <v>382</v>
      </c>
      <c r="L902" s="7" t="s">
        <v>392</v>
      </c>
      <c r="M902" s="7" t="str">
        <f>VLOOKUP(L902,countries, 2,false)</f>
        <v>Italy</v>
      </c>
      <c r="N902" s="7" t="str">
        <f>VLOOKUP(L902,countries, 4,false)</f>
        <v>Europe</v>
      </c>
      <c r="O902" s="7" t="str">
        <f>VLOOKUP(L902,countries, 5,false)</f>
        <v>Southern Europe</v>
      </c>
      <c r="P902" s="7" t="s">
        <v>129</v>
      </c>
      <c r="Q902" s="7">
        <v>4011.0</v>
      </c>
      <c r="R902" s="12">
        <v>109.28</v>
      </c>
      <c r="S902" s="12">
        <v>35.84</v>
      </c>
      <c r="T902" s="13">
        <f t="shared" si="6"/>
        <v>438322.08</v>
      </c>
      <c r="U902" s="13">
        <f t="shared" si="7"/>
        <v>239711.58</v>
      </c>
      <c r="V902" s="13">
        <f t="shared" si="8"/>
        <v>198610.5</v>
      </c>
      <c r="W902" s="14">
        <f>Q902/totals!B$2</f>
        <v>0.0006098966567</v>
      </c>
      <c r="X902" s="14">
        <f t="shared" si="9"/>
        <v>0.6669701198</v>
      </c>
      <c r="Y902" s="14">
        <f>T902/totals!B$5</f>
        <v>0.0002575139574</v>
      </c>
      <c r="Z902" s="14">
        <f t="shared" si="10"/>
        <v>0.6614451192</v>
      </c>
      <c r="AA902" s="14">
        <f>V902/totals!B$4</f>
        <v>0.0003960245461</v>
      </c>
      <c r="AB902" s="14">
        <f t="shared" si="11"/>
        <v>0.6691048124</v>
      </c>
    </row>
    <row r="903">
      <c r="A903" s="7">
        <v>7940.0</v>
      </c>
      <c r="B903" s="7" t="str">
        <f>VLOOKUP($A903,product_category,2, False)</f>
        <v>Household</v>
      </c>
      <c r="C903" s="7">
        <v>6.9022063E8</v>
      </c>
      <c r="D903" s="9">
        <v>42678.0</v>
      </c>
      <c r="E903" s="10">
        <f t="shared" si="1"/>
        <v>11</v>
      </c>
      <c r="F903" s="10" t="str">
        <f t="shared" si="2"/>
        <v>Nov</v>
      </c>
      <c r="G903" s="11">
        <f t="shared" si="3"/>
        <v>4</v>
      </c>
      <c r="H903" s="7">
        <f t="shared" si="4"/>
        <v>2016</v>
      </c>
      <c r="I903" s="9">
        <v>42693.0</v>
      </c>
      <c r="J903" s="11">
        <f t="shared" si="5"/>
        <v>15</v>
      </c>
      <c r="K903" s="7" t="s">
        <v>198</v>
      </c>
      <c r="L903" s="7" t="s">
        <v>534</v>
      </c>
      <c r="M903" s="7" t="str">
        <f>VLOOKUP(L903,countries, 2,false)</f>
        <v>Netherlands</v>
      </c>
      <c r="N903" s="7" t="str">
        <f>VLOOKUP(L903,countries, 4,false)</f>
        <v>Europe</v>
      </c>
      <c r="O903" s="7" t="str">
        <f>VLOOKUP(L903,countries, 5,false)</f>
        <v>Western Europe</v>
      </c>
      <c r="P903" s="7" t="s">
        <v>129</v>
      </c>
      <c r="Q903" s="7">
        <v>477.0</v>
      </c>
      <c r="R903" s="12">
        <v>668.27</v>
      </c>
      <c r="S903" s="12">
        <v>502.54</v>
      </c>
      <c r="T903" s="13">
        <f t="shared" si="6"/>
        <v>318764.79</v>
      </c>
      <c r="U903" s="13">
        <f t="shared" si="7"/>
        <v>421642.41</v>
      </c>
      <c r="V903" s="13">
        <f t="shared" si="8"/>
        <v>-102877.62</v>
      </c>
      <c r="W903" s="14">
        <f>Q903/totals!B$2</f>
        <v>0.00007253071683</v>
      </c>
      <c r="X903" s="14">
        <f t="shared" si="9"/>
        <v>0.6670426505</v>
      </c>
      <c r="Y903" s="14">
        <f>T903/totals!B$5</f>
        <v>0.0001872741217</v>
      </c>
      <c r="Z903" s="14">
        <f t="shared" si="10"/>
        <v>0.6616323933</v>
      </c>
      <c r="AA903" s="14">
        <f>V903/totals!B$4</f>
        <v>-0.0002051354926</v>
      </c>
      <c r="AB903" s="14">
        <f t="shared" si="11"/>
        <v>0.6688996769</v>
      </c>
    </row>
    <row r="904">
      <c r="A904" s="7">
        <v>5988.0</v>
      </c>
      <c r="B904" s="7" t="str">
        <f>VLOOKUP($A904,product_category,2, False)</f>
        <v>Vegetables</v>
      </c>
      <c r="C904" s="7">
        <v>6.91383635E8</v>
      </c>
      <c r="D904" s="9">
        <v>41315.0</v>
      </c>
      <c r="E904" s="10">
        <f t="shared" si="1"/>
        <v>2</v>
      </c>
      <c r="F904" s="10" t="str">
        <f t="shared" si="2"/>
        <v>Feb</v>
      </c>
      <c r="G904" s="11">
        <f t="shared" si="3"/>
        <v>10</v>
      </c>
      <c r="H904" s="7">
        <f t="shared" si="4"/>
        <v>2013</v>
      </c>
      <c r="I904" s="9">
        <v>41352.0</v>
      </c>
      <c r="J904" s="11">
        <f t="shared" si="5"/>
        <v>37</v>
      </c>
      <c r="K904" s="7" t="s">
        <v>110</v>
      </c>
      <c r="L904" s="7" t="s">
        <v>670</v>
      </c>
      <c r="M904" s="7" t="str">
        <f>VLOOKUP(L904,countries, 2,false)</f>
        <v>Slovenia</v>
      </c>
      <c r="N904" s="7" t="str">
        <f>VLOOKUP(L904,countries, 4,false)</f>
        <v>Europe</v>
      </c>
      <c r="O904" s="7" t="str">
        <f>VLOOKUP(L904,countries, 5,false)</f>
        <v>Southern Europe</v>
      </c>
      <c r="P904" s="7" t="s">
        <v>212</v>
      </c>
      <c r="Q904" s="7">
        <v>4637.0</v>
      </c>
      <c r="R904" s="12">
        <v>154.06</v>
      </c>
      <c r="S904" s="12">
        <v>90.93</v>
      </c>
      <c r="T904" s="13">
        <f t="shared" si="6"/>
        <v>714376.22</v>
      </c>
      <c r="U904" s="13">
        <f t="shared" si="7"/>
        <v>224573.44</v>
      </c>
      <c r="V904" s="13">
        <f t="shared" si="8"/>
        <v>489802.78</v>
      </c>
      <c r="W904" s="14">
        <f>Q904/totals!B$2</f>
        <v>0.000705083719</v>
      </c>
      <c r="X904" s="14">
        <f t="shared" si="9"/>
        <v>0.6677477342</v>
      </c>
      <c r="Y904" s="14">
        <f>T904/totals!B$5</f>
        <v>0.0004196955981</v>
      </c>
      <c r="Z904" s="14">
        <f t="shared" si="10"/>
        <v>0.6620520889</v>
      </c>
      <c r="AA904" s="14">
        <f>V904/totals!B$4</f>
        <v>0.0009766549282</v>
      </c>
      <c r="AB904" s="14">
        <f t="shared" si="11"/>
        <v>0.6698763319</v>
      </c>
    </row>
    <row r="905">
      <c r="A905" s="7">
        <v>2455.0</v>
      </c>
      <c r="B905" s="7" t="str">
        <f>VLOOKUP($A905,product_category,2, False)</f>
        <v>Clothes</v>
      </c>
      <c r="C905" s="7">
        <v>6.91760861E8</v>
      </c>
      <c r="D905" s="9">
        <v>42731.0</v>
      </c>
      <c r="E905" s="10">
        <f t="shared" si="1"/>
        <v>12</v>
      </c>
      <c r="F905" s="10" t="str">
        <f t="shared" si="2"/>
        <v>Dec</v>
      </c>
      <c r="G905" s="11">
        <f t="shared" si="3"/>
        <v>27</v>
      </c>
      <c r="H905" s="7">
        <f t="shared" si="4"/>
        <v>2016</v>
      </c>
      <c r="I905" s="9">
        <v>42763.0</v>
      </c>
      <c r="J905" s="11">
        <f t="shared" si="5"/>
        <v>32</v>
      </c>
      <c r="K905" s="7" t="s">
        <v>198</v>
      </c>
      <c r="L905" s="7" t="s">
        <v>107</v>
      </c>
      <c r="M905" s="7" t="str">
        <f>VLOOKUP(L905,countries, 2,false)</f>
        <v>Belarus</v>
      </c>
      <c r="N905" s="7" t="str">
        <f>VLOOKUP(L905,countries, 4,false)</f>
        <v>Europe</v>
      </c>
      <c r="O905" s="7" t="str">
        <f>VLOOKUP(L905,countries, 5,false)</f>
        <v>Eastern Europe</v>
      </c>
      <c r="P905" s="7" t="s">
        <v>212</v>
      </c>
      <c r="Q905" s="7">
        <v>6266.0</v>
      </c>
      <c r="R905" s="12">
        <v>109.28</v>
      </c>
      <c r="S905" s="12">
        <v>35.84</v>
      </c>
      <c r="T905" s="13">
        <f t="shared" si="6"/>
        <v>684748.48</v>
      </c>
      <c r="U905" s="13">
        <f t="shared" si="7"/>
        <v>487225.84</v>
      </c>
      <c r="V905" s="13">
        <f t="shared" si="8"/>
        <v>197522.64</v>
      </c>
      <c r="W905" s="14">
        <f>Q905/totals!B$2</f>
        <v>0.0009527829595</v>
      </c>
      <c r="X905" s="14">
        <f t="shared" si="9"/>
        <v>0.6687005172</v>
      </c>
      <c r="Y905" s="14">
        <f>T905/totals!B$5</f>
        <v>0.0004022893187</v>
      </c>
      <c r="Z905" s="14">
        <f t="shared" si="10"/>
        <v>0.6624543782</v>
      </c>
      <c r="AA905" s="14">
        <f>V905/totals!B$4</f>
        <v>0.0003938553795</v>
      </c>
      <c r="AB905" s="14">
        <f t="shared" si="11"/>
        <v>0.6702701872</v>
      </c>
    </row>
    <row r="906">
      <c r="A906" s="7">
        <v>8875.0</v>
      </c>
      <c r="B906" s="7" t="str">
        <f>VLOOKUP($A906,product_category,2, False)</f>
        <v>Meat</v>
      </c>
      <c r="C906" s="7">
        <v>6.92555224E8</v>
      </c>
      <c r="D906" s="9">
        <v>42013.0</v>
      </c>
      <c r="E906" s="10">
        <f t="shared" si="1"/>
        <v>1</v>
      </c>
      <c r="F906" s="10" t="str">
        <f t="shared" si="2"/>
        <v>Jan</v>
      </c>
      <c r="G906" s="11">
        <f t="shared" si="3"/>
        <v>9</v>
      </c>
      <c r="H906" s="7">
        <f t="shared" si="4"/>
        <v>2015</v>
      </c>
      <c r="I906" s="9">
        <v>42036.0</v>
      </c>
      <c r="J906" s="11">
        <f t="shared" si="5"/>
        <v>23</v>
      </c>
      <c r="K906" s="7" t="s">
        <v>110</v>
      </c>
      <c r="L906" s="7" t="s">
        <v>234</v>
      </c>
      <c r="M906" s="7" t="str">
        <f>VLOOKUP(L906,countries, 2,false)</f>
        <v>Czech Republic</v>
      </c>
      <c r="N906" s="7" t="str">
        <f>VLOOKUP(L906,countries, 4,false)</f>
        <v>Europe</v>
      </c>
      <c r="O906" s="7" t="str">
        <f>VLOOKUP(L906,countries, 5,false)</f>
        <v>Eastern Europe</v>
      </c>
      <c r="P906" s="7" t="s">
        <v>129</v>
      </c>
      <c r="Q906" s="7">
        <v>1336.0</v>
      </c>
      <c r="R906" s="12">
        <v>421.89</v>
      </c>
      <c r="S906" s="12">
        <v>364.69</v>
      </c>
      <c r="T906" s="13">
        <f t="shared" si="6"/>
        <v>563645.04</v>
      </c>
      <c r="U906" s="13">
        <f t="shared" si="7"/>
        <v>2842868.78</v>
      </c>
      <c r="V906" s="13">
        <f t="shared" si="8"/>
        <v>-2279223.74</v>
      </c>
      <c r="W906" s="14">
        <f>Q906/totals!B$2</f>
        <v>0.0002031468295</v>
      </c>
      <c r="X906" s="14">
        <f t="shared" si="9"/>
        <v>0.668903664</v>
      </c>
      <c r="Y906" s="14">
        <f>T906/totals!B$5</f>
        <v>0.0003311411208</v>
      </c>
      <c r="Z906" s="14">
        <f t="shared" si="10"/>
        <v>0.6627855193</v>
      </c>
      <c r="AA906" s="14">
        <f>V906/totals!B$4</f>
        <v>-0.004544717158</v>
      </c>
      <c r="AB906" s="14">
        <f t="shared" si="11"/>
        <v>0.6657254701</v>
      </c>
    </row>
    <row r="907">
      <c r="A907" s="7">
        <v>7940.0</v>
      </c>
      <c r="B907" s="7" t="str">
        <f>VLOOKUP($A907,product_category,2, False)</f>
        <v>Household</v>
      </c>
      <c r="C907" s="7">
        <v>6.92704999E8</v>
      </c>
      <c r="D907" s="9">
        <v>42727.0</v>
      </c>
      <c r="E907" s="10">
        <f t="shared" si="1"/>
        <v>12</v>
      </c>
      <c r="F907" s="10" t="str">
        <f t="shared" si="2"/>
        <v>Dec</v>
      </c>
      <c r="G907" s="11">
        <f t="shared" si="3"/>
        <v>23</v>
      </c>
      <c r="H907" s="7">
        <f t="shared" si="4"/>
        <v>2016</v>
      </c>
      <c r="I907" s="9">
        <v>42759.0</v>
      </c>
      <c r="J907" s="11">
        <f t="shared" si="5"/>
        <v>32</v>
      </c>
      <c r="K907" s="7" t="s">
        <v>198</v>
      </c>
      <c r="L907" s="7" t="s">
        <v>392</v>
      </c>
      <c r="M907" s="7" t="str">
        <f>VLOOKUP(L907,countries, 2,false)</f>
        <v>Italy</v>
      </c>
      <c r="N907" s="7" t="str">
        <f>VLOOKUP(L907,countries, 4,false)</f>
        <v>Europe</v>
      </c>
      <c r="O907" s="7" t="str">
        <f>VLOOKUP(L907,countries, 5,false)</f>
        <v>Southern Europe</v>
      </c>
      <c r="P907" s="7" t="s">
        <v>129</v>
      </c>
      <c r="Q907" s="7">
        <v>5657.0</v>
      </c>
      <c r="R907" s="12">
        <v>668.27</v>
      </c>
      <c r="S907" s="12">
        <v>502.54</v>
      </c>
      <c r="T907" s="13">
        <f t="shared" si="6"/>
        <v>3780403.39</v>
      </c>
      <c r="U907" s="13">
        <f t="shared" si="7"/>
        <v>419758.19</v>
      </c>
      <c r="V907" s="13">
        <f t="shared" si="8"/>
        <v>3360645.2</v>
      </c>
      <c r="W907" s="14">
        <f>Q907/totals!B$2</f>
        <v>0.0008601808493</v>
      </c>
      <c r="X907" s="14">
        <f t="shared" si="9"/>
        <v>0.6697638449</v>
      </c>
      <c r="Y907" s="14">
        <f>T907/totals!B$5</f>
        <v>0.00222098471</v>
      </c>
      <c r="Z907" s="14">
        <f t="shared" si="10"/>
        <v>0.665006504</v>
      </c>
      <c r="AA907" s="14">
        <f>V907/totals!B$4</f>
        <v>0.006701045463</v>
      </c>
      <c r="AB907" s="14">
        <f t="shared" si="11"/>
        <v>0.6724265155</v>
      </c>
    </row>
    <row r="908">
      <c r="A908" s="7">
        <v>8875.0</v>
      </c>
      <c r="B908" s="7" t="str">
        <f>VLOOKUP($A908,product_category,2, False)</f>
        <v>Meat</v>
      </c>
      <c r="C908" s="7">
        <v>6.92757356E8</v>
      </c>
      <c r="D908" s="9">
        <v>42857.0</v>
      </c>
      <c r="E908" s="10">
        <f t="shared" si="1"/>
        <v>5</v>
      </c>
      <c r="F908" s="10" t="str">
        <f t="shared" si="2"/>
        <v>May</v>
      </c>
      <c r="G908" s="11">
        <f t="shared" si="3"/>
        <v>2</v>
      </c>
      <c r="H908" s="7">
        <f t="shared" si="4"/>
        <v>2017</v>
      </c>
      <c r="I908" s="9">
        <v>42867.0</v>
      </c>
      <c r="J908" s="11">
        <f t="shared" si="5"/>
        <v>10</v>
      </c>
      <c r="K908" s="7" t="s">
        <v>382</v>
      </c>
      <c r="L908" s="7" t="s">
        <v>307</v>
      </c>
      <c r="M908" s="7" t="str">
        <f>VLOOKUP(L908,countries, 2,false)</f>
        <v>Germany</v>
      </c>
      <c r="N908" s="7" t="str">
        <f>VLOOKUP(L908,countries, 4,false)</f>
        <v>Europe</v>
      </c>
      <c r="O908" s="7" t="str">
        <f>VLOOKUP(L908,countries, 5,false)</f>
        <v>Western Europe</v>
      </c>
      <c r="P908" s="7" t="s">
        <v>212</v>
      </c>
      <c r="Q908" s="7">
        <v>1151.0</v>
      </c>
      <c r="R908" s="12">
        <v>421.89</v>
      </c>
      <c r="S908" s="12">
        <v>364.69</v>
      </c>
      <c r="T908" s="13">
        <f t="shared" si="6"/>
        <v>485595.39</v>
      </c>
      <c r="U908" s="13">
        <f t="shared" si="7"/>
        <v>2319147.31</v>
      </c>
      <c r="V908" s="13">
        <f t="shared" si="8"/>
        <v>-1833551.92</v>
      </c>
      <c r="W908" s="14">
        <f>Q908/totals!B$2</f>
        <v>0.0001750164677</v>
      </c>
      <c r="X908" s="14">
        <f t="shared" si="9"/>
        <v>0.6699388613</v>
      </c>
      <c r="Y908" s="14">
        <f>T908/totals!B$5</f>
        <v>0.0002852869985</v>
      </c>
      <c r="Z908" s="14">
        <f t="shared" si="10"/>
        <v>0.665291791</v>
      </c>
      <c r="AA908" s="14">
        <f>V908/totals!B$4</f>
        <v>-0.003656058299</v>
      </c>
      <c r="AB908" s="14">
        <f t="shared" si="11"/>
        <v>0.6687704572</v>
      </c>
    </row>
    <row r="909">
      <c r="A909" s="7">
        <v>8293.0</v>
      </c>
      <c r="B909" s="7" t="str">
        <f>VLOOKUP($A909,product_category,2, False)</f>
        <v>Cosmetics</v>
      </c>
      <c r="C909" s="7">
        <v>6.92952191E8</v>
      </c>
      <c r="D909" s="9">
        <v>41257.0</v>
      </c>
      <c r="E909" s="10">
        <f t="shared" si="1"/>
        <v>12</v>
      </c>
      <c r="F909" s="10" t="str">
        <f t="shared" si="2"/>
        <v>Dec</v>
      </c>
      <c r="G909" s="11">
        <f t="shared" si="3"/>
        <v>14</v>
      </c>
      <c r="H909" s="7">
        <f t="shared" si="4"/>
        <v>2012</v>
      </c>
      <c r="I909" s="9">
        <v>41278.0</v>
      </c>
      <c r="J909" s="11">
        <f t="shared" si="5"/>
        <v>21</v>
      </c>
      <c r="K909" s="7" t="s">
        <v>110</v>
      </c>
      <c r="L909" s="7" t="s">
        <v>762</v>
      </c>
      <c r="M909" s="7" t="str">
        <f>VLOOKUP(L909,countries, 2,false)</f>
        <v>United Kingdom</v>
      </c>
      <c r="N909" s="7" t="str">
        <f>VLOOKUP(L909,countries, 4,false)</f>
        <v>Europe</v>
      </c>
      <c r="O909" s="7" t="str">
        <f>VLOOKUP(L909,countries, 5,false)</f>
        <v>Northern Europe</v>
      </c>
      <c r="P909" s="7" t="s">
        <v>129</v>
      </c>
      <c r="Q909" s="7">
        <v>8807.0</v>
      </c>
      <c r="R909" s="12">
        <v>437.2</v>
      </c>
      <c r="S909" s="12">
        <v>263.33</v>
      </c>
      <c r="T909" s="13">
        <f t="shared" si="6"/>
        <v>3850420.4</v>
      </c>
      <c r="U909" s="13">
        <f t="shared" si="7"/>
        <v>1917904.71</v>
      </c>
      <c r="V909" s="13">
        <f t="shared" si="8"/>
        <v>1932515.69</v>
      </c>
      <c r="W909" s="14">
        <f>Q909/totals!B$2</f>
        <v>0.001339157281</v>
      </c>
      <c r="X909" s="14">
        <f t="shared" si="9"/>
        <v>0.6712780186</v>
      </c>
      <c r="Y909" s="14">
        <f>T909/totals!B$5</f>
        <v>0.002262119661</v>
      </c>
      <c r="Z909" s="14">
        <f t="shared" si="10"/>
        <v>0.6675539107</v>
      </c>
      <c r="AA909" s="14">
        <f>V909/totals!B$4</f>
        <v>0.003853389669</v>
      </c>
      <c r="AB909" s="14">
        <f t="shared" si="11"/>
        <v>0.6726238469</v>
      </c>
    </row>
    <row r="910">
      <c r="A910" s="7">
        <v>8875.0</v>
      </c>
      <c r="B910" s="7" t="str">
        <f>VLOOKUP($A910,product_category,2, False)</f>
        <v>Meat</v>
      </c>
      <c r="C910" s="7">
        <v>6.93210542E8</v>
      </c>
      <c r="D910" s="9">
        <v>41085.0</v>
      </c>
      <c r="E910" s="10">
        <f t="shared" si="1"/>
        <v>6</v>
      </c>
      <c r="F910" s="10" t="str">
        <f t="shared" si="2"/>
        <v>Jun</v>
      </c>
      <c r="G910" s="11">
        <f t="shared" si="3"/>
        <v>25</v>
      </c>
      <c r="H910" s="7">
        <f t="shared" si="4"/>
        <v>2012</v>
      </c>
      <c r="I910" s="9">
        <v>41134.0</v>
      </c>
      <c r="J910" s="11">
        <f t="shared" si="5"/>
        <v>49</v>
      </c>
      <c r="K910" s="7" t="s">
        <v>322</v>
      </c>
      <c r="L910" s="7" t="s">
        <v>77</v>
      </c>
      <c r="M910" s="7" t="str">
        <f>VLOOKUP(L910,countries, 2,false)</f>
        <v>Armenia</v>
      </c>
      <c r="N910" s="7" t="str">
        <f>VLOOKUP(L910,countries, 4,false)</f>
        <v>Asia</v>
      </c>
      <c r="O910" s="7" t="str">
        <f>VLOOKUP(L910,countries, 5,false)</f>
        <v>Western Asia</v>
      </c>
      <c r="P910" s="7" t="s">
        <v>129</v>
      </c>
      <c r="Q910" s="7">
        <v>5259.0</v>
      </c>
      <c r="R910" s="12">
        <v>421.89</v>
      </c>
      <c r="S910" s="12">
        <v>364.69</v>
      </c>
      <c r="T910" s="13">
        <f t="shared" si="6"/>
        <v>2218719.51</v>
      </c>
      <c r="U910" s="13">
        <f t="shared" si="7"/>
        <v>2095144.05</v>
      </c>
      <c r="V910" s="13">
        <f t="shared" si="8"/>
        <v>123575.46</v>
      </c>
      <c r="W910" s="14">
        <f>Q910/totals!B$2</f>
        <v>0.0007996625573</v>
      </c>
      <c r="X910" s="14">
        <f t="shared" si="9"/>
        <v>0.6720776812</v>
      </c>
      <c r="Y910" s="14">
        <f>T910/totals!B$5</f>
        <v>0.001303496373</v>
      </c>
      <c r="Z910" s="14">
        <f t="shared" si="10"/>
        <v>0.6688574071</v>
      </c>
      <c r="AA910" s="14">
        <f>V910/totals!B$4</f>
        <v>0.0002464064863</v>
      </c>
      <c r="AB910" s="14">
        <f t="shared" si="11"/>
        <v>0.6728702534</v>
      </c>
    </row>
    <row r="911">
      <c r="A911" s="7">
        <v>8875.0</v>
      </c>
      <c r="B911" s="7" t="str">
        <f>VLOOKUP($A911,product_category,2, False)</f>
        <v>Meat</v>
      </c>
      <c r="C911" s="7">
        <v>6.93583905E8</v>
      </c>
      <c r="D911" s="9">
        <v>40882.0</v>
      </c>
      <c r="E911" s="10">
        <f t="shared" si="1"/>
        <v>12</v>
      </c>
      <c r="F911" s="10" t="str">
        <f t="shared" si="2"/>
        <v>Dec</v>
      </c>
      <c r="G911" s="11">
        <f t="shared" si="3"/>
        <v>5</v>
      </c>
      <c r="H911" s="7">
        <f t="shared" si="4"/>
        <v>2011</v>
      </c>
      <c r="I911" s="9">
        <v>40914.0</v>
      </c>
      <c r="J911" s="11">
        <f t="shared" si="5"/>
        <v>32</v>
      </c>
      <c r="K911" s="7" t="s">
        <v>110</v>
      </c>
      <c r="L911" s="7" t="s">
        <v>234</v>
      </c>
      <c r="M911" s="7" t="str">
        <f>VLOOKUP(L911,countries, 2,false)</f>
        <v>Czech Republic</v>
      </c>
      <c r="N911" s="7" t="str">
        <f>VLOOKUP(L911,countries, 4,false)</f>
        <v>Europe</v>
      </c>
      <c r="O911" s="7" t="str">
        <f>VLOOKUP(L911,countries, 5,false)</f>
        <v>Eastern Europe</v>
      </c>
      <c r="P911" s="7" t="s">
        <v>212</v>
      </c>
      <c r="Q911" s="7">
        <v>5745.0</v>
      </c>
      <c r="R911" s="12">
        <v>421.89</v>
      </c>
      <c r="S911" s="12">
        <v>364.69</v>
      </c>
      <c r="T911" s="13">
        <f t="shared" si="6"/>
        <v>2423758.05</v>
      </c>
      <c r="U911" s="13">
        <f t="shared" si="7"/>
        <v>1418040.9</v>
      </c>
      <c r="V911" s="13">
        <f t="shared" si="8"/>
        <v>1005717.15</v>
      </c>
      <c r="W911" s="14">
        <f>Q911/totals!B$2</f>
        <v>0.0008735617782</v>
      </c>
      <c r="X911" s="14">
        <f t="shared" si="9"/>
        <v>0.6729512429</v>
      </c>
      <c r="Y911" s="14">
        <f>T911/totals!B$5</f>
        <v>0.001423956392</v>
      </c>
      <c r="Z911" s="14">
        <f t="shared" si="10"/>
        <v>0.6702813635</v>
      </c>
      <c r="AA911" s="14">
        <f>V911/totals!B$4</f>
        <v>0.002005375737</v>
      </c>
      <c r="AB911" s="14">
        <f t="shared" si="11"/>
        <v>0.6748756291</v>
      </c>
    </row>
    <row r="912">
      <c r="A912" s="7">
        <v>7331.0</v>
      </c>
      <c r="B912" s="7" t="str">
        <f>VLOOKUP($A912,product_category,2, False)</f>
        <v>Baby Food</v>
      </c>
      <c r="C912" s="7">
        <v>6.93831098E8</v>
      </c>
      <c r="D912" s="9">
        <v>42178.0</v>
      </c>
      <c r="E912" s="10">
        <f t="shared" si="1"/>
        <v>6</v>
      </c>
      <c r="F912" s="10" t="str">
        <f t="shared" si="2"/>
        <v>Jun</v>
      </c>
      <c r="G912" s="11">
        <f t="shared" si="3"/>
        <v>23</v>
      </c>
      <c r="H912" s="7">
        <f t="shared" si="4"/>
        <v>2015</v>
      </c>
      <c r="I912" s="9">
        <v>42199.0</v>
      </c>
      <c r="J912" s="11">
        <f t="shared" si="5"/>
        <v>21</v>
      </c>
      <c r="K912" s="7" t="s">
        <v>382</v>
      </c>
      <c r="L912" s="7" t="s">
        <v>609</v>
      </c>
      <c r="M912" s="7" t="str">
        <f>VLOOKUP(L912,countries, 2,false)</f>
        <v>Romania</v>
      </c>
      <c r="N912" s="7" t="str">
        <f>VLOOKUP(L912,countries, 4,false)</f>
        <v>Europe</v>
      </c>
      <c r="O912" s="7" t="str">
        <f>VLOOKUP(L912,countries, 5,false)</f>
        <v>Eastern Europe</v>
      </c>
      <c r="P912" s="7" t="s">
        <v>212</v>
      </c>
      <c r="Q912" s="7">
        <v>8895.0</v>
      </c>
      <c r="R912" s="12">
        <v>255.28</v>
      </c>
      <c r="S912" s="12">
        <v>159.42</v>
      </c>
      <c r="T912" s="13">
        <f t="shared" si="6"/>
        <v>2270715.6</v>
      </c>
      <c r="U912" s="13">
        <f t="shared" si="7"/>
        <v>1158983.4</v>
      </c>
      <c r="V912" s="13">
        <f t="shared" si="8"/>
        <v>1111732.2</v>
      </c>
      <c r="W912" s="14">
        <f>Q912/totals!B$2</f>
        <v>0.00135253821</v>
      </c>
      <c r="X912" s="14">
        <f t="shared" si="9"/>
        <v>0.6743037811</v>
      </c>
      <c r="Y912" s="14">
        <f>T912/totals!B$5</f>
        <v>0.001334044045</v>
      </c>
      <c r="Z912" s="14">
        <f t="shared" si="10"/>
        <v>0.6716154075</v>
      </c>
      <c r="AA912" s="14">
        <f>V912/totals!B$4</f>
        <v>0.002216767189</v>
      </c>
      <c r="AB912" s="14">
        <f t="shared" si="11"/>
        <v>0.6770923963</v>
      </c>
    </row>
    <row r="913">
      <c r="A913" s="7">
        <v>7331.0</v>
      </c>
      <c r="B913" s="7" t="str">
        <f>VLOOKUP($A913,product_category,2, False)</f>
        <v>Baby Food</v>
      </c>
      <c r="C913" s="7">
        <v>6.94771802E8</v>
      </c>
      <c r="D913" s="9">
        <v>41349.0</v>
      </c>
      <c r="E913" s="10">
        <f t="shared" si="1"/>
        <v>3</v>
      </c>
      <c r="F913" s="10" t="str">
        <f t="shared" si="2"/>
        <v>Mar</v>
      </c>
      <c r="G913" s="11">
        <f t="shared" si="3"/>
        <v>16</v>
      </c>
      <c r="H913" s="7">
        <f t="shared" si="4"/>
        <v>2013</v>
      </c>
      <c r="I913" s="9">
        <v>41354.0</v>
      </c>
      <c r="J913" s="11">
        <f t="shared" si="5"/>
        <v>5</v>
      </c>
      <c r="K913" s="7" t="s">
        <v>382</v>
      </c>
      <c r="L913" s="7" t="s">
        <v>534</v>
      </c>
      <c r="M913" s="7" t="str">
        <f>VLOOKUP(L913,countries, 2,false)</f>
        <v>Netherlands</v>
      </c>
      <c r="N913" s="7" t="str">
        <f>VLOOKUP(L913,countries, 4,false)</f>
        <v>Europe</v>
      </c>
      <c r="O913" s="7" t="str">
        <f>VLOOKUP(L913,countries, 5,false)</f>
        <v>Western Europe</v>
      </c>
      <c r="P913" s="7" t="s">
        <v>212</v>
      </c>
      <c r="Q913" s="7">
        <v>7270.0</v>
      </c>
      <c r="R913" s="12">
        <v>255.28</v>
      </c>
      <c r="S913" s="12">
        <v>159.42</v>
      </c>
      <c r="T913" s="13">
        <f t="shared" si="6"/>
        <v>1855885.6</v>
      </c>
      <c r="U913" s="13">
        <f t="shared" si="7"/>
        <v>2517434.8</v>
      </c>
      <c r="V913" s="13">
        <f t="shared" si="8"/>
        <v>-661549.2</v>
      </c>
      <c r="W913" s="14">
        <f>Q913/totals!B$2</f>
        <v>0.001105447194</v>
      </c>
      <c r="X913" s="14">
        <f t="shared" si="9"/>
        <v>0.6754092283</v>
      </c>
      <c r="Y913" s="14">
        <f>T913/totals!B$5</f>
        <v>0.00109033167</v>
      </c>
      <c r="Z913" s="14">
        <f t="shared" si="10"/>
        <v>0.6727057392</v>
      </c>
      <c r="AA913" s="14">
        <f>V913/totals!B$4</f>
        <v>-0.001319113147</v>
      </c>
      <c r="AB913" s="14">
        <f t="shared" si="11"/>
        <v>0.6757732832</v>
      </c>
    </row>
    <row r="914">
      <c r="A914" s="7">
        <v>8293.0</v>
      </c>
      <c r="B914" s="7" t="str">
        <f>VLOOKUP($A914,product_category,2, False)</f>
        <v>Cosmetics</v>
      </c>
      <c r="C914" s="7">
        <v>6.9491471E8</v>
      </c>
      <c r="D914" s="9">
        <v>40413.0</v>
      </c>
      <c r="E914" s="10">
        <f t="shared" si="1"/>
        <v>8</v>
      </c>
      <c r="F914" s="10" t="str">
        <f t="shared" si="2"/>
        <v>Aug</v>
      </c>
      <c r="G914" s="11">
        <f t="shared" si="3"/>
        <v>23</v>
      </c>
      <c r="H914" s="7">
        <f t="shared" si="4"/>
        <v>2010</v>
      </c>
      <c r="I914" s="9">
        <v>40446.0</v>
      </c>
      <c r="J914" s="11">
        <f t="shared" si="5"/>
        <v>33</v>
      </c>
      <c r="K914" s="7" t="s">
        <v>198</v>
      </c>
      <c r="L914" s="7" t="s">
        <v>28</v>
      </c>
      <c r="M914" s="7" t="str">
        <f>VLOOKUP(L914,countries, 2,false)</f>
        <v>Albania</v>
      </c>
      <c r="N914" s="7" t="str">
        <f>VLOOKUP(L914,countries, 4,false)</f>
        <v>Europe</v>
      </c>
      <c r="O914" s="7" t="str">
        <f>VLOOKUP(L914,countries, 5,false)</f>
        <v>Southern Europe</v>
      </c>
      <c r="P914" s="7" t="s">
        <v>212</v>
      </c>
      <c r="Q914" s="7">
        <v>9560.0</v>
      </c>
      <c r="R914" s="12">
        <v>437.2</v>
      </c>
      <c r="S914" s="12">
        <v>263.33</v>
      </c>
      <c r="T914" s="13">
        <f t="shared" si="6"/>
        <v>4179632</v>
      </c>
      <c r="U914" s="13">
        <f t="shared" si="7"/>
        <v>654375.05</v>
      </c>
      <c r="V914" s="13">
        <f t="shared" si="8"/>
        <v>3525256.95</v>
      </c>
      <c r="W914" s="14">
        <f>Q914/totals!B$2</f>
        <v>0.001453655457</v>
      </c>
      <c r="X914" s="14">
        <f t="shared" si="9"/>
        <v>0.6768628838</v>
      </c>
      <c r="Y914" s="14">
        <f>T914/totals!B$5</f>
        <v>0.002455531277</v>
      </c>
      <c r="Z914" s="14">
        <f t="shared" si="10"/>
        <v>0.6751612705</v>
      </c>
      <c r="AA914" s="14">
        <f>V914/totals!B$4</f>
        <v>0.007029277321</v>
      </c>
      <c r="AB914" s="14">
        <f t="shared" si="11"/>
        <v>0.6828025605</v>
      </c>
    </row>
    <row r="915">
      <c r="A915" s="7">
        <v>8293.0</v>
      </c>
      <c r="B915" s="7" t="str">
        <f>VLOOKUP($A915,product_category,2, False)</f>
        <v>Cosmetics</v>
      </c>
      <c r="C915" s="7">
        <v>6.95059764E8</v>
      </c>
      <c r="D915" s="9">
        <v>40684.0</v>
      </c>
      <c r="E915" s="10">
        <f t="shared" si="1"/>
        <v>5</v>
      </c>
      <c r="F915" s="10" t="str">
        <f t="shared" si="2"/>
        <v>May</v>
      </c>
      <c r="G915" s="11">
        <f t="shared" si="3"/>
        <v>21</v>
      </c>
      <c r="H915" s="7">
        <f t="shared" si="4"/>
        <v>2011</v>
      </c>
      <c r="I915" s="9">
        <v>40723.0</v>
      </c>
      <c r="J915" s="11">
        <f t="shared" si="5"/>
        <v>39</v>
      </c>
      <c r="K915" s="7" t="s">
        <v>198</v>
      </c>
      <c r="L915" s="7" t="s">
        <v>113</v>
      </c>
      <c r="M915" s="7" t="str">
        <f>VLOOKUP(L915,countries, 2,false)</f>
        <v>Belgium</v>
      </c>
      <c r="N915" s="7" t="str">
        <f>VLOOKUP(L915,countries, 4,false)</f>
        <v>Europe</v>
      </c>
      <c r="O915" s="7" t="str">
        <f>VLOOKUP(L915,countries, 5,false)</f>
        <v>Western Europe</v>
      </c>
      <c r="P915" s="7" t="s">
        <v>212</v>
      </c>
      <c r="Q915" s="7">
        <v>2485.0</v>
      </c>
      <c r="R915" s="12">
        <v>437.2</v>
      </c>
      <c r="S915" s="12">
        <v>263.33</v>
      </c>
      <c r="T915" s="13">
        <f t="shared" si="6"/>
        <v>1086442</v>
      </c>
      <c r="U915" s="13">
        <f t="shared" si="7"/>
        <v>1086546.58</v>
      </c>
      <c r="V915" s="13">
        <f t="shared" si="8"/>
        <v>-104.58</v>
      </c>
      <c r="W915" s="14">
        <f>Q915/totals!B$2</f>
        <v>0.0003778591852</v>
      </c>
      <c r="X915" s="14">
        <f t="shared" si="9"/>
        <v>0.677240743</v>
      </c>
      <c r="Y915" s="14">
        <f>T915/totals!B$5</f>
        <v>0.0006382840193</v>
      </c>
      <c r="Z915" s="14">
        <f t="shared" si="10"/>
        <v>0.6757995545</v>
      </c>
      <c r="AA915" s="14">
        <f>V915/totals!B$4</f>
        <v>-0.0000002085299973</v>
      </c>
      <c r="AB915" s="14">
        <f t="shared" si="11"/>
        <v>0.682802352</v>
      </c>
    </row>
    <row r="916">
      <c r="A916" s="7">
        <v>2103.0</v>
      </c>
      <c r="B916" s="7" t="str">
        <f>VLOOKUP($A916,product_category,2, False)</f>
        <v>Cereal</v>
      </c>
      <c r="C916" s="7">
        <v>6.96197879E8</v>
      </c>
      <c r="D916" s="9">
        <v>40256.0</v>
      </c>
      <c r="E916" s="10">
        <f t="shared" si="1"/>
        <v>3</v>
      </c>
      <c r="F916" s="10" t="str">
        <f t="shared" si="2"/>
        <v>Mar</v>
      </c>
      <c r="G916" s="11">
        <f t="shared" si="3"/>
        <v>19</v>
      </c>
      <c r="H916" s="7">
        <f t="shared" si="4"/>
        <v>2010</v>
      </c>
      <c r="I916" s="9">
        <v>40263.0</v>
      </c>
      <c r="J916" s="11">
        <f t="shared" si="5"/>
        <v>7</v>
      </c>
      <c r="K916" s="7" t="s">
        <v>382</v>
      </c>
      <c r="L916" s="7" t="s">
        <v>56</v>
      </c>
      <c r="M916" s="7" t="str">
        <f>VLOOKUP(L916,countries, 2,false)</f>
        <v>Andorra</v>
      </c>
      <c r="N916" s="7" t="str">
        <f>VLOOKUP(L916,countries, 4,false)</f>
        <v>Europe</v>
      </c>
      <c r="O916" s="7" t="str">
        <f>VLOOKUP(L916,countries, 5,false)</f>
        <v>Southern Europe</v>
      </c>
      <c r="P916" s="7" t="s">
        <v>129</v>
      </c>
      <c r="Q916" s="7">
        <v>9278.0</v>
      </c>
      <c r="R916" s="12">
        <v>205.7</v>
      </c>
      <c r="S916" s="12">
        <v>117.11</v>
      </c>
      <c r="T916" s="13">
        <f t="shared" si="6"/>
        <v>1908484.6</v>
      </c>
      <c r="U916" s="13">
        <f t="shared" si="7"/>
        <v>4863229.44</v>
      </c>
      <c r="V916" s="13">
        <f t="shared" si="8"/>
        <v>-2954744.84</v>
      </c>
      <c r="W916" s="14">
        <f>Q916/totals!B$2</f>
        <v>0.001410775662</v>
      </c>
      <c r="X916" s="14">
        <f t="shared" si="9"/>
        <v>0.6786515186</v>
      </c>
      <c r="Y916" s="14">
        <f>T916/totals!B$5</f>
        <v>0.001121233551</v>
      </c>
      <c r="Z916" s="14">
        <f t="shared" si="10"/>
        <v>0.676920788</v>
      </c>
      <c r="AA916" s="14">
        <f>V916/totals!B$4</f>
        <v>-0.005891689936</v>
      </c>
      <c r="AB916" s="14">
        <f t="shared" si="11"/>
        <v>0.676910662</v>
      </c>
    </row>
    <row r="917">
      <c r="A917" s="7">
        <v>8681.0</v>
      </c>
      <c r="B917" s="7" t="str">
        <f>VLOOKUP($A917,product_category,2, False)</f>
        <v>Office Supplies</v>
      </c>
      <c r="C917" s="7">
        <v>6.96839892E8</v>
      </c>
      <c r="D917" s="9">
        <v>42355.0</v>
      </c>
      <c r="E917" s="10">
        <f t="shared" si="1"/>
        <v>12</v>
      </c>
      <c r="F917" s="10" t="str">
        <f t="shared" si="2"/>
        <v>Dec</v>
      </c>
      <c r="G917" s="11">
        <f t="shared" si="3"/>
        <v>17</v>
      </c>
      <c r="H917" s="7">
        <f t="shared" si="4"/>
        <v>2015</v>
      </c>
      <c r="I917" s="9">
        <v>42371.0</v>
      </c>
      <c r="J917" s="11">
        <f t="shared" si="5"/>
        <v>16</v>
      </c>
      <c r="K917" s="7" t="s">
        <v>198</v>
      </c>
      <c r="L917" s="7" t="s">
        <v>460</v>
      </c>
      <c r="M917" s="7" t="str">
        <f>VLOOKUP(L917,countries, 2,false)</f>
        <v>Macedonia</v>
      </c>
      <c r="N917" s="7" t="str">
        <f>VLOOKUP(L917,countries, 4,false)</f>
        <v>Europe</v>
      </c>
      <c r="O917" s="7" t="str">
        <f>VLOOKUP(L917,countries, 5,false)</f>
        <v>Southern Europe</v>
      </c>
      <c r="P917" s="7" t="s">
        <v>212</v>
      </c>
      <c r="Q917" s="7">
        <v>9264.0</v>
      </c>
      <c r="R917" s="12">
        <v>651.21</v>
      </c>
      <c r="S917" s="12">
        <v>524.96</v>
      </c>
      <c r="T917" s="13">
        <f t="shared" si="6"/>
        <v>6032809.44</v>
      </c>
      <c r="U917" s="13">
        <f t="shared" si="7"/>
        <v>241060.09</v>
      </c>
      <c r="V917" s="13">
        <f t="shared" si="8"/>
        <v>5791749.35</v>
      </c>
      <c r="W917" s="14">
        <f>Q917/totals!B$2</f>
        <v>0.001408646878</v>
      </c>
      <c r="X917" s="14">
        <f t="shared" si="9"/>
        <v>0.6800601655</v>
      </c>
      <c r="Y917" s="14">
        <f>T917/totals!B$5</f>
        <v>0.003544271905</v>
      </c>
      <c r="Z917" s="14">
        <f t="shared" si="10"/>
        <v>0.6804650599</v>
      </c>
      <c r="AA917" s="14">
        <f>V917/totals!B$4</f>
        <v>0.01154860849</v>
      </c>
      <c r="AB917" s="14">
        <f t="shared" si="11"/>
        <v>0.6884592705</v>
      </c>
    </row>
    <row r="918">
      <c r="A918" s="7">
        <v>8875.0</v>
      </c>
      <c r="B918" s="7" t="str">
        <f>VLOOKUP($A918,product_category,2, False)</f>
        <v>Meat</v>
      </c>
      <c r="C918" s="7">
        <v>6.96844613E8</v>
      </c>
      <c r="D918" s="9">
        <v>42797.0</v>
      </c>
      <c r="E918" s="10">
        <f t="shared" si="1"/>
        <v>3</v>
      </c>
      <c r="F918" s="10" t="str">
        <f t="shared" si="2"/>
        <v>Mar</v>
      </c>
      <c r="G918" s="11">
        <f t="shared" si="3"/>
        <v>3</v>
      </c>
      <c r="H918" s="7">
        <f t="shared" si="4"/>
        <v>2017</v>
      </c>
      <c r="I918" s="9">
        <v>42816.0</v>
      </c>
      <c r="J918" s="11">
        <f t="shared" si="5"/>
        <v>19</v>
      </c>
      <c r="K918" s="7" t="s">
        <v>110</v>
      </c>
      <c r="L918" s="7" t="s">
        <v>111</v>
      </c>
      <c r="M918" s="7" t="str">
        <f>VLOOKUP(L918,countries, 2,false)</f>
        <v>Norway</v>
      </c>
      <c r="N918" s="7" t="str">
        <f>VLOOKUP(L918,countries, 4,false)</f>
        <v>Europe</v>
      </c>
      <c r="O918" s="7" t="str">
        <f>VLOOKUP(L918,countries, 5,false)</f>
        <v>Northern Europe</v>
      </c>
      <c r="P918" s="7" t="s">
        <v>129</v>
      </c>
      <c r="Q918" s="7">
        <v>661.0</v>
      </c>
      <c r="R918" s="12">
        <v>421.89</v>
      </c>
      <c r="S918" s="12">
        <v>364.69</v>
      </c>
      <c r="T918" s="13">
        <f t="shared" si="6"/>
        <v>278869.29</v>
      </c>
      <c r="U918" s="13">
        <f t="shared" si="7"/>
        <v>3421156.89</v>
      </c>
      <c r="V918" s="13">
        <f t="shared" si="8"/>
        <v>-3142287.6</v>
      </c>
      <c r="W918" s="14">
        <f>Q918/totals!B$2</f>
        <v>0.0001005090227</v>
      </c>
      <c r="X918" s="14">
        <f t="shared" si="9"/>
        <v>0.6801606745</v>
      </c>
      <c r="Y918" s="14">
        <f>T918/totals!B$5</f>
        <v>0.0001638355396</v>
      </c>
      <c r="Z918" s="14">
        <f t="shared" si="10"/>
        <v>0.6806288955</v>
      </c>
      <c r="AA918" s="14">
        <f>V918/totals!B$4</f>
        <v>-0.006265645676</v>
      </c>
      <c r="AB918" s="14">
        <f t="shared" si="11"/>
        <v>0.6821936248</v>
      </c>
    </row>
    <row r="919">
      <c r="A919" s="7">
        <v>8875.0</v>
      </c>
      <c r="B919" s="7" t="str">
        <f>VLOOKUP($A919,product_category,2, False)</f>
        <v>Meat</v>
      </c>
      <c r="C919" s="7">
        <v>6.97617518E8</v>
      </c>
      <c r="D919" s="9">
        <v>41073.0</v>
      </c>
      <c r="E919" s="10">
        <f t="shared" si="1"/>
        <v>6</v>
      </c>
      <c r="F919" s="10" t="str">
        <f t="shared" si="2"/>
        <v>Jun</v>
      </c>
      <c r="G919" s="11">
        <f t="shared" si="3"/>
        <v>13</v>
      </c>
      <c r="H919" s="7">
        <f t="shared" si="4"/>
        <v>2012</v>
      </c>
      <c r="I919" s="9">
        <v>41097.0</v>
      </c>
      <c r="J919" s="11">
        <f t="shared" si="5"/>
        <v>24</v>
      </c>
      <c r="K919" s="7" t="s">
        <v>110</v>
      </c>
      <c r="L919" s="7" t="e">
        <v>#N/A</v>
      </c>
      <c r="M919" s="7"/>
      <c r="N919" s="7"/>
      <c r="O919" s="7"/>
      <c r="P919" s="7" t="s">
        <v>212</v>
      </c>
      <c r="Q919" s="7">
        <v>9381.0</v>
      </c>
      <c r="R919" s="12">
        <v>421.89</v>
      </c>
      <c r="S919" s="12">
        <v>364.69</v>
      </c>
      <c r="T919" s="13">
        <f t="shared" si="6"/>
        <v>3957750.09</v>
      </c>
      <c r="U919" s="13">
        <f t="shared" si="7"/>
        <v>521119.83</v>
      </c>
      <c r="V919" s="13">
        <f t="shared" si="8"/>
        <v>3436630.26</v>
      </c>
      <c r="W919" s="14">
        <f>Q919/totals!B$2</f>
        <v>0.001426437431</v>
      </c>
      <c r="X919" s="14">
        <f t="shared" si="9"/>
        <v>0.681587112</v>
      </c>
      <c r="Y919" s="14">
        <f>T919/totals!B$5</f>
        <v>0.002325175789</v>
      </c>
      <c r="Z919" s="14">
        <f t="shared" si="10"/>
        <v>0.6829540713</v>
      </c>
      <c r="AA919" s="14">
        <f>V919/totals!B$4</f>
        <v>0.00685255784</v>
      </c>
      <c r="AB919" s="14">
        <f t="shared" si="11"/>
        <v>0.6890461827</v>
      </c>
    </row>
    <row r="920">
      <c r="A920" s="7">
        <v>5988.0</v>
      </c>
      <c r="B920" s="7" t="str">
        <f>VLOOKUP($A920,product_category,2, False)</f>
        <v>Vegetables</v>
      </c>
      <c r="C920" s="7">
        <v>6.97638976E8</v>
      </c>
      <c r="D920" s="9">
        <v>42079.0</v>
      </c>
      <c r="E920" s="10">
        <f t="shared" si="1"/>
        <v>3</v>
      </c>
      <c r="F920" s="10" t="str">
        <f t="shared" si="2"/>
        <v>Mar</v>
      </c>
      <c r="G920" s="11">
        <f t="shared" si="3"/>
        <v>16</v>
      </c>
      <c r="H920" s="7">
        <f t="shared" si="4"/>
        <v>2015</v>
      </c>
      <c r="I920" s="9">
        <v>42089.0</v>
      </c>
      <c r="J920" s="11">
        <f t="shared" si="5"/>
        <v>10</v>
      </c>
      <c r="K920" s="7" t="s">
        <v>322</v>
      </c>
      <c r="L920" s="7" t="s">
        <v>200</v>
      </c>
      <c r="M920" s="7" t="str">
        <f>VLOOKUP(L920,countries, 2,false)</f>
        <v>Serbia</v>
      </c>
      <c r="N920" s="7" t="str">
        <f>VLOOKUP(L920,countries, 4,false)</f>
        <v>Europe</v>
      </c>
      <c r="O920" s="7" t="str">
        <f>VLOOKUP(L920,countries, 5,false)</f>
        <v>Southern Europe</v>
      </c>
      <c r="P920" s="7" t="s">
        <v>212</v>
      </c>
      <c r="Q920" s="7">
        <v>5731.0</v>
      </c>
      <c r="R920" s="12">
        <v>154.06</v>
      </c>
      <c r="S920" s="12">
        <v>90.93</v>
      </c>
      <c r="T920" s="13">
        <f t="shared" si="6"/>
        <v>882917.86</v>
      </c>
      <c r="U920" s="13">
        <f t="shared" si="7"/>
        <v>458014.41</v>
      </c>
      <c r="V920" s="13">
        <f t="shared" si="8"/>
        <v>424903.45</v>
      </c>
      <c r="W920" s="14">
        <f>Q920/totals!B$2</f>
        <v>0.0008714329941</v>
      </c>
      <c r="X920" s="14">
        <f t="shared" si="9"/>
        <v>0.682458545</v>
      </c>
      <c r="Y920" s="14">
        <f>T920/totals!B$5</f>
        <v>0.0005187137099</v>
      </c>
      <c r="Z920" s="14">
        <f t="shared" si="10"/>
        <v>0.683472785</v>
      </c>
      <c r="AA920" s="14">
        <f>V920/totals!B$4</f>
        <v>0.0008472472297</v>
      </c>
      <c r="AB920" s="14">
        <f t="shared" si="11"/>
        <v>0.6898934299</v>
      </c>
    </row>
    <row r="921">
      <c r="A921" s="7">
        <v>5988.0</v>
      </c>
      <c r="B921" s="7" t="str">
        <f>VLOOKUP($A921,product_category,2, False)</f>
        <v>Vegetables</v>
      </c>
      <c r="C921" s="7">
        <v>7.00069701E8</v>
      </c>
      <c r="D921" s="9">
        <v>42379.0</v>
      </c>
      <c r="E921" s="10">
        <f t="shared" si="1"/>
        <v>1</v>
      </c>
      <c r="F921" s="10" t="str">
        <f t="shared" si="2"/>
        <v>Jan</v>
      </c>
      <c r="G921" s="11">
        <f t="shared" si="3"/>
        <v>10</v>
      </c>
      <c r="H921" s="7">
        <f t="shared" si="4"/>
        <v>2016</v>
      </c>
      <c r="I921" s="9">
        <v>42390.0</v>
      </c>
      <c r="J921" s="11">
        <f t="shared" si="5"/>
        <v>11</v>
      </c>
      <c r="K921" s="7" t="s">
        <v>322</v>
      </c>
      <c r="L921" s="7" t="e">
        <v>#N/A</v>
      </c>
      <c r="M921" s="7"/>
      <c r="N921" s="7"/>
      <c r="O921" s="7"/>
      <c r="P921" s="7" t="s">
        <v>212</v>
      </c>
      <c r="Q921" s="7">
        <v>5037.0</v>
      </c>
      <c r="R921" s="12">
        <v>154.06</v>
      </c>
      <c r="S921" s="12">
        <v>90.93</v>
      </c>
      <c r="T921" s="13">
        <f t="shared" si="6"/>
        <v>776000.22</v>
      </c>
      <c r="U921" s="13">
        <f t="shared" si="7"/>
        <v>247987.92</v>
      </c>
      <c r="V921" s="13">
        <f t="shared" si="8"/>
        <v>528012.3</v>
      </c>
      <c r="W921" s="14">
        <f>Q921/totals!B$2</f>
        <v>0.0007659061231</v>
      </c>
      <c r="X921" s="14">
        <f t="shared" si="9"/>
        <v>0.6832244511</v>
      </c>
      <c r="Y921" s="14">
        <f>T921/totals!B$5</f>
        <v>0.0004558996609</v>
      </c>
      <c r="Z921" s="14">
        <f t="shared" si="10"/>
        <v>0.6839286846</v>
      </c>
      <c r="AA921" s="14">
        <f>V921/totals!B$4</f>
        <v>0.001052843789</v>
      </c>
      <c r="AB921" s="14">
        <f t="shared" si="11"/>
        <v>0.6909462737</v>
      </c>
    </row>
    <row r="922">
      <c r="A922" s="7">
        <v>3127.0</v>
      </c>
      <c r="B922" s="7" t="str">
        <f>VLOOKUP($A922,product_category,2, False)</f>
        <v>Personal Care</v>
      </c>
      <c r="C922" s="7">
        <v>7.00304019E8</v>
      </c>
      <c r="D922" s="9">
        <v>41966.0</v>
      </c>
      <c r="E922" s="10">
        <f t="shared" si="1"/>
        <v>11</v>
      </c>
      <c r="F922" s="10" t="str">
        <f t="shared" si="2"/>
        <v>Nov</v>
      </c>
      <c r="G922" s="11">
        <f t="shared" si="3"/>
        <v>23</v>
      </c>
      <c r="H922" s="7">
        <f t="shared" si="4"/>
        <v>2014</v>
      </c>
      <c r="I922" s="9">
        <v>41994.0</v>
      </c>
      <c r="J922" s="11">
        <f t="shared" si="5"/>
        <v>28</v>
      </c>
      <c r="K922" s="7" t="s">
        <v>110</v>
      </c>
      <c r="L922" s="7" t="s">
        <v>670</v>
      </c>
      <c r="M922" s="7" t="str">
        <f>VLOOKUP(L922,countries, 2,false)</f>
        <v>Slovenia</v>
      </c>
      <c r="N922" s="7" t="str">
        <f>VLOOKUP(L922,countries, 4,false)</f>
        <v>Europe</v>
      </c>
      <c r="O922" s="7" t="str">
        <f>VLOOKUP(L922,countries, 5,false)</f>
        <v>Southern Europe</v>
      </c>
      <c r="P922" s="7" t="s">
        <v>212</v>
      </c>
      <c r="Q922" s="7">
        <v>4376.0</v>
      </c>
      <c r="R922" s="12">
        <v>81.73</v>
      </c>
      <c r="S922" s="12">
        <v>56.67</v>
      </c>
      <c r="T922" s="13">
        <f t="shared" si="6"/>
        <v>357650.48</v>
      </c>
      <c r="U922" s="13">
        <f t="shared" si="7"/>
        <v>488835.42</v>
      </c>
      <c r="V922" s="13">
        <f t="shared" si="8"/>
        <v>-131184.94</v>
      </c>
      <c r="W922" s="14">
        <f>Q922/totals!B$2</f>
        <v>0.0006653971004</v>
      </c>
      <c r="X922" s="14">
        <f t="shared" si="9"/>
        <v>0.6838898482</v>
      </c>
      <c r="Y922" s="14">
        <f>T922/totals!B$5</f>
        <v>0.0002101194411</v>
      </c>
      <c r="Z922" s="14">
        <f t="shared" si="10"/>
        <v>0.6841388041</v>
      </c>
      <c r="AA922" s="14">
        <f>V922/totals!B$4</f>
        <v>-0.0002615796059</v>
      </c>
      <c r="AB922" s="14">
        <f t="shared" si="11"/>
        <v>0.6906846941</v>
      </c>
    </row>
    <row r="923">
      <c r="A923" s="7">
        <v>3127.0</v>
      </c>
      <c r="B923" s="7" t="str">
        <f>VLOOKUP($A923,product_category,2, False)</f>
        <v>Personal Care</v>
      </c>
      <c r="C923" s="7">
        <v>7.01298367E8</v>
      </c>
      <c r="D923" s="9">
        <v>40885.0</v>
      </c>
      <c r="E923" s="10">
        <f t="shared" si="1"/>
        <v>12</v>
      </c>
      <c r="F923" s="10" t="str">
        <f t="shared" si="2"/>
        <v>Dec</v>
      </c>
      <c r="G923" s="11">
        <f t="shared" si="3"/>
        <v>8</v>
      </c>
      <c r="H923" s="7">
        <f t="shared" si="4"/>
        <v>2011</v>
      </c>
      <c r="I923" s="9">
        <v>40914.0</v>
      </c>
      <c r="J923" s="11">
        <f t="shared" si="5"/>
        <v>29</v>
      </c>
      <c r="K923" s="7" t="s">
        <v>110</v>
      </c>
      <c r="L923" s="7" t="s">
        <v>316</v>
      </c>
      <c r="M923" s="7" t="str">
        <f>VLOOKUP(L923,countries, 2,false)</f>
        <v>Greece</v>
      </c>
      <c r="N923" s="7" t="str">
        <f>VLOOKUP(L923,countries, 4,false)</f>
        <v>Europe</v>
      </c>
      <c r="O923" s="7" t="str">
        <f>VLOOKUP(L923,countries, 5,false)</f>
        <v>Southern Europe</v>
      </c>
      <c r="P923" s="7" t="s">
        <v>212</v>
      </c>
      <c r="Q923" s="7">
        <v>8626.0</v>
      </c>
      <c r="R923" s="12">
        <v>81.73</v>
      </c>
      <c r="S923" s="12">
        <v>56.67</v>
      </c>
      <c r="T923" s="13">
        <f t="shared" si="6"/>
        <v>705002.98</v>
      </c>
      <c r="U923" s="13">
        <f t="shared" si="7"/>
        <v>123483.93</v>
      </c>
      <c r="V923" s="13">
        <f t="shared" si="8"/>
        <v>581519.05</v>
      </c>
      <c r="W923" s="14">
        <f>Q923/totals!B$2</f>
        <v>0.001311635143</v>
      </c>
      <c r="X923" s="14">
        <f t="shared" si="9"/>
        <v>0.6852014833</v>
      </c>
      <c r="Y923" s="14">
        <f>T923/totals!B$5</f>
        <v>0.0004141888252</v>
      </c>
      <c r="Z923" s="14">
        <f t="shared" si="10"/>
        <v>0.6845529929</v>
      </c>
      <c r="AA923" s="14">
        <f>V923/totals!B$4</f>
        <v>0.001159534958</v>
      </c>
      <c r="AB923" s="14">
        <f t="shared" si="11"/>
        <v>0.6918442291</v>
      </c>
    </row>
    <row r="924">
      <c r="A924" s="7">
        <v>3127.0</v>
      </c>
      <c r="B924" s="7" t="str">
        <f>VLOOKUP($A924,product_category,2, False)</f>
        <v>Personal Care</v>
      </c>
      <c r="C924" s="7">
        <v>7.02357947E8</v>
      </c>
      <c r="D924" s="9">
        <v>41644.0</v>
      </c>
      <c r="E924" s="10">
        <f t="shared" si="1"/>
        <v>1</v>
      </c>
      <c r="F924" s="10" t="str">
        <f t="shared" si="2"/>
        <v>Jan</v>
      </c>
      <c r="G924" s="11">
        <f t="shared" si="3"/>
        <v>5</v>
      </c>
      <c r="H924" s="7">
        <f t="shared" si="4"/>
        <v>2014</v>
      </c>
      <c r="I924" s="9">
        <v>41674.0</v>
      </c>
      <c r="J924" s="11">
        <f t="shared" si="5"/>
        <v>30</v>
      </c>
      <c r="K924" s="7" t="s">
        <v>322</v>
      </c>
      <c r="L924" s="7" t="s">
        <v>383</v>
      </c>
      <c r="M924" s="7" t="str">
        <f>VLOOKUP(L924,countries, 2,false)</f>
        <v>Ireland</v>
      </c>
      <c r="N924" s="7" t="str">
        <f>VLOOKUP(L924,countries, 4,false)</f>
        <v>Europe</v>
      </c>
      <c r="O924" s="7" t="str">
        <f>VLOOKUP(L924,countries, 5,false)</f>
        <v>Northern Europe</v>
      </c>
      <c r="P924" s="7" t="s">
        <v>212</v>
      </c>
      <c r="Q924" s="7">
        <v>2179.0</v>
      </c>
      <c r="R924" s="12">
        <v>81.73</v>
      </c>
      <c r="S924" s="12">
        <v>56.67</v>
      </c>
      <c r="T924" s="13">
        <f t="shared" si="6"/>
        <v>178089.67</v>
      </c>
      <c r="U924" s="13">
        <f t="shared" si="7"/>
        <v>3861517.36</v>
      </c>
      <c r="V924" s="13">
        <f t="shared" si="8"/>
        <v>-3683427.69</v>
      </c>
      <c r="W924" s="14">
        <f>Q924/totals!B$2</f>
        <v>0.0003313300461</v>
      </c>
      <c r="X924" s="14">
        <f t="shared" si="9"/>
        <v>0.6855328134</v>
      </c>
      <c r="Y924" s="14">
        <f>T924/totals!B$5</f>
        <v>0.0001046275736</v>
      </c>
      <c r="Z924" s="14">
        <f t="shared" si="10"/>
        <v>0.6846576205</v>
      </c>
      <c r="AA924" s="14">
        <f>V924/totals!B$4</f>
        <v>-0.007344665962</v>
      </c>
      <c r="AB924" s="14">
        <f t="shared" si="11"/>
        <v>0.6844995631</v>
      </c>
    </row>
    <row r="925">
      <c r="A925" s="7">
        <v>7940.0</v>
      </c>
      <c r="B925" s="7" t="str">
        <f>VLOOKUP($A925,product_category,2, False)</f>
        <v>Household</v>
      </c>
      <c r="C925" s="7">
        <v>7.02815854E8</v>
      </c>
      <c r="D925" s="9">
        <v>40314.0</v>
      </c>
      <c r="E925" s="10">
        <f t="shared" si="1"/>
        <v>5</v>
      </c>
      <c r="F925" s="10" t="str">
        <f t="shared" si="2"/>
        <v>May</v>
      </c>
      <c r="G925" s="11">
        <f t="shared" si="3"/>
        <v>16</v>
      </c>
      <c r="H925" s="7">
        <f t="shared" si="4"/>
        <v>2010</v>
      </c>
      <c r="I925" s="9">
        <v>40335.0</v>
      </c>
      <c r="J925" s="11">
        <f t="shared" si="5"/>
        <v>21</v>
      </c>
      <c r="K925" s="7" t="s">
        <v>322</v>
      </c>
      <c r="L925" s="7" t="s">
        <v>237</v>
      </c>
      <c r="M925" s="7" t="str">
        <f>VLOOKUP(L925,countries, 2,false)</f>
        <v>Denmark</v>
      </c>
      <c r="N925" s="7" t="str">
        <f>VLOOKUP(L925,countries, 4,false)</f>
        <v>Europe</v>
      </c>
      <c r="O925" s="7" t="str">
        <f>VLOOKUP(L925,countries, 5,false)</f>
        <v>Northern Europe</v>
      </c>
      <c r="P925" s="7" t="s">
        <v>129</v>
      </c>
      <c r="Q925" s="7">
        <v>7684.0</v>
      </c>
      <c r="R925" s="12">
        <v>668.27</v>
      </c>
      <c r="S925" s="12">
        <v>502.54</v>
      </c>
      <c r="T925" s="13">
        <f t="shared" si="6"/>
        <v>5134986.68</v>
      </c>
      <c r="U925" s="13">
        <f t="shared" si="7"/>
        <v>807582.72</v>
      </c>
      <c r="V925" s="13">
        <f t="shared" si="8"/>
        <v>4327403.96</v>
      </c>
      <c r="W925" s="14">
        <f>Q925/totals!B$2</f>
        <v>0.001168398382</v>
      </c>
      <c r="X925" s="14">
        <f t="shared" si="9"/>
        <v>0.6867012118</v>
      </c>
      <c r="Y925" s="14">
        <f>T925/totals!B$5</f>
        <v>0.003016801575</v>
      </c>
      <c r="Z925" s="14">
        <f t="shared" si="10"/>
        <v>0.687674422</v>
      </c>
      <c r="AA925" s="14">
        <f>V925/totals!B$4</f>
        <v>0.00862873911</v>
      </c>
      <c r="AB925" s="14">
        <f t="shared" si="11"/>
        <v>0.6931283022</v>
      </c>
    </row>
    <row r="926">
      <c r="A926" s="7">
        <v>8969.0</v>
      </c>
      <c r="B926" s="7" t="str">
        <f>VLOOKUP($A926,product_category,2, False)</f>
        <v>Snacks</v>
      </c>
      <c r="C926" s="7">
        <v>7.03966844E8</v>
      </c>
      <c r="D926" s="9">
        <v>41596.0</v>
      </c>
      <c r="E926" s="10">
        <f t="shared" si="1"/>
        <v>11</v>
      </c>
      <c r="F926" s="10" t="str">
        <f t="shared" si="2"/>
        <v>Nov</v>
      </c>
      <c r="G926" s="11">
        <f t="shared" si="3"/>
        <v>18</v>
      </c>
      <c r="H926" s="7">
        <f t="shared" si="4"/>
        <v>2013</v>
      </c>
      <c r="I926" s="9">
        <v>41608.0</v>
      </c>
      <c r="J926" s="11">
        <f t="shared" si="5"/>
        <v>12</v>
      </c>
      <c r="K926" s="7" t="s">
        <v>198</v>
      </c>
      <c r="L926" s="7" t="s">
        <v>200</v>
      </c>
      <c r="M926" s="7" t="str">
        <f>VLOOKUP(L926,countries, 2,false)</f>
        <v>Serbia</v>
      </c>
      <c r="N926" s="7" t="str">
        <f>VLOOKUP(L926,countries, 4,false)</f>
        <v>Europe</v>
      </c>
      <c r="O926" s="7" t="str">
        <f>VLOOKUP(L926,countries, 5,false)</f>
        <v>Southern Europe</v>
      </c>
      <c r="P926" s="7" t="s">
        <v>212</v>
      </c>
      <c r="Q926" s="7">
        <v>8288.0</v>
      </c>
      <c r="R926" s="12">
        <v>152.58</v>
      </c>
      <c r="S926" s="12">
        <v>97.44</v>
      </c>
      <c r="T926" s="13">
        <f t="shared" si="6"/>
        <v>1264583.04</v>
      </c>
      <c r="U926" s="13">
        <f t="shared" si="7"/>
        <v>296918.6</v>
      </c>
      <c r="V926" s="13">
        <f t="shared" si="8"/>
        <v>967664.44</v>
      </c>
      <c r="W926" s="14">
        <f>Q926/totals!B$2</f>
        <v>0.001260240212</v>
      </c>
      <c r="X926" s="14">
        <f t="shared" si="9"/>
        <v>0.687961452</v>
      </c>
      <c r="Y926" s="14">
        <f>T926/totals!B$5</f>
        <v>0.0007429417728</v>
      </c>
      <c r="Z926" s="14">
        <f t="shared" si="10"/>
        <v>0.6884173638</v>
      </c>
      <c r="AA926" s="14">
        <f>V926/totals!B$4</f>
        <v>0.001929499551</v>
      </c>
      <c r="AB926" s="14">
        <f t="shared" si="11"/>
        <v>0.6950578018</v>
      </c>
    </row>
    <row r="927">
      <c r="A927" s="7">
        <v>1270.0</v>
      </c>
      <c r="B927" s="7" t="str">
        <f>VLOOKUP($A927,product_category,2, False)</f>
        <v>Beverages</v>
      </c>
      <c r="C927" s="7">
        <v>7.04139363E8</v>
      </c>
      <c r="D927" s="9">
        <v>42933.0</v>
      </c>
      <c r="E927" s="10">
        <f t="shared" si="1"/>
        <v>7</v>
      </c>
      <c r="F927" s="10" t="str">
        <f t="shared" si="2"/>
        <v>Jul</v>
      </c>
      <c r="G927" s="11">
        <f t="shared" si="3"/>
        <v>17</v>
      </c>
      <c r="H927" s="7">
        <f t="shared" si="4"/>
        <v>2017</v>
      </c>
      <c r="I927" s="9">
        <v>42978.0</v>
      </c>
      <c r="J927" s="11">
        <f t="shared" si="5"/>
        <v>45</v>
      </c>
      <c r="K927" s="7" t="s">
        <v>110</v>
      </c>
      <c r="L927" s="7" t="s">
        <v>460</v>
      </c>
      <c r="M927" s="7" t="str">
        <f>VLOOKUP(L927,countries, 2,false)</f>
        <v>Macedonia</v>
      </c>
      <c r="N927" s="7" t="str">
        <f>VLOOKUP(L927,countries, 4,false)</f>
        <v>Europe</v>
      </c>
      <c r="O927" s="7" t="str">
        <f>VLOOKUP(L927,countries, 5,false)</f>
        <v>Southern Europe</v>
      </c>
      <c r="P927" s="7" t="s">
        <v>212</v>
      </c>
      <c r="Q927" s="7">
        <v>9340.0</v>
      </c>
      <c r="R927" s="12">
        <v>47.45</v>
      </c>
      <c r="S927" s="12">
        <v>31.79</v>
      </c>
      <c r="T927" s="13">
        <f t="shared" si="6"/>
        <v>443183</v>
      </c>
      <c r="U927" s="13">
        <f t="shared" si="7"/>
        <v>49491.84</v>
      </c>
      <c r="V927" s="13">
        <f t="shared" si="8"/>
        <v>393691.16</v>
      </c>
      <c r="W927" s="14">
        <f>Q927/totals!B$2</f>
        <v>0.001420203135</v>
      </c>
      <c r="X927" s="14">
        <f t="shared" si="9"/>
        <v>0.6893816551</v>
      </c>
      <c r="Y927" s="14">
        <f>T927/totals!B$5</f>
        <v>0.000260369745</v>
      </c>
      <c r="Z927" s="14">
        <f t="shared" si="10"/>
        <v>0.6886777336</v>
      </c>
      <c r="AA927" s="14">
        <f>V927/totals!B$4</f>
        <v>0.0007850106764</v>
      </c>
      <c r="AB927" s="14">
        <f t="shared" si="11"/>
        <v>0.6958428124</v>
      </c>
    </row>
    <row r="928">
      <c r="A928" s="7">
        <v>4594.0</v>
      </c>
      <c r="B928" s="7" t="str">
        <f>VLOOKUP($A928,product_category,2, False)</f>
        <v>Fruits</v>
      </c>
      <c r="C928" s="7">
        <v>7.04233348E8</v>
      </c>
      <c r="D928" s="9">
        <v>42691.0</v>
      </c>
      <c r="E928" s="10">
        <f t="shared" si="1"/>
        <v>11</v>
      </c>
      <c r="F928" s="10" t="str">
        <f t="shared" si="2"/>
        <v>Nov</v>
      </c>
      <c r="G928" s="11">
        <f t="shared" si="3"/>
        <v>17</v>
      </c>
      <c r="H928" s="7">
        <f t="shared" si="4"/>
        <v>2016</v>
      </c>
      <c r="I928" s="9">
        <v>42700.0</v>
      </c>
      <c r="J928" s="11">
        <f t="shared" si="5"/>
        <v>9</v>
      </c>
      <c r="K928" s="7" t="s">
        <v>322</v>
      </c>
      <c r="L928" s="7" t="s">
        <v>392</v>
      </c>
      <c r="M928" s="7" t="str">
        <f>VLOOKUP(L928,countries, 2,false)</f>
        <v>Italy</v>
      </c>
      <c r="N928" s="7" t="str">
        <f>VLOOKUP(L928,countries, 4,false)</f>
        <v>Europe</v>
      </c>
      <c r="O928" s="7" t="str">
        <f>VLOOKUP(L928,countries, 5,false)</f>
        <v>Southern Europe</v>
      </c>
      <c r="P928" s="7" t="s">
        <v>212</v>
      </c>
      <c r="Q928" s="7">
        <v>7152.0</v>
      </c>
      <c r="R928" s="12">
        <v>9.33</v>
      </c>
      <c r="S928" s="12">
        <v>6.92</v>
      </c>
      <c r="T928" s="13">
        <f t="shared" si="6"/>
        <v>66728.16</v>
      </c>
      <c r="U928" s="13">
        <f t="shared" si="7"/>
        <v>2575014.96</v>
      </c>
      <c r="V928" s="13">
        <f t="shared" si="8"/>
        <v>-2508286.8</v>
      </c>
      <c r="W928" s="14">
        <f>Q928/totals!B$2</f>
        <v>0.001087504584</v>
      </c>
      <c r="X928" s="14">
        <f t="shared" si="9"/>
        <v>0.6904691597</v>
      </c>
      <c r="Y928" s="14">
        <f>T928/totals!B$5</f>
        <v>0.00003920275373</v>
      </c>
      <c r="Z928" s="14">
        <f t="shared" si="10"/>
        <v>0.6887169363</v>
      </c>
      <c r="AA928" s="14">
        <f>V928/totals!B$4</f>
        <v>-0.005001463374</v>
      </c>
      <c r="AB928" s="14">
        <f t="shared" si="11"/>
        <v>0.6908413491</v>
      </c>
    </row>
    <row r="929">
      <c r="A929" s="7">
        <v>7940.0</v>
      </c>
      <c r="B929" s="7" t="str">
        <f>VLOOKUP($A929,product_category,2, False)</f>
        <v>Household</v>
      </c>
      <c r="C929" s="7">
        <v>7.04361665E8</v>
      </c>
      <c r="D929" s="9">
        <v>42399.0</v>
      </c>
      <c r="E929" s="10">
        <f t="shared" si="1"/>
        <v>1</v>
      </c>
      <c r="F929" s="10" t="str">
        <f t="shared" si="2"/>
        <v>Jan</v>
      </c>
      <c r="G929" s="11">
        <f t="shared" si="3"/>
        <v>30</v>
      </c>
      <c r="H929" s="7">
        <f t="shared" si="4"/>
        <v>2016</v>
      </c>
      <c r="I929" s="9">
        <v>42430.0</v>
      </c>
      <c r="J929" s="11">
        <f t="shared" si="5"/>
        <v>31</v>
      </c>
      <c r="K929" s="7" t="s">
        <v>198</v>
      </c>
      <c r="L929" s="7" t="s">
        <v>439</v>
      </c>
      <c r="M929" s="7" t="str">
        <f>VLOOKUP(L929,countries, 2,false)</f>
        <v>Slovakia</v>
      </c>
      <c r="N929" s="7" t="str">
        <f>VLOOKUP(L929,countries, 4,false)</f>
        <v>Europe</v>
      </c>
      <c r="O929" s="7" t="str">
        <f>VLOOKUP(L929,countries, 5,false)</f>
        <v>Eastern Europe</v>
      </c>
      <c r="P929" s="7" t="s">
        <v>129</v>
      </c>
      <c r="Q929" s="7">
        <v>5124.0</v>
      </c>
      <c r="R929" s="12">
        <v>668.27</v>
      </c>
      <c r="S929" s="12">
        <v>502.54</v>
      </c>
      <c r="T929" s="13">
        <f t="shared" si="6"/>
        <v>3424215.48</v>
      </c>
      <c r="U929" s="13">
        <f t="shared" si="7"/>
        <v>199136.7</v>
      </c>
      <c r="V929" s="13">
        <f t="shared" si="8"/>
        <v>3225078.78</v>
      </c>
      <c r="W929" s="14">
        <f>Q929/totals!B$2</f>
        <v>0.0007791349959</v>
      </c>
      <c r="X929" s="14">
        <f t="shared" si="9"/>
        <v>0.6912482947</v>
      </c>
      <c r="Y929" s="14">
        <f>T929/totals!B$5</f>
        <v>0.002011724528</v>
      </c>
      <c r="Z929" s="14">
        <f t="shared" si="10"/>
        <v>0.6907286608</v>
      </c>
      <c r="AA929" s="14">
        <f>V929/totals!B$4</f>
        <v>0.006430729291</v>
      </c>
      <c r="AB929" s="14">
        <f t="shared" si="11"/>
        <v>0.6972720784</v>
      </c>
    </row>
    <row r="930">
      <c r="A930" s="7">
        <v>5988.0</v>
      </c>
      <c r="B930" s="7" t="str">
        <f>VLOOKUP($A930,product_category,2, False)</f>
        <v>Vegetables</v>
      </c>
      <c r="C930" s="7">
        <v>7.06176555E8</v>
      </c>
      <c r="D930" s="9">
        <v>42048.0</v>
      </c>
      <c r="E930" s="10">
        <f t="shared" si="1"/>
        <v>2</v>
      </c>
      <c r="F930" s="10" t="str">
        <f t="shared" si="2"/>
        <v>Feb</v>
      </c>
      <c r="G930" s="11">
        <f t="shared" si="3"/>
        <v>13</v>
      </c>
      <c r="H930" s="7">
        <f t="shared" si="4"/>
        <v>2015</v>
      </c>
      <c r="I930" s="9">
        <v>42061.0</v>
      </c>
      <c r="J930" s="11">
        <f t="shared" si="5"/>
        <v>13</v>
      </c>
      <c r="K930" s="7" t="s">
        <v>198</v>
      </c>
      <c r="L930" s="7" t="s">
        <v>367</v>
      </c>
      <c r="M930" s="7" t="str">
        <f>VLOOKUP(L930,countries, 2,false)</f>
        <v>Iceland</v>
      </c>
      <c r="N930" s="7" t="str">
        <f>VLOOKUP(L930,countries, 4,false)</f>
        <v>Europe</v>
      </c>
      <c r="O930" s="7" t="str">
        <f>VLOOKUP(L930,countries, 5,false)</f>
        <v>Northern Europe</v>
      </c>
      <c r="P930" s="7" t="s">
        <v>212</v>
      </c>
      <c r="Q930" s="7">
        <v>2190.0</v>
      </c>
      <c r="R930" s="12">
        <v>154.06</v>
      </c>
      <c r="S930" s="12">
        <v>90.93</v>
      </c>
      <c r="T930" s="13">
        <f t="shared" si="6"/>
        <v>337391.4</v>
      </c>
      <c r="U930" s="13">
        <f t="shared" si="7"/>
        <v>4596230.84</v>
      </c>
      <c r="V930" s="13">
        <f t="shared" si="8"/>
        <v>-4258839.44</v>
      </c>
      <c r="W930" s="14">
        <f>Q930/totals!B$2</f>
        <v>0.0003330026622</v>
      </c>
      <c r="X930" s="14">
        <f t="shared" si="9"/>
        <v>0.6915812974</v>
      </c>
      <c r="Y930" s="14">
        <f>T930/totals!B$5</f>
        <v>0.0001982172439</v>
      </c>
      <c r="Z930" s="14">
        <f t="shared" si="10"/>
        <v>0.6909268781</v>
      </c>
      <c r="AA930" s="14">
        <f>V930/totals!B$4</f>
        <v>-0.008492023111</v>
      </c>
      <c r="AB930" s="14">
        <f t="shared" si="11"/>
        <v>0.6887800552</v>
      </c>
    </row>
    <row r="931">
      <c r="A931" s="7">
        <v>7940.0</v>
      </c>
      <c r="B931" s="7" t="str">
        <f>VLOOKUP($A931,product_category,2, False)</f>
        <v>Household</v>
      </c>
      <c r="C931" s="7">
        <v>7.06301438E8</v>
      </c>
      <c r="D931" s="9">
        <v>40931.0</v>
      </c>
      <c r="E931" s="10">
        <f t="shared" si="1"/>
        <v>1</v>
      </c>
      <c r="F931" s="10" t="str">
        <f t="shared" si="2"/>
        <v>Jan</v>
      </c>
      <c r="G931" s="11">
        <f t="shared" si="3"/>
        <v>23</v>
      </c>
      <c r="H931" s="7">
        <f t="shared" si="4"/>
        <v>2012</v>
      </c>
      <c r="I931" s="9">
        <v>40950.0</v>
      </c>
      <c r="J931" s="11">
        <f t="shared" si="5"/>
        <v>19</v>
      </c>
      <c r="K931" s="7" t="s">
        <v>110</v>
      </c>
      <c r="L931" s="7" t="s">
        <v>316</v>
      </c>
      <c r="M931" s="7" t="str">
        <f>VLOOKUP(L931,countries, 2,false)</f>
        <v>Greece</v>
      </c>
      <c r="N931" s="7" t="str">
        <f>VLOOKUP(L931,countries, 4,false)</f>
        <v>Europe</v>
      </c>
      <c r="O931" s="7" t="str">
        <f>VLOOKUP(L931,countries, 5,false)</f>
        <v>Southern Europe</v>
      </c>
      <c r="P931" s="7" t="s">
        <v>212</v>
      </c>
      <c r="Q931" s="7">
        <v>9146.0</v>
      </c>
      <c r="R931" s="12">
        <v>668.27</v>
      </c>
      <c r="S931" s="12">
        <v>502.54</v>
      </c>
      <c r="T931" s="13">
        <f t="shared" si="6"/>
        <v>6111997.42</v>
      </c>
      <c r="U931" s="13">
        <f t="shared" si="7"/>
        <v>11923.16</v>
      </c>
      <c r="V931" s="13">
        <f t="shared" si="8"/>
        <v>6100074.26</v>
      </c>
      <c r="W931" s="14">
        <f>Q931/totals!B$2</f>
        <v>0.001390704269</v>
      </c>
      <c r="X931" s="14">
        <f t="shared" si="9"/>
        <v>0.6929720016</v>
      </c>
      <c r="Y931" s="14">
        <f>T931/totals!B$5</f>
        <v>0.003590794795</v>
      </c>
      <c r="Z931" s="14">
        <f t="shared" si="10"/>
        <v>0.6945176729</v>
      </c>
      <c r="AA931" s="14">
        <f>V931/totals!B$4</f>
        <v>0.01216340093</v>
      </c>
      <c r="AB931" s="14">
        <f t="shared" si="11"/>
        <v>0.7009434562</v>
      </c>
    </row>
    <row r="932">
      <c r="A932" s="7">
        <v>4594.0</v>
      </c>
      <c r="B932" s="7" t="str">
        <f>VLOOKUP($A932,product_category,2, False)</f>
        <v>Fruits</v>
      </c>
      <c r="C932" s="7">
        <v>7.07661855E8</v>
      </c>
      <c r="D932" s="9">
        <v>42735.0</v>
      </c>
      <c r="E932" s="10">
        <f t="shared" si="1"/>
        <v>12</v>
      </c>
      <c r="F932" s="10" t="str">
        <f t="shared" si="2"/>
        <v>Dec</v>
      </c>
      <c r="G932" s="11">
        <f t="shared" si="3"/>
        <v>31</v>
      </c>
      <c r="H932" s="7">
        <f t="shared" si="4"/>
        <v>2016</v>
      </c>
      <c r="I932" s="9">
        <v>42761.0</v>
      </c>
      <c r="J932" s="11">
        <f t="shared" si="5"/>
        <v>26</v>
      </c>
      <c r="K932" s="7" t="s">
        <v>110</v>
      </c>
      <c r="L932" s="7" t="s">
        <v>454</v>
      </c>
      <c r="M932" s="7" t="str">
        <f>VLOOKUP(L932,countries, 2,false)</f>
        <v>Luxembourg</v>
      </c>
      <c r="N932" s="7" t="str">
        <f>VLOOKUP(L932,countries, 4,false)</f>
        <v>Europe</v>
      </c>
      <c r="O932" s="7" t="str">
        <f>VLOOKUP(L932,countries, 5,false)</f>
        <v>Western Europe</v>
      </c>
      <c r="P932" s="7" t="s">
        <v>212</v>
      </c>
      <c r="Q932" s="7">
        <v>1723.0</v>
      </c>
      <c r="R932" s="12">
        <v>9.33</v>
      </c>
      <c r="S932" s="12">
        <v>6.92</v>
      </c>
      <c r="T932" s="13">
        <f t="shared" si="6"/>
        <v>16075.59</v>
      </c>
      <c r="U932" s="13">
        <f t="shared" si="7"/>
        <v>59608.88</v>
      </c>
      <c r="V932" s="13">
        <f t="shared" si="8"/>
        <v>-43533.29</v>
      </c>
      <c r="W932" s="14">
        <f>Q932/totals!B$2</f>
        <v>0.0002619925055</v>
      </c>
      <c r="X932" s="14">
        <f t="shared" si="9"/>
        <v>0.6932339941</v>
      </c>
      <c r="Y932" s="14">
        <f>T932/totals!B$5</f>
        <v>0.000009444399423</v>
      </c>
      <c r="Z932" s="14">
        <f t="shared" si="10"/>
        <v>0.6945271173</v>
      </c>
      <c r="AA932" s="14">
        <f>V932/totals!B$4</f>
        <v>-0.00008680433014</v>
      </c>
      <c r="AB932" s="14">
        <f t="shared" si="11"/>
        <v>0.7008566518</v>
      </c>
    </row>
    <row r="933">
      <c r="A933" s="7">
        <v>4594.0</v>
      </c>
      <c r="B933" s="7" t="str">
        <f>VLOOKUP($A933,product_category,2, False)</f>
        <v>Fruits</v>
      </c>
      <c r="C933" s="7">
        <v>7.07718932E8</v>
      </c>
      <c r="D933" s="9">
        <v>40542.0</v>
      </c>
      <c r="E933" s="10">
        <f t="shared" si="1"/>
        <v>12</v>
      </c>
      <c r="F933" s="10" t="str">
        <f t="shared" si="2"/>
        <v>Dec</v>
      </c>
      <c r="G933" s="11">
        <f t="shared" si="3"/>
        <v>30</v>
      </c>
      <c r="H933" s="7">
        <f t="shared" si="4"/>
        <v>2010</v>
      </c>
      <c r="I933" s="9">
        <v>40549.0</v>
      </c>
      <c r="J933" s="11">
        <f t="shared" si="5"/>
        <v>7</v>
      </c>
      <c r="K933" s="7" t="s">
        <v>110</v>
      </c>
      <c r="L933" s="7" t="s">
        <v>460</v>
      </c>
      <c r="M933" s="7" t="str">
        <f>VLOOKUP(L933,countries, 2,false)</f>
        <v>Macedonia</v>
      </c>
      <c r="N933" s="7" t="str">
        <f>VLOOKUP(L933,countries, 4,false)</f>
        <v>Europe</v>
      </c>
      <c r="O933" s="7" t="str">
        <f>VLOOKUP(L933,countries, 5,false)</f>
        <v>Southern Europe</v>
      </c>
      <c r="P933" s="7" t="s">
        <v>129</v>
      </c>
      <c r="Q933" s="7">
        <v>8614.0</v>
      </c>
      <c r="R933" s="12">
        <v>9.33</v>
      </c>
      <c r="S933" s="12">
        <v>6.92</v>
      </c>
      <c r="T933" s="13">
        <f t="shared" si="6"/>
        <v>80368.62</v>
      </c>
      <c r="U933" s="13">
        <f t="shared" si="7"/>
        <v>46101.04</v>
      </c>
      <c r="V933" s="13">
        <f t="shared" si="8"/>
        <v>34267.58</v>
      </c>
      <c r="W933" s="14">
        <f>Q933/totals!B$2</f>
        <v>0.001309810471</v>
      </c>
      <c r="X933" s="14">
        <f t="shared" si="9"/>
        <v>0.6945438046</v>
      </c>
      <c r="Y933" s="14">
        <f>T933/totals!B$5</f>
        <v>0.00004721651574</v>
      </c>
      <c r="Z933" s="14">
        <f t="shared" si="10"/>
        <v>0.6945743338</v>
      </c>
      <c r="AA933" s="14">
        <f>V933/totals!B$4</f>
        <v>0.00006832872791</v>
      </c>
      <c r="AB933" s="14">
        <f t="shared" si="11"/>
        <v>0.7009249806</v>
      </c>
    </row>
    <row r="934">
      <c r="A934" s="7">
        <v>4594.0</v>
      </c>
      <c r="B934" s="7" t="str">
        <f>VLOOKUP($A934,product_category,2, False)</f>
        <v>Fruits</v>
      </c>
      <c r="C934" s="7">
        <v>7.08320605E8</v>
      </c>
      <c r="D934" s="9">
        <v>42631.0</v>
      </c>
      <c r="E934" s="10">
        <f t="shared" si="1"/>
        <v>9</v>
      </c>
      <c r="F934" s="10" t="str">
        <f t="shared" si="2"/>
        <v>Sep</v>
      </c>
      <c r="G934" s="11">
        <f t="shared" si="3"/>
        <v>18</v>
      </c>
      <c r="H934" s="7">
        <f t="shared" si="4"/>
        <v>2016</v>
      </c>
      <c r="I934" s="9">
        <v>42648.0</v>
      </c>
      <c r="J934" s="11">
        <f t="shared" si="5"/>
        <v>17</v>
      </c>
      <c r="K934" s="7" t="s">
        <v>322</v>
      </c>
      <c r="L934" s="7" t="s">
        <v>642</v>
      </c>
      <c r="M934" s="7" t="str">
        <f>VLOOKUP(L934,countries, 2,false)</f>
        <v>San Marino</v>
      </c>
      <c r="N934" s="7" t="str">
        <f>VLOOKUP(L934,countries, 4,false)</f>
        <v>Europe</v>
      </c>
      <c r="O934" s="7" t="str">
        <f>VLOOKUP(L934,countries, 5,false)</f>
        <v>Southern Europe</v>
      </c>
      <c r="P934" s="7" t="s">
        <v>212</v>
      </c>
      <c r="Q934" s="7">
        <v>6662.0</v>
      </c>
      <c r="R934" s="12">
        <v>9.33</v>
      </c>
      <c r="S934" s="12">
        <v>6.92</v>
      </c>
      <c r="T934" s="13">
        <f t="shared" si="6"/>
        <v>62156.46</v>
      </c>
      <c r="U934" s="13">
        <f t="shared" si="7"/>
        <v>4411296.12</v>
      </c>
      <c r="V934" s="13">
        <f t="shared" si="8"/>
        <v>-4349139.66</v>
      </c>
      <c r="W934" s="14">
        <f>Q934/totals!B$2</f>
        <v>0.00101299714</v>
      </c>
      <c r="X934" s="14">
        <f t="shared" si="9"/>
        <v>0.6955568017</v>
      </c>
      <c r="Y934" s="14">
        <f>T934/totals!B$5</f>
        <v>0.00003651688274</v>
      </c>
      <c r="Z934" s="14">
        <f t="shared" si="10"/>
        <v>0.6946108507</v>
      </c>
      <c r="AA934" s="14">
        <f>V934/totals!B$4</f>
        <v>-0.008672079571</v>
      </c>
      <c r="AB934" s="14">
        <f t="shared" si="11"/>
        <v>0.692252901</v>
      </c>
    </row>
    <row r="935">
      <c r="A935" s="7">
        <v>7940.0</v>
      </c>
      <c r="B935" s="7" t="str">
        <f>VLOOKUP($A935,product_category,2, False)</f>
        <v>Household</v>
      </c>
      <c r="C935" s="7">
        <v>7.09071195E8</v>
      </c>
      <c r="D935" s="9">
        <v>41078.0</v>
      </c>
      <c r="E935" s="10">
        <f t="shared" si="1"/>
        <v>6</v>
      </c>
      <c r="F935" s="10" t="str">
        <f t="shared" si="2"/>
        <v>Jun</v>
      </c>
      <c r="G935" s="11">
        <f t="shared" si="3"/>
        <v>18</v>
      </c>
      <c r="H935" s="7">
        <f t="shared" si="4"/>
        <v>2012</v>
      </c>
      <c r="I935" s="9">
        <v>41123.0</v>
      </c>
      <c r="J935" s="11">
        <f t="shared" si="5"/>
        <v>45</v>
      </c>
      <c r="K935" s="7" t="s">
        <v>198</v>
      </c>
      <c r="L935" s="7" t="s">
        <v>231</v>
      </c>
      <c r="M935" s="7" t="str">
        <f>VLOOKUP(L935,countries, 2,false)</f>
        <v>Cyprus</v>
      </c>
      <c r="N935" s="7" t="str">
        <f>VLOOKUP(L935,countries, 4,false)</f>
        <v>Asia</v>
      </c>
      <c r="O935" s="7" t="str">
        <f>VLOOKUP(L935,countries, 5,false)</f>
        <v>Western Asia</v>
      </c>
      <c r="P935" s="7" t="s">
        <v>129</v>
      </c>
      <c r="Q935" s="7">
        <v>8778.0</v>
      </c>
      <c r="R935" s="12">
        <v>668.27</v>
      </c>
      <c r="S935" s="12">
        <v>502.54</v>
      </c>
      <c r="T935" s="13">
        <f t="shared" si="6"/>
        <v>5866074.06</v>
      </c>
      <c r="U935" s="13">
        <f t="shared" si="7"/>
        <v>320337.92</v>
      </c>
      <c r="V935" s="13">
        <f t="shared" si="8"/>
        <v>5545736.14</v>
      </c>
      <c r="W935" s="14">
        <f>Q935/totals!B$2</f>
        <v>0.001334747657</v>
      </c>
      <c r="X935" s="14">
        <f t="shared" si="9"/>
        <v>0.6968915494</v>
      </c>
      <c r="Y935" s="14">
        <f>T935/totals!B$5</f>
        <v>0.00344631497</v>
      </c>
      <c r="Z935" s="14">
        <f t="shared" si="10"/>
        <v>0.6980571656</v>
      </c>
      <c r="AA935" s="14">
        <f>V935/totals!B$4</f>
        <v>0.01105806409</v>
      </c>
      <c r="AB935" s="14">
        <f t="shared" si="11"/>
        <v>0.7033109651</v>
      </c>
    </row>
    <row r="936">
      <c r="A936" s="7">
        <v>2455.0</v>
      </c>
      <c r="B936" s="7" t="str">
        <f>VLOOKUP($A936,product_category,2, False)</f>
        <v>Clothes</v>
      </c>
      <c r="C936" s="7">
        <v>7.09105527E8</v>
      </c>
      <c r="D936" s="9">
        <v>41028.0</v>
      </c>
      <c r="E936" s="10">
        <f t="shared" si="1"/>
        <v>4</v>
      </c>
      <c r="F936" s="10" t="str">
        <f t="shared" si="2"/>
        <v>Apr</v>
      </c>
      <c r="G936" s="11">
        <f t="shared" si="3"/>
        <v>29</v>
      </c>
      <c r="H936" s="7">
        <f t="shared" si="4"/>
        <v>2012</v>
      </c>
      <c r="I936" s="9">
        <v>41030.0</v>
      </c>
      <c r="J936" s="11">
        <f t="shared" si="5"/>
        <v>2</v>
      </c>
      <c r="K936" s="7" t="s">
        <v>198</v>
      </c>
      <c r="L936" s="7" t="s">
        <v>111</v>
      </c>
      <c r="M936" s="7" t="str">
        <f>VLOOKUP(L936,countries, 2,false)</f>
        <v>Norway</v>
      </c>
      <c r="N936" s="7" t="str">
        <f>VLOOKUP(L936,countries, 4,false)</f>
        <v>Europe</v>
      </c>
      <c r="O936" s="7" t="str">
        <f>VLOOKUP(L936,countries, 5,false)</f>
        <v>Northern Europe</v>
      </c>
      <c r="P936" s="7" t="s">
        <v>129</v>
      </c>
      <c r="Q936" s="7">
        <v>8938.0</v>
      </c>
      <c r="R936" s="12">
        <v>109.28</v>
      </c>
      <c r="S936" s="12">
        <v>35.84</v>
      </c>
      <c r="T936" s="13">
        <f t="shared" si="6"/>
        <v>976744.64</v>
      </c>
      <c r="U936" s="13">
        <f t="shared" si="7"/>
        <v>344422.4</v>
      </c>
      <c r="V936" s="13">
        <f t="shared" si="8"/>
        <v>632322.24</v>
      </c>
      <c r="W936" s="14">
        <f>Q936/totals!B$2</f>
        <v>0.001359076619</v>
      </c>
      <c r="X936" s="14">
        <f t="shared" si="9"/>
        <v>0.698250626</v>
      </c>
      <c r="Y936" s="14">
        <f>T936/totals!B$5</f>
        <v>0.0005738368865</v>
      </c>
      <c r="Z936" s="14">
        <f t="shared" si="10"/>
        <v>0.6986310025</v>
      </c>
      <c r="AA936" s="14">
        <f>V936/totals!B$4</f>
        <v>0.001260835294</v>
      </c>
      <c r="AB936" s="14">
        <f t="shared" si="11"/>
        <v>0.7045718004</v>
      </c>
    </row>
    <row r="937">
      <c r="A937" s="7">
        <v>2455.0</v>
      </c>
      <c r="B937" s="7" t="str">
        <f>VLOOKUP($A937,product_category,2, False)</f>
        <v>Clothes</v>
      </c>
      <c r="C937" s="7">
        <v>7.09276759E8</v>
      </c>
      <c r="D937" s="9">
        <v>42747.0</v>
      </c>
      <c r="E937" s="10">
        <f t="shared" si="1"/>
        <v>1</v>
      </c>
      <c r="F937" s="10" t="str">
        <f t="shared" si="2"/>
        <v>Jan</v>
      </c>
      <c r="G937" s="11">
        <f t="shared" si="3"/>
        <v>12</v>
      </c>
      <c r="H937" s="7">
        <f t="shared" si="4"/>
        <v>2017</v>
      </c>
      <c r="I937" s="9">
        <v>42795.0</v>
      </c>
      <c r="J937" s="11">
        <f t="shared" si="5"/>
        <v>48</v>
      </c>
      <c r="K937" s="7" t="s">
        <v>322</v>
      </c>
      <c r="L937" s="7" t="s">
        <v>609</v>
      </c>
      <c r="M937" s="7" t="str">
        <f>VLOOKUP(L937,countries, 2,false)</f>
        <v>Romania</v>
      </c>
      <c r="N937" s="7" t="str">
        <f>VLOOKUP(L937,countries, 4,false)</f>
        <v>Europe</v>
      </c>
      <c r="O937" s="7" t="str">
        <f>VLOOKUP(L937,countries, 5,false)</f>
        <v>Eastern Europe</v>
      </c>
      <c r="P937" s="7" t="s">
        <v>212</v>
      </c>
      <c r="Q937" s="7">
        <v>9610.0</v>
      </c>
      <c r="R937" s="12">
        <v>109.28</v>
      </c>
      <c r="S937" s="12">
        <v>35.84</v>
      </c>
      <c r="T937" s="13">
        <f t="shared" si="6"/>
        <v>1050180.8</v>
      </c>
      <c r="U937" s="13">
        <f t="shared" si="7"/>
        <v>57126.63</v>
      </c>
      <c r="V937" s="13">
        <f t="shared" si="8"/>
        <v>993054.17</v>
      </c>
      <c r="W937" s="14">
        <f>Q937/totals!B$2</f>
        <v>0.001461258257</v>
      </c>
      <c r="X937" s="14">
        <f t="shared" si="9"/>
        <v>0.6997118843</v>
      </c>
      <c r="Y937" s="14">
        <f>T937/totals!B$5</f>
        <v>0.0006169805862</v>
      </c>
      <c r="Z937" s="14">
        <f t="shared" si="10"/>
        <v>0.6992479831</v>
      </c>
      <c r="AA937" s="14">
        <f>V937/totals!B$4</f>
        <v>0.00198012606</v>
      </c>
      <c r="AB937" s="14">
        <f t="shared" si="11"/>
        <v>0.7065519264</v>
      </c>
    </row>
    <row r="938">
      <c r="A938" s="7">
        <v>1270.0</v>
      </c>
      <c r="B938" s="7" t="str">
        <f>VLOOKUP($A938,product_category,2, False)</f>
        <v>Beverages</v>
      </c>
      <c r="C938" s="7">
        <v>7.12595832E8</v>
      </c>
      <c r="D938" s="9">
        <v>42087.0</v>
      </c>
      <c r="E938" s="10">
        <f t="shared" si="1"/>
        <v>3</v>
      </c>
      <c r="F938" s="10" t="str">
        <f t="shared" si="2"/>
        <v>Mar</v>
      </c>
      <c r="G938" s="11">
        <f t="shared" si="3"/>
        <v>24</v>
      </c>
      <c r="H938" s="7">
        <f t="shared" si="4"/>
        <v>2015</v>
      </c>
      <c r="I938" s="9">
        <v>42091.0</v>
      </c>
      <c r="J938" s="11">
        <f t="shared" si="5"/>
        <v>4</v>
      </c>
      <c r="K938" s="7" t="s">
        <v>382</v>
      </c>
      <c r="L938" s="7" t="s">
        <v>756</v>
      </c>
      <c r="M938" s="7" t="str">
        <f>VLOOKUP(L938,countries, 2,false)</f>
        <v>Ukraine</v>
      </c>
      <c r="N938" s="7" t="str">
        <f>VLOOKUP(L938,countries, 4,false)</f>
        <v>Europe</v>
      </c>
      <c r="O938" s="7" t="str">
        <f>VLOOKUP(L938,countries, 5,false)</f>
        <v>Eastern Europe</v>
      </c>
      <c r="P938" s="7" t="s">
        <v>129</v>
      </c>
      <c r="Q938" s="7">
        <v>1797.0</v>
      </c>
      <c r="R938" s="12">
        <v>47.45</v>
      </c>
      <c r="S938" s="12">
        <v>31.79</v>
      </c>
      <c r="T938" s="13">
        <f t="shared" si="6"/>
        <v>85267.65</v>
      </c>
      <c r="U938" s="13">
        <f t="shared" si="7"/>
        <v>2185043.92</v>
      </c>
      <c r="V938" s="13">
        <f t="shared" si="8"/>
        <v>-2099776.27</v>
      </c>
      <c r="W938" s="14">
        <f>Q938/totals!B$2</f>
        <v>0.0002732446502</v>
      </c>
      <c r="X938" s="14">
        <f t="shared" si="9"/>
        <v>0.6999851289</v>
      </c>
      <c r="Y938" s="14">
        <f>T938/totals!B$5</f>
        <v>0.00005009469291</v>
      </c>
      <c r="Z938" s="14">
        <f t="shared" si="10"/>
        <v>0.6992980778</v>
      </c>
      <c r="AA938" s="14">
        <f>V938/totals!B$4</f>
        <v>-0.004186903231</v>
      </c>
      <c r="AB938" s="14">
        <f t="shared" si="11"/>
        <v>0.7023650232</v>
      </c>
    </row>
    <row r="939">
      <c r="A939" s="7">
        <v>7940.0</v>
      </c>
      <c r="B939" s="7" t="str">
        <f>VLOOKUP($A939,product_category,2, False)</f>
        <v>Household</v>
      </c>
      <c r="C939" s="7">
        <v>7.13009965E8</v>
      </c>
      <c r="D939" s="9">
        <v>42689.0</v>
      </c>
      <c r="E939" s="10">
        <f t="shared" si="1"/>
        <v>11</v>
      </c>
      <c r="F939" s="10" t="str">
        <f t="shared" si="2"/>
        <v>Nov</v>
      </c>
      <c r="G939" s="11">
        <f t="shared" si="3"/>
        <v>15</v>
      </c>
      <c r="H939" s="7">
        <f t="shared" si="4"/>
        <v>2016</v>
      </c>
      <c r="I939" s="9">
        <v>42720.0</v>
      </c>
      <c r="J939" s="11">
        <f t="shared" si="5"/>
        <v>31</v>
      </c>
      <c r="K939" s="7" t="s">
        <v>382</v>
      </c>
      <c r="L939" s="7" t="s">
        <v>56</v>
      </c>
      <c r="M939" s="7" t="str">
        <f>VLOOKUP(L939,countries, 2,false)</f>
        <v>Andorra</v>
      </c>
      <c r="N939" s="7" t="str">
        <f>VLOOKUP(L939,countries, 4,false)</f>
        <v>Europe</v>
      </c>
      <c r="O939" s="7" t="str">
        <f>VLOOKUP(L939,countries, 5,false)</f>
        <v>Southern Europe</v>
      </c>
      <c r="P939" s="7" t="s">
        <v>129</v>
      </c>
      <c r="Q939" s="7">
        <v>4348.0</v>
      </c>
      <c r="R939" s="12">
        <v>668.27</v>
      </c>
      <c r="S939" s="12">
        <v>502.54</v>
      </c>
      <c r="T939" s="13">
        <f t="shared" si="6"/>
        <v>2905637.96</v>
      </c>
      <c r="U939" s="13">
        <f t="shared" si="7"/>
        <v>254033.92</v>
      </c>
      <c r="V939" s="13">
        <f t="shared" si="8"/>
        <v>2651604.04</v>
      </c>
      <c r="W939" s="14">
        <f>Q939/totals!B$2</f>
        <v>0.0006611395321</v>
      </c>
      <c r="X939" s="14">
        <f t="shared" si="9"/>
        <v>0.7006462685</v>
      </c>
      <c r="Y939" s="14">
        <f>T939/totals!B$5</f>
        <v>0.001707060548</v>
      </c>
      <c r="Z939" s="14">
        <f t="shared" si="10"/>
        <v>0.7010051384</v>
      </c>
      <c r="AA939" s="14">
        <f>V939/totals!B$4</f>
        <v>0.005287234493</v>
      </c>
      <c r="AB939" s="14">
        <f t="shared" si="11"/>
        <v>0.7076522577</v>
      </c>
    </row>
    <row r="940">
      <c r="A940" s="7">
        <v>2455.0</v>
      </c>
      <c r="B940" s="7" t="str">
        <f>VLOOKUP($A940,product_category,2, False)</f>
        <v>Clothes</v>
      </c>
      <c r="C940" s="7">
        <v>7.1335715E8</v>
      </c>
      <c r="D940" s="9">
        <v>41038.0</v>
      </c>
      <c r="E940" s="10">
        <f t="shared" si="1"/>
        <v>5</v>
      </c>
      <c r="F940" s="10" t="str">
        <f t="shared" si="2"/>
        <v>May</v>
      </c>
      <c r="G940" s="11">
        <f t="shared" si="3"/>
        <v>9</v>
      </c>
      <c r="H940" s="7">
        <f t="shared" si="4"/>
        <v>2012</v>
      </c>
      <c r="I940" s="9">
        <v>41063.0</v>
      </c>
      <c r="J940" s="11">
        <f t="shared" si="5"/>
        <v>25</v>
      </c>
      <c r="K940" s="7" t="s">
        <v>382</v>
      </c>
      <c r="L940" s="7" t="s">
        <v>237</v>
      </c>
      <c r="M940" s="7" t="str">
        <f>VLOOKUP(L940,countries, 2,false)</f>
        <v>Denmark</v>
      </c>
      <c r="N940" s="7" t="str">
        <f>VLOOKUP(L940,countries, 4,false)</f>
        <v>Europe</v>
      </c>
      <c r="O940" s="7" t="str">
        <f>VLOOKUP(L940,countries, 5,false)</f>
        <v>Northern Europe</v>
      </c>
      <c r="P940" s="7" t="s">
        <v>212</v>
      </c>
      <c r="Q940" s="7">
        <v>7088.0</v>
      </c>
      <c r="R940" s="12">
        <v>109.28</v>
      </c>
      <c r="S940" s="12">
        <v>35.84</v>
      </c>
      <c r="T940" s="13">
        <f t="shared" si="6"/>
        <v>774576.64</v>
      </c>
      <c r="U940" s="13">
        <f t="shared" si="7"/>
        <v>201802.92</v>
      </c>
      <c r="V940" s="13">
        <f t="shared" si="8"/>
        <v>572773.72</v>
      </c>
      <c r="W940" s="14">
        <f>Q940/totals!B$2</f>
        <v>0.001077773</v>
      </c>
      <c r="X940" s="14">
        <f t="shared" si="9"/>
        <v>0.7017240415</v>
      </c>
      <c r="Y940" s="14">
        <f>T940/totals!B$5</f>
        <v>0.0004550633085</v>
      </c>
      <c r="Z940" s="14">
        <f t="shared" si="10"/>
        <v>0.7014602017</v>
      </c>
      <c r="AA940" s="14">
        <f>V940/totals!B$4</f>
        <v>0.001142096981</v>
      </c>
      <c r="AB940" s="14">
        <f t="shared" si="11"/>
        <v>0.7087943547</v>
      </c>
    </row>
    <row r="941">
      <c r="A941" s="7">
        <v>1270.0</v>
      </c>
      <c r="B941" s="7" t="str">
        <f>VLOOKUP($A941,product_category,2, False)</f>
        <v>Beverages</v>
      </c>
      <c r="C941" s="7">
        <v>7.14165675E8</v>
      </c>
      <c r="D941" s="9">
        <v>41647.0</v>
      </c>
      <c r="E941" s="10">
        <f t="shared" si="1"/>
        <v>1</v>
      </c>
      <c r="F941" s="10" t="str">
        <f t="shared" si="2"/>
        <v>Jan</v>
      </c>
      <c r="G941" s="11">
        <f t="shared" si="3"/>
        <v>8</v>
      </c>
      <c r="H941" s="7">
        <f t="shared" si="4"/>
        <v>2014</v>
      </c>
      <c r="I941" s="9">
        <v>41672.0</v>
      </c>
      <c r="J941" s="11">
        <f t="shared" si="5"/>
        <v>25</v>
      </c>
      <c r="K941" s="7" t="s">
        <v>198</v>
      </c>
      <c r="L941" s="7" t="s">
        <v>594</v>
      </c>
      <c r="M941" s="7" t="str">
        <f>VLOOKUP(L941,countries, 2,false)</f>
        <v>Poland</v>
      </c>
      <c r="N941" s="7" t="str">
        <f>VLOOKUP(L941,countries, 4,false)</f>
        <v>Europe</v>
      </c>
      <c r="O941" s="7" t="str">
        <f>VLOOKUP(L941,countries, 5,false)</f>
        <v>Eastern Europe</v>
      </c>
      <c r="P941" s="7" t="s">
        <v>212</v>
      </c>
      <c r="Q941" s="7">
        <v>6348.0</v>
      </c>
      <c r="R941" s="12">
        <v>47.45</v>
      </c>
      <c r="S941" s="12">
        <v>31.79</v>
      </c>
      <c r="T941" s="13">
        <f t="shared" si="6"/>
        <v>301212.6</v>
      </c>
      <c r="U941" s="13">
        <f t="shared" si="7"/>
        <v>576181.2</v>
      </c>
      <c r="V941" s="13">
        <f t="shared" si="8"/>
        <v>-274968.6</v>
      </c>
      <c r="W941" s="14">
        <f>Q941/totals!B$2</f>
        <v>0.0009652515523</v>
      </c>
      <c r="X941" s="14">
        <f t="shared" si="9"/>
        <v>0.702689293</v>
      </c>
      <c r="Y941" s="14">
        <f>T941/totals!B$5</f>
        <v>0.0001769622207</v>
      </c>
      <c r="Z941" s="14">
        <f t="shared" si="10"/>
        <v>0.7016371639</v>
      </c>
      <c r="AA941" s="14">
        <f>V941/totals!B$4</f>
        <v>-0.0005482807556</v>
      </c>
      <c r="AB941" s="14">
        <f t="shared" si="11"/>
        <v>0.7082460739</v>
      </c>
    </row>
    <row r="942">
      <c r="A942" s="7">
        <v>2103.0</v>
      </c>
      <c r="B942" s="7" t="str">
        <f>VLOOKUP($A942,product_category,2, False)</f>
        <v>Cereal</v>
      </c>
      <c r="C942" s="7">
        <v>7.15309798E8</v>
      </c>
      <c r="D942" s="9">
        <v>41280.0</v>
      </c>
      <c r="E942" s="10">
        <f t="shared" si="1"/>
        <v>1</v>
      </c>
      <c r="F942" s="10" t="str">
        <f t="shared" si="2"/>
        <v>Jan</v>
      </c>
      <c r="G942" s="11">
        <f t="shared" si="3"/>
        <v>6</v>
      </c>
      <c r="H942" s="7">
        <f t="shared" si="4"/>
        <v>2013</v>
      </c>
      <c r="I942" s="9">
        <v>41315.0</v>
      </c>
      <c r="J942" s="11">
        <f t="shared" si="5"/>
        <v>35</v>
      </c>
      <c r="K942" s="7" t="s">
        <v>110</v>
      </c>
      <c r="L942" s="7" t="s">
        <v>392</v>
      </c>
      <c r="M942" s="7" t="str">
        <f>VLOOKUP(L942,countries, 2,false)</f>
        <v>Italy</v>
      </c>
      <c r="N942" s="7" t="str">
        <f>VLOOKUP(L942,countries, 4,false)</f>
        <v>Europe</v>
      </c>
      <c r="O942" s="7" t="str">
        <f>VLOOKUP(L942,countries, 5,false)</f>
        <v>Southern Europe</v>
      </c>
      <c r="P942" s="7" t="s">
        <v>129</v>
      </c>
      <c r="Q942" s="7">
        <v>4920.0</v>
      </c>
      <c r="R942" s="12">
        <v>205.7</v>
      </c>
      <c r="S942" s="12">
        <v>117.11</v>
      </c>
      <c r="T942" s="13">
        <f t="shared" si="6"/>
        <v>1012044</v>
      </c>
      <c r="U942" s="13">
        <f t="shared" si="7"/>
        <v>806730.96</v>
      </c>
      <c r="V942" s="13">
        <f t="shared" si="8"/>
        <v>205313.04</v>
      </c>
      <c r="W942" s="14">
        <f>Q942/totals!B$2</f>
        <v>0.0007481155699</v>
      </c>
      <c r="X942" s="14">
        <f t="shared" si="9"/>
        <v>0.7034374086</v>
      </c>
      <c r="Y942" s="14">
        <f>T942/totals!B$5</f>
        <v>0.0005945752392</v>
      </c>
      <c r="Z942" s="14">
        <f t="shared" si="10"/>
        <v>0.7022317391</v>
      </c>
      <c r="AA942" s="14">
        <f>V942/totals!B$4</f>
        <v>0.0004093892492</v>
      </c>
      <c r="AB942" s="14">
        <f t="shared" si="11"/>
        <v>0.7086554632</v>
      </c>
    </row>
    <row r="943">
      <c r="A943" s="7">
        <v>5988.0</v>
      </c>
      <c r="B943" s="7" t="str">
        <f>VLOOKUP($A943,product_category,2, False)</f>
        <v>Vegetables</v>
      </c>
      <c r="C943" s="7">
        <v>7.15863835E8</v>
      </c>
      <c r="D943" s="9">
        <v>40915.0</v>
      </c>
      <c r="E943" s="10">
        <f t="shared" si="1"/>
        <v>1</v>
      </c>
      <c r="F943" s="10" t="str">
        <f t="shared" si="2"/>
        <v>Jan</v>
      </c>
      <c r="G943" s="11">
        <f t="shared" si="3"/>
        <v>7</v>
      </c>
      <c r="H943" s="7">
        <f t="shared" si="4"/>
        <v>2012</v>
      </c>
      <c r="I943" s="9">
        <v>40934.0</v>
      </c>
      <c r="J943" s="11">
        <f t="shared" si="5"/>
        <v>19</v>
      </c>
      <c r="K943" s="7" t="s">
        <v>198</v>
      </c>
      <c r="L943" s="7" t="s">
        <v>702</v>
      </c>
      <c r="M943" s="7" t="str">
        <f>VLOOKUP(L943,countries, 2,false)</f>
        <v>Sweden</v>
      </c>
      <c r="N943" s="7" t="str">
        <f>VLOOKUP(L943,countries, 4,false)</f>
        <v>Europe</v>
      </c>
      <c r="O943" s="7" t="str">
        <f>VLOOKUP(L943,countries, 5,false)</f>
        <v>Northern Europe</v>
      </c>
      <c r="P943" s="7" t="s">
        <v>129</v>
      </c>
      <c r="Q943" s="7">
        <v>8872.0</v>
      </c>
      <c r="R943" s="12">
        <v>154.06</v>
      </c>
      <c r="S943" s="12">
        <v>90.93</v>
      </c>
      <c r="T943" s="13">
        <f t="shared" si="6"/>
        <v>1366820.32</v>
      </c>
      <c r="U943" s="13">
        <f t="shared" si="7"/>
        <v>36385.36</v>
      </c>
      <c r="V943" s="13">
        <f t="shared" si="8"/>
        <v>1330434.96</v>
      </c>
      <c r="W943" s="14">
        <f>Q943/totals!B$2</f>
        <v>0.001349040922</v>
      </c>
      <c r="X943" s="14">
        <f t="shared" si="9"/>
        <v>0.7047864495</v>
      </c>
      <c r="Y943" s="14">
        <f>T943/totals!B$5</f>
        <v>0.0008030061131</v>
      </c>
      <c r="Z943" s="14">
        <f t="shared" si="10"/>
        <v>0.7030347452</v>
      </c>
      <c r="AA943" s="14">
        <f>V943/totals!B$4</f>
        <v>0.002652855217</v>
      </c>
      <c r="AB943" s="14">
        <f t="shared" si="11"/>
        <v>0.7113083184</v>
      </c>
    </row>
    <row r="944">
      <c r="A944" s="7">
        <v>4594.0</v>
      </c>
      <c r="B944" s="7" t="str">
        <f>VLOOKUP($A944,product_category,2, False)</f>
        <v>Fruits</v>
      </c>
      <c r="C944" s="7">
        <v>7.16054379E8</v>
      </c>
      <c r="D944" s="9">
        <v>42433.0</v>
      </c>
      <c r="E944" s="10">
        <f t="shared" si="1"/>
        <v>3</v>
      </c>
      <c r="F944" s="10" t="str">
        <f t="shared" si="2"/>
        <v>Mar</v>
      </c>
      <c r="G944" s="11">
        <f t="shared" si="3"/>
        <v>4</v>
      </c>
      <c r="H944" s="7">
        <f t="shared" si="4"/>
        <v>2016</v>
      </c>
      <c r="I944" s="9">
        <v>42455.0</v>
      </c>
      <c r="J944" s="11">
        <f t="shared" si="5"/>
        <v>22</v>
      </c>
      <c r="K944" s="7" t="s">
        <v>322</v>
      </c>
      <c r="L944" s="7" t="s">
        <v>56</v>
      </c>
      <c r="M944" s="7" t="str">
        <f>VLOOKUP(L944,countries, 2,false)</f>
        <v>Andorra</v>
      </c>
      <c r="N944" s="7" t="str">
        <f>VLOOKUP(L944,countries, 4,false)</f>
        <v>Europe</v>
      </c>
      <c r="O944" s="7" t="str">
        <f>VLOOKUP(L944,countries, 5,false)</f>
        <v>Southern Europe</v>
      </c>
      <c r="P944" s="7" t="s">
        <v>212</v>
      </c>
      <c r="Q944" s="7">
        <v>5258.0</v>
      </c>
      <c r="R944" s="12">
        <v>9.33</v>
      </c>
      <c r="S944" s="12">
        <v>6.92</v>
      </c>
      <c r="T944" s="13">
        <f t="shared" si="6"/>
        <v>49057.14</v>
      </c>
      <c r="U944" s="13">
        <f t="shared" si="7"/>
        <v>44882.64</v>
      </c>
      <c r="V944" s="13">
        <f t="shared" si="8"/>
        <v>4174.5</v>
      </c>
      <c r="W944" s="14">
        <f>Q944/totals!B$2</f>
        <v>0.0007995105013</v>
      </c>
      <c r="X944" s="14">
        <f t="shared" si="9"/>
        <v>0.70558596</v>
      </c>
      <c r="Y944" s="14">
        <f>T944/totals!B$5</f>
        <v>0.00002882104014</v>
      </c>
      <c r="Z944" s="14">
        <f t="shared" si="10"/>
        <v>0.7030635663</v>
      </c>
      <c r="AA944" s="14">
        <f>V944/totals!B$4</f>
        <v>0.000008323852302</v>
      </c>
      <c r="AB944" s="14">
        <f t="shared" si="11"/>
        <v>0.7113166422</v>
      </c>
    </row>
    <row r="945">
      <c r="A945" s="7">
        <v>3127.0</v>
      </c>
      <c r="B945" s="7" t="str">
        <f>VLOOKUP($A945,product_category,2, False)</f>
        <v>Personal Care</v>
      </c>
      <c r="C945" s="7">
        <v>7.16411006E8</v>
      </c>
      <c r="D945" s="9">
        <v>41666.0</v>
      </c>
      <c r="E945" s="10">
        <f t="shared" si="1"/>
        <v>1</v>
      </c>
      <c r="F945" s="10" t="str">
        <f t="shared" si="2"/>
        <v>Jan</v>
      </c>
      <c r="G945" s="11">
        <f t="shared" si="3"/>
        <v>27</v>
      </c>
      <c r="H945" s="7">
        <f t="shared" si="4"/>
        <v>2014</v>
      </c>
      <c r="I945" s="9">
        <v>41687.0</v>
      </c>
      <c r="J945" s="11">
        <f t="shared" si="5"/>
        <v>21</v>
      </c>
      <c r="K945" s="7" t="s">
        <v>322</v>
      </c>
      <c r="L945" s="7" t="s">
        <v>432</v>
      </c>
      <c r="M945" s="7" t="str">
        <f>VLOOKUP(L945,countries, 2,false)</f>
        <v>Latvia</v>
      </c>
      <c r="N945" s="7" t="str">
        <f>VLOOKUP(L945,countries, 4,false)</f>
        <v>Europe</v>
      </c>
      <c r="O945" s="7" t="str">
        <f>VLOOKUP(L945,countries, 5,false)</f>
        <v>Northern Europe</v>
      </c>
      <c r="P945" s="7" t="s">
        <v>129</v>
      </c>
      <c r="Q945" s="7">
        <v>792.0</v>
      </c>
      <c r="R945" s="12">
        <v>81.73</v>
      </c>
      <c r="S945" s="12">
        <v>56.67</v>
      </c>
      <c r="T945" s="13">
        <f t="shared" si="6"/>
        <v>64730.16</v>
      </c>
      <c r="U945" s="13">
        <f t="shared" si="7"/>
        <v>150671.01</v>
      </c>
      <c r="V945" s="13">
        <f t="shared" si="8"/>
        <v>-85940.85</v>
      </c>
      <c r="W945" s="14">
        <f>Q945/totals!B$2</f>
        <v>0.00012042836</v>
      </c>
      <c r="X945" s="14">
        <f t="shared" si="9"/>
        <v>0.7057063884</v>
      </c>
      <c r="Y945" s="14">
        <f>T945/totals!B$5</f>
        <v>0.00003802892993</v>
      </c>
      <c r="Z945" s="14">
        <f t="shared" si="10"/>
        <v>0.7031015952</v>
      </c>
      <c r="AA945" s="14">
        <f>V945/totals!B$4</f>
        <v>-0.0001713639818</v>
      </c>
      <c r="AB945" s="14">
        <f t="shared" si="11"/>
        <v>0.7111452783</v>
      </c>
    </row>
    <row r="946">
      <c r="A946" s="7">
        <v>5988.0</v>
      </c>
      <c r="B946" s="7" t="str">
        <f>VLOOKUP($A946,product_category,2, False)</f>
        <v>Vegetables</v>
      </c>
      <c r="C946" s="7">
        <v>7.1783322E8</v>
      </c>
      <c r="D946" s="9">
        <v>41720.0</v>
      </c>
      <c r="E946" s="10">
        <f t="shared" si="1"/>
        <v>3</v>
      </c>
      <c r="F946" s="10" t="str">
        <f t="shared" si="2"/>
        <v>Mar</v>
      </c>
      <c r="G946" s="11">
        <f t="shared" si="3"/>
        <v>22</v>
      </c>
      <c r="H946" s="7">
        <f t="shared" si="4"/>
        <v>2014</v>
      </c>
      <c r="I946" s="9">
        <v>41732.0</v>
      </c>
      <c r="J946" s="11">
        <f t="shared" si="5"/>
        <v>12</v>
      </c>
      <c r="K946" s="7" t="s">
        <v>198</v>
      </c>
      <c r="L946" s="7" t="s">
        <v>200</v>
      </c>
      <c r="M946" s="7" t="str">
        <f>VLOOKUP(L946,countries, 2,false)</f>
        <v>Serbia</v>
      </c>
      <c r="N946" s="7" t="str">
        <f>VLOOKUP(L946,countries, 4,false)</f>
        <v>Europe</v>
      </c>
      <c r="O946" s="7" t="str">
        <f>VLOOKUP(L946,countries, 5,false)</f>
        <v>Southern Europe</v>
      </c>
      <c r="P946" s="7" t="s">
        <v>212</v>
      </c>
      <c r="Q946" s="7">
        <v>1657.0</v>
      </c>
      <c r="R946" s="12">
        <v>154.06</v>
      </c>
      <c r="S946" s="12">
        <v>90.93</v>
      </c>
      <c r="T946" s="13">
        <f t="shared" si="6"/>
        <v>255277.42</v>
      </c>
      <c r="U946" s="13">
        <f t="shared" si="7"/>
        <v>2007447.04</v>
      </c>
      <c r="V946" s="13">
        <f t="shared" si="8"/>
        <v>-1752169.62</v>
      </c>
      <c r="W946" s="14">
        <f>Q946/totals!B$2</f>
        <v>0.0002519568088</v>
      </c>
      <c r="X946" s="14">
        <f t="shared" si="9"/>
        <v>0.7059583452</v>
      </c>
      <c r="Y946" s="14">
        <f>T946/totals!B$5</f>
        <v>0.0001499753302</v>
      </c>
      <c r="Z946" s="14">
        <f t="shared" si="10"/>
        <v>0.7032515705</v>
      </c>
      <c r="AA946" s="14">
        <f>V946/totals!B$4</f>
        <v>-0.003493783956</v>
      </c>
      <c r="AB946" s="14">
        <f t="shared" si="11"/>
        <v>0.7076514943</v>
      </c>
    </row>
    <row r="947">
      <c r="A947" s="7">
        <v>8681.0</v>
      </c>
      <c r="B947" s="7" t="str">
        <f>VLOOKUP($A947,product_category,2, False)</f>
        <v>Office Supplies</v>
      </c>
      <c r="C947" s="7">
        <v>7.1929363E8</v>
      </c>
      <c r="D947" s="9">
        <v>40576.0</v>
      </c>
      <c r="E947" s="10">
        <f t="shared" si="1"/>
        <v>2</v>
      </c>
      <c r="F947" s="10" t="str">
        <f t="shared" si="2"/>
        <v>Feb</v>
      </c>
      <c r="G947" s="11">
        <f t="shared" si="3"/>
        <v>2</v>
      </c>
      <c r="H947" s="7">
        <f t="shared" si="4"/>
        <v>2011</v>
      </c>
      <c r="I947" s="9">
        <v>40599.0</v>
      </c>
      <c r="J947" s="11">
        <f t="shared" si="5"/>
        <v>23</v>
      </c>
      <c r="K947" s="7" t="s">
        <v>110</v>
      </c>
      <c r="L947" s="7" t="s">
        <v>534</v>
      </c>
      <c r="M947" s="7" t="str">
        <f>VLOOKUP(L947,countries, 2,false)</f>
        <v>Netherlands</v>
      </c>
      <c r="N947" s="7" t="str">
        <f>VLOOKUP(L947,countries, 4,false)</f>
        <v>Europe</v>
      </c>
      <c r="O947" s="7" t="str">
        <f>VLOOKUP(L947,countries, 5,false)</f>
        <v>Western Europe</v>
      </c>
      <c r="P947" s="7" t="s">
        <v>212</v>
      </c>
      <c r="Q947" s="7">
        <v>3824.0</v>
      </c>
      <c r="R947" s="12">
        <v>651.21</v>
      </c>
      <c r="S947" s="12">
        <v>524.96</v>
      </c>
      <c r="T947" s="13">
        <f t="shared" si="6"/>
        <v>2490227.04</v>
      </c>
      <c r="U947" s="13">
        <f t="shared" si="7"/>
        <v>3458961.44</v>
      </c>
      <c r="V947" s="13">
        <f t="shared" si="8"/>
        <v>-968734.4</v>
      </c>
      <c r="W947" s="14">
        <f>Q947/totals!B$2</f>
        <v>0.0005814621828</v>
      </c>
      <c r="X947" s="14">
        <f t="shared" si="9"/>
        <v>0.7065398074</v>
      </c>
      <c r="Y947" s="14">
        <f>T947/totals!B$5</f>
        <v>0.001463006883</v>
      </c>
      <c r="Z947" s="14">
        <f t="shared" si="10"/>
        <v>0.7047145774</v>
      </c>
      <c r="AA947" s="14">
        <f>V947/totals!B$4</f>
        <v>-0.001931633026</v>
      </c>
      <c r="AB947" s="14">
        <f t="shared" si="11"/>
        <v>0.7057198613</v>
      </c>
    </row>
    <row r="948">
      <c r="A948" s="7">
        <v>8681.0</v>
      </c>
      <c r="B948" s="7" t="str">
        <f>VLOOKUP($A948,product_category,2, False)</f>
        <v>Office Supplies</v>
      </c>
      <c r="C948" s="7">
        <v>7.19404351E8</v>
      </c>
      <c r="D948" s="9">
        <v>40898.0</v>
      </c>
      <c r="E948" s="10">
        <f t="shared" si="1"/>
        <v>12</v>
      </c>
      <c r="F948" s="10" t="str">
        <f t="shared" si="2"/>
        <v>Dec</v>
      </c>
      <c r="G948" s="11">
        <f t="shared" si="3"/>
        <v>21</v>
      </c>
      <c r="H948" s="7">
        <f t="shared" si="4"/>
        <v>2011</v>
      </c>
      <c r="I948" s="9">
        <v>40918.0</v>
      </c>
      <c r="J948" s="11">
        <f t="shared" si="5"/>
        <v>20</v>
      </c>
      <c r="K948" s="7" t="s">
        <v>382</v>
      </c>
      <c r="L948" s="7" t="s">
        <v>283</v>
      </c>
      <c r="M948" s="7" t="str">
        <f>VLOOKUP(L948,countries, 2,false)</f>
        <v>Finland</v>
      </c>
      <c r="N948" s="7" t="str">
        <f>VLOOKUP(L948,countries, 4,false)</f>
        <v>Europe</v>
      </c>
      <c r="O948" s="7" t="str">
        <f>VLOOKUP(L948,countries, 5,false)</f>
        <v>Northern Europe</v>
      </c>
      <c r="P948" s="7" t="s">
        <v>129</v>
      </c>
      <c r="Q948" s="7">
        <v>6589.0</v>
      </c>
      <c r="R948" s="12">
        <v>651.21</v>
      </c>
      <c r="S948" s="12">
        <v>524.96</v>
      </c>
      <c r="T948" s="13">
        <f t="shared" si="6"/>
        <v>4290822.69</v>
      </c>
      <c r="U948" s="13">
        <f t="shared" si="7"/>
        <v>106767.36</v>
      </c>
      <c r="V948" s="13">
        <f t="shared" si="8"/>
        <v>4184055.33</v>
      </c>
      <c r="W948" s="14">
        <f>Q948/totals!B$2</f>
        <v>0.001001897051</v>
      </c>
      <c r="X948" s="14">
        <f t="shared" si="9"/>
        <v>0.7075417044</v>
      </c>
      <c r="Y948" s="14">
        <f>T948/totals!B$5</f>
        <v>0.002520855741</v>
      </c>
      <c r="Z948" s="14">
        <f t="shared" si="10"/>
        <v>0.7072354332</v>
      </c>
      <c r="AA948" s="14">
        <f>V948/totals!B$4</f>
        <v>0.0083429054</v>
      </c>
      <c r="AB948" s="14">
        <f t="shared" si="11"/>
        <v>0.7140627667</v>
      </c>
    </row>
    <row r="949">
      <c r="A949" s="7">
        <v>2455.0</v>
      </c>
      <c r="B949" s="7" t="str">
        <f>VLOOKUP($A949,product_category,2, False)</f>
        <v>Clothes</v>
      </c>
      <c r="C949" s="7">
        <v>7.19730079E8</v>
      </c>
      <c r="D949" s="9">
        <v>41007.0</v>
      </c>
      <c r="E949" s="10">
        <f t="shared" si="1"/>
        <v>4</v>
      </c>
      <c r="F949" s="10" t="str">
        <f t="shared" si="2"/>
        <v>Apr</v>
      </c>
      <c r="G949" s="11">
        <f t="shared" si="3"/>
        <v>8</v>
      </c>
      <c r="H949" s="7">
        <f t="shared" si="4"/>
        <v>2012</v>
      </c>
      <c r="I949" s="9">
        <v>41035.0</v>
      </c>
      <c r="J949" s="11">
        <f t="shared" si="5"/>
        <v>28</v>
      </c>
      <c r="K949" s="7" t="s">
        <v>382</v>
      </c>
      <c r="L949" s="7" t="s">
        <v>534</v>
      </c>
      <c r="M949" s="7" t="str">
        <f>VLOOKUP(L949,countries, 2,false)</f>
        <v>Netherlands</v>
      </c>
      <c r="N949" s="7" t="str">
        <f>VLOOKUP(L949,countries, 4,false)</f>
        <v>Europe</v>
      </c>
      <c r="O949" s="7" t="str">
        <f>VLOOKUP(L949,countries, 5,false)</f>
        <v>Western Europe</v>
      </c>
      <c r="P949" s="7" t="s">
        <v>212</v>
      </c>
      <c r="Q949" s="7">
        <v>2979.0</v>
      </c>
      <c r="R949" s="12">
        <v>109.28</v>
      </c>
      <c r="S949" s="12">
        <v>35.84</v>
      </c>
      <c r="T949" s="13">
        <f t="shared" si="6"/>
        <v>325545.12</v>
      </c>
      <c r="U949" s="13">
        <f t="shared" si="7"/>
        <v>5556.76</v>
      </c>
      <c r="V949" s="13">
        <f t="shared" si="8"/>
        <v>319988.36</v>
      </c>
      <c r="W949" s="14">
        <f>Q949/totals!B$2</f>
        <v>0.0004529748542</v>
      </c>
      <c r="X949" s="14">
        <f t="shared" si="9"/>
        <v>0.7079946793</v>
      </c>
      <c r="Y949" s="14">
        <f>T949/totals!B$5</f>
        <v>0.0001912575615</v>
      </c>
      <c r="Z949" s="14">
        <f t="shared" si="10"/>
        <v>0.7074266907</v>
      </c>
      <c r="AA949" s="14">
        <f>V949/totals!B$4</f>
        <v>0.000638049071</v>
      </c>
      <c r="AB949" s="14">
        <f t="shared" si="11"/>
        <v>0.7147008157</v>
      </c>
    </row>
    <row r="950">
      <c r="A950" s="7">
        <v>4594.0</v>
      </c>
      <c r="B950" s="7" t="str">
        <f>VLOOKUP($A950,product_category,2, False)</f>
        <v>Fruits</v>
      </c>
      <c r="C950" s="7">
        <v>7.20229613E8</v>
      </c>
      <c r="D950" s="9">
        <v>42070.0</v>
      </c>
      <c r="E950" s="10">
        <f t="shared" si="1"/>
        <v>3</v>
      </c>
      <c r="F950" s="10" t="str">
        <f t="shared" si="2"/>
        <v>Mar</v>
      </c>
      <c r="G950" s="11">
        <f t="shared" si="3"/>
        <v>7</v>
      </c>
      <c r="H950" s="7">
        <f t="shared" si="4"/>
        <v>2015</v>
      </c>
      <c r="I950" s="9">
        <v>42074.0</v>
      </c>
      <c r="J950" s="11">
        <f t="shared" si="5"/>
        <v>4</v>
      </c>
      <c r="K950" s="7" t="s">
        <v>198</v>
      </c>
      <c r="L950" s="7" t="e">
        <v>#N/A</v>
      </c>
      <c r="M950" s="7"/>
      <c r="N950" s="7"/>
      <c r="O950" s="7"/>
      <c r="P950" s="7" t="s">
        <v>129</v>
      </c>
      <c r="Q950" s="7">
        <v>803.0</v>
      </c>
      <c r="R950" s="12">
        <v>9.33</v>
      </c>
      <c r="S950" s="12">
        <v>6.92</v>
      </c>
      <c r="T950" s="13">
        <f t="shared" si="6"/>
        <v>7491.99</v>
      </c>
      <c r="U950" s="13">
        <f t="shared" si="7"/>
        <v>469970.16</v>
      </c>
      <c r="V950" s="13">
        <f t="shared" si="8"/>
        <v>-462478.17</v>
      </c>
      <c r="W950" s="14">
        <f>Q950/totals!B$2</f>
        <v>0.0001221009761</v>
      </c>
      <c r="X950" s="14">
        <f t="shared" si="9"/>
        <v>0.7081167802</v>
      </c>
      <c r="Y950" s="14">
        <f>T950/totals!B$5</f>
        <v>0.000004401539603</v>
      </c>
      <c r="Z950" s="14">
        <f t="shared" si="10"/>
        <v>0.7074310923</v>
      </c>
      <c r="AA950" s="14">
        <f>V950/totals!B$4</f>
        <v>-0.000922170315</v>
      </c>
      <c r="AB950" s="14">
        <f t="shared" si="11"/>
        <v>0.7137786454</v>
      </c>
    </row>
    <row r="951">
      <c r="A951" s="7">
        <v>7331.0</v>
      </c>
      <c r="B951" s="7" t="str">
        <f>VLOOKUP($A951,product_category,2, False)</f>
        <v>Baby Food</v>
      </c>
      <c r="C951" s="7">
        <v>7.20878922E8</v>
      </c>
      <c r="D951" s="9">
        <v>41082.0</v>
      </c>
      <c r="E951" s="10">
        <f t="shared" si="1"/>
        <v>6</v>
      </c>
      <c r="F951" s="10" t="str">
        <f t="shared" si="2"/>
        <v>Jun</v>
      </c>
      <c r="G951" s="11">
        <f t="shared" si="3"/>
        <v>22</v>
      </c>
      <c r="H951" s="7">
        <f t="shared" si="4"/>
        <v>2012</v>
      </c>
      <c r="I951" s="9">
        <v>41122.0</v>
      </c>
      <c r="J951" s="11">
        <f t="shared" si="5"/>
        <v>40</v>
      </c>
      <c r="K951" s="7" t="s">
        <v>382</v>
      </c>
      <c r="L951" s="7" t="s">
        <v>448</v>
      </c>
      <c r="M951" s="7" t="str">
        <f>VLOOKUP(L951,countries, 2,false)</f>
        <v>Liechtenstein</v>
      </c>
      <c r="N951" s="7" t="str">
        <f>VLOOKUP(L951,countries, 4,false)</f>
        <v>Europe</v>
      </c>
      <c r="O951" s="7" t="str">
        <f>VLOOKUP(L951,countries, 5,false)</f>
        <v>Western Europe</v>
      </c>
      <c r="P951" s="7" t="s">
        <v>129</v>
      </c>
      <c r="Q951" s="7">
        <v>2948.0</v>
      </c>
      <c r="R951" s="12">
        <v>255.28</v>
      </c>
      <c r="S951" s="12">
        <v>159.42</v>
      </c>
      <c r="T951" s="13">
        <f t="shared" si="6"/>
        <v>752565.44</v>
      </c>
      <c r="U951" s="13">
        <f t="shared" si="7"/>
        <v>822491.04</v>
      </c>
      <c r="V951" s="13">
        <f t="shared" si="8"/>
        <v>-69925.6</v>
      </c>
      <c r="W951" s="14">
        <f>Q951/totals!B$2</f>
        <v>0.0004482611179</v>
      </c>
      <c r="X951" s="14">
        <f t="shared" si="9"/>
        <v>0.7085650414</v>
      </c>
      <c r="Y951" s="14">
        <f>T951/totals!B$5</f>
        <v>0.0004421317418</v>
      </c>
      <c r="Z951" s="14">
        <f t="shared" si="10"/>
        <v>0.707873224</v>
      </c>
      <c r="AA951" s="14">
        <f>V951/totals!B$4</f>
        <v>-0.0001394299596</v>
      </c>
      <c r="AB951" s="14">
        <f t="shared" si="11"/>
        <v>0.7136392155</v>
      </c>
    </row>
    <row r="952">
      <c r="A952" s="7">
        <v>8969.0</v>
      </c>
      <c r="B952" s="7" t="str">
        <f>VLOOKUP($A952,product_category,2, False)</f>
        <v>Snacks</v>
      </c>
      <c r="C952" s="7">
        <v>7.20931279E8</v>
      </c>
      <c r="D952" s="9">
        <v>41212.0</v>
      </c>
      <c r="E952" s="10">
        <f t="shared" si="1"/>
        <v>10</v>
      </c>
      <c r="F952" s="10" t="str">
        <f t="shared" si="2"/>
        <v>Oct</v>
      </c>
      <c r="G952" s="11">
        <f t="shared" si="3"/>
        <v>30</v>
      </c>
      <c r="H952" s="7">
        <f t="shared" si="4"/>
        <v>2012</v>
      </c>
      <c r="I952" s="9">
        <v>41231.0</v>
      </c>
      <c r="J952" s="11">
        <f t="shared" si="5"/>
        <v>19</v>
      </c>
      <c r="K952" s="7" t="s">
        <v>322</v>
      </c>
      <c r="L952" s="7" t="s">
        <v>367</v>
      </c>
      <c r="M952" s="7" t="str">
        <f>VLOOKUP(L952,countries, 2,false)</f>
        <v>Iceland</v>
      </c>
      <c r="N952" s="7" t="str">
        <f>VLOOKUP(L952,countries, 4,false)</f>
        <v>Europe</v>
      </c>
      <c r="O952" s="7" t="str">
        <f>VLOOKUP(L952,countries, 5,false)</f>
        <v>Northern Europe</v>
      </c>
      <c r="P952" s="7" t="s">
        <v>212</v>
      </c>
      <c r="Q952" s="7">
        <v>8441.0</v>
      </c>
      <c r="R952" s="12">
        <v>152.58</v>
      </c>
      <c r="S952" s="12">
        <v>97.44</v>
      </c>
      <c r="T952" s="13">
        <f t="shared" si="6"/>
        <v>1287927.78</v>
      </c>
      <c r="U952" s="13">
        <f t="shared" si="7"/>
        <v>21576.56</v>
      </c>
      <c r="V952" s="13">
        <f t="shared" si="8"/>
        <v>1266351.22</v>
      </c>
      <c r="W952" s="14">
        <f>Q952/totals!B$2</f>
        <v>0.001283504782</v>
      </c>
      <c r="X952" s="14">
        <f t="shared" si="9"/>
        <v>0.7098485461</v>
      </c>
      <c r="Y952" s="14">
        <f>T952/totals!B$5</f>
        <v>0.0007566567934</v>
      </c>
      <c r="Z952" s="14">
        <f t="shared" si="10"/>
        <v>0.7086298808</v>
      </c>
      <c r="AA952" s="14">
        <f>V952/totals!B$4</f>
        <v>0.002525073786</v>
      </c>
      <c r="AB952" s="14">
        <f t="shared" si="11"/>
        <v>0.7161642893</v>
      </c>
    </row>
    <row r="953">
      <c r="A953" s="7">
        <v>4594.0</v>
      </c>
      <c r="B953" s="7" t="str">
        <f>VLOOKUP($A953,product_category,2, False)</f>
        <v>Fruits</v>
      </c>
      <c r="C953" s="7">
        <v>7.21318805E8</v>
      </c>
      <c r="D953" s="9">
        <v>42337.0</v>
      </c>
      <c r="E953" s="10">
        <f t="shared" si="1"/>
        <v>11</v>
      </c>
      <c r="F953" s="10" t="str">
        <f t="shared" si="2"/>
        <v>Nov</v>
      </c>
      <c r="G953" s="11">
        <f t="shared" si="3"/>
        <v>29</v>
      </c>
      <c r="H953" s="7">
        <f t="shared" si="4"/>
        <v>2015</v>
      </c>
      <c r="I953" s="9">
        <v>42347.0</v>
      </c>
      <c r="J953" s="11">
        <f t="shared" si="5"/>
        <v>10</v>
      </c>
      <c r="K953" s="7" t="s">
        <v>322</v>
      </c>
      <c r="L953" s="7" t="s">
        <v>705</v>
      </c>
      <c r="M953" s="7" t="str">
        <f>VLOOKUP(L953,countries, 2,false)</f>
        <v>Switzerland</v>
      </c>
      <c r="N953" s="7" t="str">
        <f>VLOOKUP(L953,countries, 4,false)</f>
        <v>Europe</v>
      </c>
      <c r="O953" s="7" t="str">
        <f>VLOOKUP(L953,countries, 5,false)</f>
        <v>Western Europe</v>
      </c>
      <c r="P953" s="7" t="s">
        <v>212</v>
      </c>
      <c r="Q953" s="7">
        <v>3118.0</v>
      </c>
      <c r="R953" s="12">
        <v>9.33</v>
      </c>
      <c r="S953" s="12">
        <v>6.92</v>
      </c>
      <c r="T953" s="13">
        <f t="shared" si="6"/>
        <v>29090.94</v>
      </c>
      <c r="U953" s="13">
        <f t="shared" si="7"/>
        <v>340714.71</v>
      </c>
      <c r="V953" s="13">
        <f t="shared" si="8"/>
        <v>-311623.77</v>
      </c>
      <c r="W953" s="14">
        <f>Q953/totals!B$2</f>
        <v>0.0004741106396</v>
      </c>
      <c r="X953" s="14">
        <f t="shared" si="9"/>
        <v>0.7103226568</v>
      </c>
      <c r="Y953" s="14">
        <f>T953/totals!B$5</f>
        <v>0.00001709090969</v>
      </c>
      <c r="Z953" s="14">
        <f t="shared" si="10"/>
        <v>0.7086469717</v>
      </c>
      <c r="AA953" s="14">
        <f>V953/totals!B$4</f>
        <v>-0.0006213702803</v>
      </c>
      <c r="AB953" s="14">
        <f t="shared" si="11"/>
        <v>0.715542919</v>
      </c>
    </row>
    <row r="954">
      <c r="A954" s="7">
        <v>5988.0</v>
      </c>
      <c r="B954" s="7" t="str">
        <f>VLOOKUP($A954,product_category,2, False)</f>
        <v>Vegetables</v>
      </c>
      <c r="C954" s="7">
        <v>7.22233331E8</v>
      </c>
      <c r="D954" s="9">
        <v>42825.0</v>
      </c>
      <c r="E954" s="10">
        <f t="shared" si="1"/>
        <v>3</v>
      </c>
      <c r="F954" s="10" t="str">
        <f t="shared" si="2"/>
        <v>Mar</v>
      </c>
      <c r="G954" s="11">
        <f t="shared" si="3"/>
        <v>31</v>
      </c>
      <c r="H954" s="7">
        <f t="shared" si="4"/>
        <v>2017</v>
      </c>
      <c r="I954" s="9">
        <v>42831.0</v>
      </c>
      <c r="J954" s="11">
        <f t="shared" si="5"/>
        <v>6</v>
      </c>
      <c r="K954" s="7" t="s">
        <v>382</v>
      </c>
      <c r="L954" s="7" t="s">
        <v>540</v>
      </c>
      <c r="M954" s="7" t="str">
        <f>VLOOKUP(L954,countries, 2,false)</f>
        <v>Spain</v>
      </c>
      <c r="N954" s="7" t="str">
        <f>VLOOKUP(L954,countries, 4,false)</f>
        <v>Europe</v>
      </c>
      <c r="O954" s="7" t="str">
        <f>VLOOKUP(L954,countries, 5,false)</f>
        <v>Southern Europe</v>
      </c>
      <c r="P954" s="7" t="s">
        <v>129</v>
      </c>
      <c r="Q954" s="7">
        <v>3747.0</v>
      </c>
      <c r="R954" s="12">
        <v>154.06</v>
      </c>
      <c r="S954" s="12">
        <v>90.93</v>
      </c>
      <c r="T954" s="13">
        <f t="shared" si="6"/>
        <v>577262.82</v>
      </c>
      <c r="U954" s="13">
        <f t="shared" si="7"/>
        <v>810603.36</v>
      </c>
      <c r="V954" s="13">
        <f t="shared" si="8"/>
        <v>-233340.54</v>
      </c>
      <c r="W954" s="14">
        <f>Q954/totals!B$2</f>
        <v>0.00056975387</v>
      </c>
      <c r="X954" s="14">
        <f t="shared" si="9"/>
        <v>0.7108924106</v>
      </c>
      <c r="Y954" s="14">
        <f>T954/totals!B$5</f>
        <v>0.0003391415583</v>
      </c>
      <c r="Z954" s="14">
        <f t="shared" si="10"/>
        <v>0.7089861133</v>
      </c>
      <c r="AA954" s="14">
        <f>V954/totals!B$4</f>
        <v>-0.0004652754081</v>
      </c>
      <c r="AB954" s="14">
        <f t="shared" si="11"/>
        <v>0.7150776436</v>
      </c>
    </row>
    <row r="955">
      <c r="A955" s="7">
        <v>8969.0</v>
      </c>
      <c r="B955" s="7" t="str">
        <f>VLOOKUP($A955,product_category,2, False)</f>
        <v>Snacks</v>
      </c>
      <c r="C955" s="7">
        <v>7.2224878E8</v>
      </c>
      <c r="D955" s="9">
        <v>41005.0</v>
      </c>
      <c r="E955" s="10">
        <f t="shared" si="1"/>
        <v>4</v>
      </c>
      <c r="F955" s="10" t="str">
        <f t="shared" si="2"/>
        <v>Apr</v>
      </c>
      <c r="G955" s="11">
        <f t="shared" si="3"/>
        <v>6</v>
      </c>
      <c r="H955" s="7">
        <f t="shared" si="4"/>
        <v>2012</v>
      </c>
      <c r="I955" s="9">
        <v>41007.0</v>
      </c>
      <c r="J955" s="11">
        <f t="shared" si="5"/>
        <v>2</v>
      </c>
      <c r="K955" s="7" t="s">
        <v>382</v>
      </c>
      <c r="L955" s="7" t="s">
        <v>705</v>
      </c>
      <c r="M955" s="7" t="str">
        <f>VLOOKUP(L955,countries, 2,false)</f>
        <v>Switzerland</v>
      </c>
      <c r="N955" s="7" t="str">
        <f>VLOOKUP(L955,countries, 4,false)</f>
        <v>Europe</v>
      </c>
      <c r="O955" s="7" t="str">
        <f>VLOOKUP(L955,countries, 5,false)</f>
        <v>Western Europe</v>
      </c>
      <c r="P955" s="7" t="s">
        <v>129</v>
      </c>
      <c r="Q955" s="7">
        <v>8319.0</v>
      </c>
      <c r="R955" s="12">
        <v>152.58</v>
      </c>
      <c r="S955" s="12">
        <v>97.44</v>
      </c>
      <c r="T955" s="13">
        <f t="shared" si="6"/>
        <v>1269313.02</v>
      </c>
      <c r="U955" s="13">
        <f t="shared" si="7"/>
        <v>2560441.3</v>
      </c>
      <c r="V955" s="13">
        <f t="shared" si="8"/>
        <v>-1291128.28</v>
      </c>
      <c r="W955" s="14">
        <f>Q955/totals!B$2</f>
        <v>0.001264953948</v>
      </c>
      <c r="X955" s="14">
        <f t="shared" si="9"/>
        <v>0.7121573646</v>
      </c>
      <c r="Y955" s="14">
        <f>T955/totals!B$5</f>
        <v>0.0007457206332</v>
      </c>
      <c r="Z955" s="14">
        <f t="shared" si="10"/>
        <v>0.7097318339</v>
      </c>
      <c r="AA955" s="14">
        <f>V955/totals!B$4</f>
        <v>-0.002574478646</v>
      </c>
      <c r="AB955" s="14">
        <f t="shared" si="11"/>
        <v>0.7125031649</v>
      </c>
    </row>
    <row r="956">
      <c r="A956" s="7">
        <v>7940.0</v>
      </c>
      <c r="B956" s="7" t="str">
        <f>VLOOKUP($A956,product_category,2, False)</f>
        <v>Household</v>
      </c>
      <c r="C956" s="7">
        <v>7.23893725E8</v>
      </c>
      <c r="D956" s="9">
        <v>41318.0</v>
      </c>
      <c r="E956" s="10">
        <f t="shared" si="1"/>
        <v>2</v>
      </c>
      <c r="F956" s="10" t="str">
        <f t="shared" si="2"/>
        <v>Feb</v>
      </c>
      <c r="G956" s="11">
        <f t="shared" si="3"/>
        <v>13</v>
      </c>
      <c r="H956" s="7">
        <f t="shared" si="4"/>
        <v>2013</v>
      </c>
      <c r="I956" s="9">
        <v>41344.0</v>
      </c>
      <c r="J956" s="11">
        <f t="shared" si="5"/>
        <v>26</v>
      </c>
      <c r="K956" s="7" t="s">
        <v>198</v>
      </c>
      <c r="L956" s="7" t="s">
        <v>136</v>
      </c>
      <c r="M956" s="7" t="str">
        <f>VLOOKUP(L956,countries, 2,false)</f>
        <v>Bosnia and Herzegovina</v>
      </c>
      <c r="N956" s="7" t="str">
        <f>VLOOKUP(L956,countries, 4,false)</f>
        <v>Europe</v>
      </c>
      <c r="O956" s="7" t="str">
        <f>VLOOKUP(L956,countries, 5,false)</f>
        <v>Southern Europe</v>
      </c>
      <c r="P956" s="7" t="s">
        <v>129</v>
      </c>
      <c r="Q956" s="7">
        <v>5095.0</v>
      </c>
      <c r="R956" s="12">
        <v>668.27</v>
      </c>
      <c r="S956" s="12">
        <v>502.54</v>
      </c>
      <c r="T956" s="13">
        <f t="shared" si="6"/>
        <v>3404835.65</v>
      </c>
      <c r="U956" s="13">
        <f t="shared" si="7"/>
        <v>12006.2</v>
      </c>
      <c r="V956" s="13">
        <f t="shared" si="8"/>
        <v>3392829.45</v>
      </c>
      <c r="W956" s="14">
        <f>Q956/totals!B$2</f>
        <v>0.0007747253716</v>
      </c>
      <c r="X956" s="14">
        <f t="shared" si="9"/>
        <v>0.71293209</v>
      </c>
      <c r="Y956" s="14">
        <f>T956/totals!B$5</f>
        <v>0.002000338889</v>
      </c>
      <c r="Z956" s="14">
        <f t="shared" si="10"/>
        <v>0.7117321728</v>
      </c>
      <c r="AA956" s="14">
        <f>V956/totals!B$4</f>
        <v>0.006765220081</v>
      </c>
      <c r="AB956" s="14">
        <f t="shared" si="11"/>
        <v>0.719268385</v>
      </c>
    </row>
    <row r="957">
      <c r="A957" s="7">
        <v>4594.0</v>
      </c>
      <c r="B957" s="7" t="str">
        <f>VLOOKUP($A957,product_category,2, False)</f>
        <v>Fruits</v>
      </c>
      <c r="C957" s="7">
        <v>7.24085128E8</v>
      </c>
      <c r="D957" s="9">
        <v>41660.0</v>
      </c>
      <c r="E957" s="10">
        <f t="shared" si="1"/>
        <v>1</v>
      </c>
      <c r="F957" s="10" t="str">
        <f t="shared" si="2"/>
        <v>Jan</v>
      </c>
      <c r="G957" s="11">
        <f t="shared" si="3"/>
        <v>21</v>
      </c>
      <c r="H957" s="7">
        <f t="shared" si="4"/>
        <v>2014</v>
      </c>
      <c r="I957" s="9">
        <v>41680.0</v>
      </c>
      <c r="J957" s="11">
        <f t="shared" si="5"/>
        <v>20</v>
      </c>
      <c r="K957" s="7" t="s">
        <v>110</v>
      </c>
      <c r="L957" s="7" t="s">
        <v>304</v>
      </c>
      <c r="M957" s="7" t="str">
        <f>VLOOKUP(L957,countries, 2,false)</f>
        <v>Georgia</v>
      </c>
      <c r="N957" s="7" t="str">
        <f>VLOOKUP(L957,countries, 4,false)</f>
        <v>Asia</v>
      </c>
      <c r="O957" s="7" t="str">
        <f>VLOOKUP(L957,countries, 5,false)</f>
        <v>Western Asia</v>
      </c>
      <c r="P957" s="7" t="s">
        <v>212</v>
      </c>
      <c r="Q957" s="7">
        <v>1735.0</v>
      </c>
      <c r="R957" s="12">
        <v>9.33</v>
      </c>
      <c r="S957" s="12">
        <v>6.92</v>
      </c>
      <c r="T957" s="13">
        <f t="shared" si="6"/>
        <v>16187.55</v>
      </c>
      <c r="U957" s="13">
        <f t="shared" si="7"/>
        <v>706071.18</v>
      </c>
      <c r="V957" s="13">
        <f t="shared" si="8"/>
        <v>-689883.63</v>
      </c>
      <c r="W957" s="14">
        <f>Q957/totals!B$2</f>
        <v>0.0002638171776</v>
      </c>
      <c r="X957" s="14">
        <f t="shared" si="9"/>
        <v>0.7131959071</v>
      </c>
      <c r="Y957" s="14">
        <f>T957/totals!B$5</f>
        <v>0.000009510175855</v>
      </c>
      <c r="Z957" s="14">
        <f t="shared" si="10"/>
        <v>0.711741683</v>
      </c>
      <c r="AA957" s="14">
        <f>V957/totals!B$4</f>
        <v>-0.001375611317</v>
      </c>
      <c r="AB957" s="14">
        <f t="shared" si="11"/>
        <v>0.7178927737</v>
      </c>
    </row>
    <row r="958">
      <c r="A958" s="7">
        <v>7331.0</v>
      </c>
      <c r="B958" s="7" t="str">
        <f>VLOOKUP($A958,product_category,2, False)</f>
        <v>Baby Food</v>
      </c>
      <c r="C958" s="7">
        <v>7.2622317E8</v>
      </c>
      <c r="D958" s="9">
        <v>42182.0</v>
      </c>
      <c r="E958" s="10">
        <f t="shared" si="1"/>
        <v>6</v>
      </c>
      <c r="F958" s="10" t="str">
        <f t="shared" si="2"/>
        <v>Jun</v>
      </c>
      <c r="G958" s="11">
        <f t="shared" si="3"/>
        <v>27</v>
      </c>
      <c r="H958" s="7">
        <f t="shared" si="4"/>
        <v>2015</v>
      </c>
      <c r="I958" s="9">
        <v>42216.0</v>
      </c>
      <c r="J958" s="11">
        <f t="shared" si="5"/>
        <v>34</v>
      </c>
      <c r="K958" s="7" t="s">
        <v>198</v>
      </c>
      <c r="L958" s="7" t="s">
        <v>705</v>
      </c>
      <c r="M958" s="7" t="str">
        <f>VLOOKUP(L958,countries, 2,false)</f>
        <v>Switzerland</v>
      </c>
      <c r="N958" s="7" t="str">
        <f>VLOOKUP(L958,countries, 4,false)</f>
        <v>Europe</v>
      </c>
      <c r="O958" s="7" t="str">
        <f>VLOOKUP(L958,countries, 5,false)</f>
        <v>Western Europe</v>
      </c>
      <c r="P958" s="7" t="s">
        <v>212</v>
      </c>
      <c r="Q958" s="7">
        <v>4429.0</v>
      </c>
      <c r="R958" s="12">
        <v>255.28</v>
      </c>
      <c r="S958" s="12">
        <v>159.42</v>
      </c>
      <c r="T958" s="13">
        <f t="shared" si="6"/>
        <v>1130635.12</v>
      </c>
      <c r="U958" s="13">
        <f t="shared" si="7"/>
        <v>2319428.4</v>
      </c>
      <c r="V958" s="13">
        <f t="shared" si="8"/>
        <v>-1188793.28</v>
      </c>
      <c r="W958" s="14">
        <f>Q958/totals!B$2</f>
        <v>0.0006734560689</v>
      </c>
      <c r="X958" s="14">
        <f t="shared" si="9"/>
        <v>0.7138693632</v>
      </c>
      <c r="Y958" s="14">
        <f>T958/totals!B$5</f>
        <v>0.0006642474506</v>
      </c>
      <c r="Z958" s="14">
        <f t="shared" si="10"/>
        <v>0.7124059304</v>
      </c>
      <c r="AA958" s="14">
        <f>V958/totals!B$4</f>
        <v>-0.002370425124</v>
      </c>
      <c r="AB958" s="14">
        <f t="shared" si="11"/>
        <v>0.7155223486</v>
      </c>
    </row>
    <row r="959">
      <c r="A959" s="7">
        <v>8875.0</v>
      </c>
      <c r="B959" s="7" t="str">
        <f>VLOOKUP($A959,product_category,2, False)</f>
        <v>Meat</v>
      </c>
      <c r="C959" s="7">
        <v>7.27175891E8</v>
      </c>
      <c r="D959" s="9">
        <v>41474.0</v>
      </c>
      <c r="E959" s="10">
        <f t="shared" si="1"/>
        <v>7</v>
      </c>
      <c r="F959" s="10" t="str">
        <f t="shared" si="2"/>
        <v>Jul</v>
      </c>
      <c r="G959" s="11">
        <f t="shared" si="3"/>
        <v>19</v>
      </c>
      <c r="H959" s="7">
        <f t="shared" si="4"/>
        <v>2013</v>
      </c>
      <c r="I959" s="9">
        <v>41524.0</v>
      </c>
      <c r="J959" s="11">
        <f t="shared" si="5"/>
        <v>50</v>
      </c>
      <c r="K959" s="7" t="s">
        <v>382</v>
      </c>
      <c r="L959" s="7" t="s">
        <v>392</v>
      </c>
      <c r="M959" s="7" t="str">
        <f>VLOOKUP(L959,countries, 2,false)</f>
        <v>Italy</v>
      </c>
      <c r="N959" s="7" t="str">
        <f>VLOOKUP(L959,countries, 4,false)</f>
        <v>Europe</v>
      </c>
      <c r="O959" s="7" t="str">
        <f>VLOOKUP(L959,countries, 5,false)</f>
        <v>Southern Europe</v>
      </c>
      <c r="P959" s="7" t="s">
        <v>212</v>
      </c>
      <c r="Q959" s="7">
        <v>6360.0</v>
      </c>
      <c r="R959" s="12">
        <v>421.89</v>
      </c>
      <c r="S959" s="12">
        <v>364.69</v>
      </c>
      <c r="T959" s="13">
        <f t="shared" si="6"/>
        <v>2683220.4</v>
      </c>
      <c r="U959" s="13">
        <f t="shared" si="7"/>
        <v>59377.29</v>
      </c>
      <c r="V959" s="13">
        <f t="shared" si="8"/>
        <v>2623843.11</v>
      </c>
      <c r="W959" s="14">
        <f>Q959/totals!B$2</f>
        <v>0.0009670762245</v>
      </c>
      <c r="X959" s="14">
        <f t="shared" si="9"/>
        <v>0.7148364394</v>
      </c>
      <c r="Y959" s="14">
        <f>T959/totals!B$5</f>
        <v>0.001576390366</v>
      </c>
      <c r="Z959" s="14">
        <f t="shared" si="10"/>
        <v>0.7139823208</v>
      </c>
      <c r="AA959" s="14">
        <f>V959/totals!B$4</f>
        <v>0.005231879869</v>
      </c>
      <c r="AB959" s="14">
        <f t="shared" si="11"/>
        <v>0.7207542284</v>
      </c>
    </row>
    <row r="960">
      <c r="A960" s="7">
        <v>5988.0</v>
      </c>
      <c r="B960" s="7" t="str">
        <f>VLOOKUP($A960,product_category,2, False)</f>
        <v>Vegetables</v>
      </c>
      <c r="C960" s="7">
        <v>7.27426946E8</v>
      </c>
      <c r="D960" s="9">
        <v>41623.0</v>
      </c>
      <c r="E960" s="10">
        <f t="shared" si="1"/>
        <v>12</v>
      </c>
      <c r="F960" s="10" t="str">
        <f t="shared" si="2"/>
        <v>Dec</v>
      </c>
      <c r="G960" s="11">
        <f t="shared" si="3"/>
        <v>15</v>
      </c>
      <c r="H960" s="7">
        <f t="shared" si="4"/>
        <v>2013</v>
      </c>
      <c r="I960" s="9">
        <v>41673.0</v>
      </c>
      <c r="J960" s="11">
        <f t="shared" si="5"/>
        <v>50</v>
      </c>
      <c r="K960" s="7" t="s">
        <v>322</v>
      </c>
      <c r="L960" s="7" t="s">
        <v>56</v>
      </c>
      <c r="M960" s="7" t="str">
        <f>VLOOKUP(L960,countries, 2,false)</f>
        <v>Andorra</v>
      </c>
      <c r="N960" s="7" t="str">
        <f>VLOOKUP(L960,countries, 4,false)</f>
        <v>Europe</v>
      </c>
      <c r="O960" s="7" t="str">
        <f>VLOOKUP(L960,countries, 5,false)</f>
        <v>Southern Europe</v>
      </c>
      <c r="P960" s="7" t="s">
        <v>212</v>
      </c>
      <c r="Q960" s="7">
        <v>653.0</v>
      </c>
      <c r="R960" s="12">
        <v>154.06</v>
      </c>
      <c r="S960" s="12">
        <v>90.93</v>
      </c>
      <c r="T960" s="13">
        <f t="shared" si="6"/>
        <v>100601.18</v>
      </c>
      <c r="U960" s="13">
        <f t="shared" si="7"/>
        <v>1972078.37</v>
      </c>
      <c r="V960" s="13">
        <f t="shared" si="8"/>
        <v>-1871477.19</v>
      </c>
      <c r="W960" s="14">
        <f>Q960/totals!B$2</f>
        <v>0.00009929257462</v>
      </c>
      <c r="X960" s="14">
        <f t="shared" si="9"/>
        <v>0.714935732</v>
      </c>
      <c r="Y960" s="14">
        <f>T960/totals!B$5</f>
        <v>0.00005910313253</v>
      </c>
      <c r="Z960" s="14">
        <f t="shared" si="10"/>
        <v>0.7140414239</v>
      </c>
      <c r="AA960" s="14">
        <f>V960/totals!B$4</f>
        <v>-0.003731680373</v>
      </c>
      <c r="AB960" s="14">
        <f t="shared" si="11"/>
        <v>0.7170225481</v>
      </c>
    </row>
    <row r="961">
      <c r="A961" s="7">
        <v>8293.0</v>
      </c>
      <c r="B961" s="7" t="str">
        <f>VLOOKUP($A961,product_category,2, False)</f>
        <v>Cosmetics</v>
      </c>
      <c r="C961" s="7">
        <v>7.27821767E8</v>
      </c>
      <c r="D961" s="9">
        <v>42426.0</v>
      </c>
      <c r="E961" s="10">
        <f t="shared" si="1"/>
        <v>2</v>
      </c>
      <c r="F961" s="10" t="str">
        <f t="shared" si="2"/>
        <v>Feb</v>
      </c>
      <c r="G961" s="11">
        <f t="shared" si="3"/>
        <v>26</v>
      </c>
      <c r="H961" s="7">
        <f t="shared" si="4"/>
        <v>2016</v>
      </c>
      <c r="I961" s="9">
        <v>42445.0</v>
      </c>
      <c r="J961" s="11">
        <f t="shared" si="5"/>
        <v>19</v>
      </c>
      <c r="K961" s="7" t="s">
        <v>322</v>
      </c>
      <c r="L961" s="7" t="s">
        <v>56</v>
      </c>
      <c r="M961" s="7" t="str">
        <f>VLOOKUP(L961,countries, 2,false)</f>
        <v>Andorra</v>
      </c>
      <c r="N961" s="7" t="str">
        <f>VLOOKUP(L961,countries, 4,false)</f>
        <v>Europe</v>
      </c>
      <c r="O961" s="7" t="str">
        <f>VLOOKUP(L961,countries, 5,false)</f>
        <v>Southern Europe</v>
      </c>
      <c r="P961" s="7" t="s">
        <v>129</v>
      </c>
      <c r="Q961" s="7">
        <v>7489.0</v>
      </c>
      <c r="R961" s="12">
        <v>437.2</v>
      </c>
      <c r="S961" s="12">
        <v>263.33</v>
      </c>
      <c r="T961" s="13">
        <f t="shared" si="6"/>
        <v>3274190.8</v>
      </c>
      <c r="U961" s="13">
        <f t="shared" si="7"/>
        <v>869108.94</v>
      </c>
      <c r="V961" s="13">
        <f t="shared" si="8"/>
        <v>2405081.86</v>
      </c>
      <c r="W961" s="14">
        <f>Q961/totals!B$2</f>
        <v>0.00113874746</v>
      </c>
      <c r="X961" s="14">
        <f t="shared" si="9"/>
        <v>0.7160744795</v>
      </c>
      <c r="Y961" s="14">
        <f>T961/totals!B$5</f>
        <v>0.001923585119</v>
      </c>
      <c r="Z961" s="14">
        <f t="shared" si="10"/>
        <v>0.715965009</v>
      </c>
      <c r="AA961" s="14">
        <f>V961/totals!B$4</f>
        <v>0.004795675213</v>
      </c>
      <c r="AB961" s="14">
        <f t="shared" si="11"/>
        <v>0.7218182233</v>
      </c>
    </row>
    <row r="962">
      <c r="A962" s="7">
        <v>5988.0</v>
      </c>
      <c r="B962" s="7" t="str">
        <f>VLOOKUP($A962,product_category,2, False)</f>
        <v>Vegetables</v>
      </c>
      <c r="C962" s="7">
        <v>7.2799772E8</v>
      </c>
      <c r="D962" s="9">
        <v>41822.0</v>
      </c>
      <c r="E962" s="10">
        <f t="shared" si="1"/>
        <v>7</v>
      </c>
      <c r="F962" s="10" t="str">
        <f t="shared" si="2"/>
        <v>Jul</v>
      </c>
      <c r="G962" s="11">
        <f t="shared" si="3"/>
        <v>2</v>
      </c>
      <c r="H962" s="7">
        <f t="shared" si="4"/>
        <v>2014</v>
      </c>
      <c r="I962" s="9">
        <v>41839.0</v>
      </c>
      <c r="J962" s="11">
        <f t="shared" si="5"/>
        <v>17</v>
      </c>
      <c r="K962" s="7" t="s">
        <v>198</v>
      </c>
      <c r="L962" s="7" t="s">
        <v>231</v>
      </c>
      <c r="M962" s="7" t="str">
        <f>VLOOKUP(L962,countries, 2,false)</f>
        <v>Cyprus</v>
      </c>
      <c r="N962" s="7" t="str">
        <f>VLOOKUP(L962,countries, 4,false)</f>
        <v>Asia</v>
      </c>
      <c r="O962" s="7" t="str">
        <f>VLOOKUP(L962,countries, 5,false)</f>
        <v>Western Asia</v>
      </c>
      <c r="P962" s="7" t="s">
        <v>212</v>
      </c>
      <c r="Q962" s="7">
        <v>9558.0</v>
      </c>
      <c r="R962" s="12">
        <v>154.06</v>
      </c>
      <c r="S962" s="12">
        <v>90.93</v>
      </c>
      <c r="T962" s="13">
        <f t="shared" si="6"/>
        <v>1472505.48</v>
      </c>
      <c r="U962" s="13">
        <f t="shared" si="7"/>
        <v>1319019.97</v>
      </c>
      <c r="V962" s="13">
        <f t="shared" si="8"/>
        <v>153485.51</v>
      </c>
      <c r="W962" s="14">
        <f>Q962/totals!B$2</f>
        <v>0.001453351345</v>
      </c>
      <c r="X962" s="14">
        <f t="shared" si="9"/>
        <v>0.7175278308</v>
      </c>
      <c r="Y962" s="14">
        <f>T962/totals!B$5</f>
        <v>0.0008650960808</v>
      </c>
      <c r="Z962" s="14">
        <f t="shared" si="10"/>
        <v>0.7168301051</v>
      </c>
      <c r="AA962" s="14">
        <f>V962/totals!B$4</f>
        <v>0.0003060464045</v>
      </c>
      <c r="AB962" s="14">
        <f t="shared" si="11"/>
        <v>0.7221242697</v>
      </c>
    </row>
    <row r="963">
      <c r="A963" s="7">
        <v>8293.0</v>
      </c>
      <c r="B963" s="7" t="str">
        <f>VLOOKUP($A963,product_category,2, False)</f>
        <v>Cosmetics</v>
      </c>
      <c r="C963" s="7">
        <v>7.2879337E8</v>
      </c>
      <c r="D963" s="9">
        <v>40721.0</v>
      </c>
      <c r="E963" s="10">
        <f t="shared" si="1"/>
        <v>6</v>
      </c>
      <c r="F963" s="10" t="str">
        <f t="shared" si="2"/>
        <v>Jun</v>
      </c>
      <c r="G963" s="11">
        <f t="shared" si="3"/>
        <v>27</v>
      </c>
      <c r="H963" s="7">
        <f t="shared" si="4"/>
        <v>2011</v>
      </c>
      <c r="I963" s="9">
        <v>40767.0</v>
      </c>
      <c r="J963" s="11">
        <f t="shared" si="5"/>
        <v>46</v>
      </c>
      <c r="K963" s="7" t="s">
        <v>322</v>
      </c>
      <c r="L963" s="7" t="s">
        <v>28</v>
      </c>
      <c r="M963" s="7" t="str">
        <f>VLOOKUP(L963,countries, 2,false)</f>
        <v>Albania</v>
      </c>
      <c r="N963" s="7" t="str">
        <f>VLOOKUP(L963,countries, 4,false)</f>
        <v>Europe</v>
      </c>
      <c r="O963" s="7" t="str">
        <f>VLOOKUP(L963,countries, 5,false)</f>
        <v>Southern Europe</v>
      </c>
      <c r="P963" s="7" t="s">
        <v>212</v>
      </c>
      <c r="Q963" s="7">
        <v>5009.0</v>
      </c>
      <c r="R963" s="12">
        <v>437.2</v>
      </c>
      <c r="S963" s="12">
        <v>263.33</v>
      </c>
      <c r="T963" s="13">
        <f t="shared" si="6"/>
        <v>2189934.8</v>
      </c>
      <c r="U963" s="13">
        <f t="shared" si="7"/>
        <v>3520906.72</v>
      </c>
      <c r="V963" s="13">
        <f t="shared" si="8"/>
        <v>-1330971.92</v>
      </c>
      <c r="W963" s="14">
        <f>Q963/totals!B$2</f>
        <v>0.0007616485548</v>
      </c>
      <c r="X963" s="14">
        <f t="shared" si="9"/>
        <v>0.7182894794</v>
      </c>
      <c r="Y963" s="14">
        <f>T963/totals!B$5</f>
        <v>0.001286585373</v>
      </c>
      <c r="Z963" s="14">
        <f t="shared" si="10"/>
        <v>0.7181166905</v>
      </c>
      <c r="AA963" s="14">
        <f>V963/totals!B$4</f>
        <v>-0.002653925903</v>
      </c>
      <c r="AB963" s="14">
        <f t="shared" si="11"/>
        <v>0.7194703438</v>
      </c>
    </row>
    <row r="964">
      <c r="A964" s="7">
        <v>8681.0</v>
      </c>
      <c r="B964" s="7" t="str">
        <f>VLOOKUP($A964,product_category,2, False)</f>
        <v>Office Supplies</v>
      </c>
      <c r="C964" s="7">
        <v>7.29373586E8</v>
      </c>
      <c r="D964" s="9">
        <v>41805.0</v>
      </c>
      <c r="E964" s="10">
        <f t="shared" si="1"/>
        <v>6</v>
      </c>
      <c r="F964" s="10" t="str">
        <f t="shared" si="2"/>
        <v>Jun</v>
      </c>
      <c r="G964" s="11">
        <f t="shared" si="3"/>
        <v>15</v>
      </c>
      <c r="H964" s="7">
        <f t="shared" si="4"/>
        <v>2014</v>
      </c>
      <c r="I964" s="9">
        <v>41825.0</v>
      </c>
      <c r="J964" s="11">
        <f t="shared" si="5"/>
        <v>20</v>
      </c>
      <c r="K964" s="7" t="s">
        <v>198</v>
      </c>
      <c r="L964" s="7" t="s">
        <v>383</v>
      </c>
      <c r="M964" s="7" t="str">
        <f>VLOOKUP(L964,countries, 2,false)</f>
        <v>Ireland</v>
      </c>
      <c r="N964" s="7" t="str">
        <f>VLOOKUP(L964,countries, 4,false)</f>
        <v>Europe</v>
      </c>
      <c r="O964" s="7" t="str">
        <f>VLOOKUP(L964,countries, 5,false)</f>
        <v>Northern Europe</v>
      </c>
      <c r="P964" s="7" t="s">
        <v>212</v>
      </c>
      <c r="Q964" s="7">
        <v>6707.0</v>
      </c>
      <c r="R964" s="12">
        <v>651.21</v>
      </c>
      <c r="S964" s="12">
        <v>524.96</v>
      </c>
      <c r="T964" s="13">
        <f t="shared" si="6"/>
        <v>4367665.47</v>
      </c>
      <c r="U964" s="13">
        <f t="shared" si="7"/>
        <v>2607898.19</v>
      </c>
      <c r="V964" s="13">
        <f t="shared" si="8"/>
        <v>1759767.28</v>
      </c>
      <c r="W964" s="14">
        <f>Q964/totals!B$2</f>
        <v>0.00101983966</v>
      </c>
      <c r="X964" s="14">
        <f t="shared" si="9"/>
        <v>0.719309319</v>
      </c>
      <c r="Y964" s="14">
        <f>T964/totals!B$5</f>
        <v>0.002566000828</v>
      </c>
      <c r="Z964" s="14">
        <f t="shared" si="10"/>
        <v>0.7206826913</v>
      </c>
      <c r="AA964" s="14">
        <f>V964/totals!B$4</f>
        <v>0.003508933507</v>
      </c>
      <c r="AB964" s="14">
        <f t="shared" si="11"/>
        <v>0.7229792773</v>
      </c>
    </row>
    <row r="965">
      <c r="A965" s="7">
        <v>8875.0</v>
      </c>
      <c r="B965" s="7" t="str">
        <f>VLOOKUP($A965,product_category,2, False)</f>
        <v>Meat</v>
      </c>
      <c r="C965" s="7">
        <v>7.30490243E8</v>
      </c>
      <c r="D965" s="9">
        <v>40371.0</v>
      </c>
      <c r="E965" s="10">
        <f t="shared" si="1"/>
        <v>7</v>
      </c>
      <c r="F965" s="10" t="str">
        <f t="shared" si="2"/>
        <v>Jul</v>
      </c>
      <c r="G965" s="11">
        <f t="shared" si="3"/>
        <v>12</v>
      </c>
      <c r="H965" s="7">
        <f t="shared" si="4"/>
        <v>2010</v>
      </c>
      <c r="I965" s="9">
        <v>40373.0</v>
      </c>
      <c r="J965" s="11">
        <f t="shared" si="5"/>
        <v>2</v>
      </c>
      <c r="K965" s="7" t="s">
        <v>382</v>
      </c>
      <c r="L965" s="7" t="s">
        <v>448</v>
      </c>
      <c r="M965" s="7" t="str">
        <f>VLOOKUP(L965,countries, 2,false)</f>
        <v>Liechtenstein</v>
      </c>
      <c r="N965" s="7" t="str">
        <f>VLOOKUP(L965,countries, 4,false)</f>
        <v>Europe</v>
      </c>
      <c r="O965" s="7" t="str">
        <f>VLOOKUP(L965,countries, 5,false)</f>
        <v>Western Europe</v>
      </c>
      <c r="P965" s="7" t="s">
        <v>129</v>
      </c>
      <c r="Q965" s="7">
        <v>7151.0</v>
      </c>
      <c r="R965" s="12">
        <v>421.89</v>
      </c>
      <c r="S965" s="12">
        <v>364.69</v>
      </c>
      <c r="T965" s="13">
        <f t="shared" si="6"/>
        <v>3016935.39</v>
      </c>
      <c r="U965" s="13">
        <f t="shared" si="7"/>
        <v>65773.51</v>
      </c>
      <c r="V965" s="13">
        <f t="shared" si="8"/>
        <v>2951161.88</v>
      </c>
      <c r="W965" s="14">
        <f>Q965/totals!B$2</f>
        <v>0.001087352528</v>
      </c>
      <c r="X965" s="14">
        <f t="shared" si="9"/>
        <v>0.7203966716</v>
      </c>
      <c r="Y965" s="14">
        <f>T965/totals!B$5</f>
        <v>0.001772447721</v>
      </c>
      <c r="Z965" s="14">
        <f t="shared" si="10"/>
        <v>0.722455139</v>
      </c>
      <c r="AA965" s="14">
        <f>V965/totals!B$4</f>
        <v>0.0058845456</v>
      </c>
      <c r="AB965" s="14">
        <f t="shared" si="11"/>
        <v>0.7288638229</v>
      </c>
    </row>
    <row r="966">
      <c r="A966" s="7">
        <v>1270.0</v>
      </c>
      <c r="B966" s="7" t="str">
        <f>VLOOKUP($A966,product_category,2, False)</f>
        <v>Beverages</v>
      </c>
      <c r="C966" s="7">
        <v>7.32703387E8</v>
      </c>
      <c r="D966" s="9">
        <v>41648.0</v>
      </c>
      <c r="E966" s="10">
        <f t="shared" si="1"/>
        <v>1</v>
      </c>
      <c r="F966" s="10" t="str">
        <f t="shared" si="2"/>
        <v>Jan</v>
      </c>
      <c r="G966" s="11">
        <f t="shared" si="3"/>
        <v>9</v>
      </c>
      <c r="H966" s="7">
        <f t="shared" si="4"/>
        <v>2014</v>
      </c>
      <c r="I966" s="9">
        <v>41667.0</v>
      </c>
      <c r="J966" s="11">
        <f t="shared" si="5"/>
        <v>19</v>
      </c>
      <c r="K966" s="7" t="s">
        <v>382</v>
      </c>
      <c r="L966" s="7" t="s">
        <v>451</v>
      </c>
      <c r="M966" s="7" t="str">
        <f>VLOOKUP(L966,countries, 2,false)</f>
        <v>Lithuania</v>
      </c>
      <c r="N966" s="7" t="str">
        <f>VLOOKUP(L966,countries, 4,false)</f>
        <v>Europe</v>
      </c>
      <c r="O966" s="7" t="str">
        <f>VLOOKUP(L966,countries, 5,false)</f>
        <v>Northern Europe</v>
      </c>
      <c r="P966" s="7" t="s">
        <v>129</v>
      </c>
      <c r="Q966" s="7">
        <v>2069.0</v>
      </c>
      <c r="R966" s="12">
        <v>47.45</v>
      </c>
      <c r="S966" s="12">
        <v>31.79</v>
      </c>
      <c r="T966" s="13">
        <f t="shared" si="6"/>
        <v>98174.05</v>
      </c>
      <c r="U966" s="13">
        <f t="shared" si="7"/>
        <v>3021821.34</v>
      </c>
      <c r="V966" s="13">
        <f t="shared" si="8"/>
        <v>-2923647.29</v>
      </c>
      <c r="W966" s="14">
        <f>Q966/totals!B$2</f>
        <v>0.000314603885</v>
      </c>
      <c r="X966" s="14">
        <f t="shared" si="9"/>
        <v>0.7207112754</v>
      </c>
      <c r="Y966" s="14">
        <f>T966/totals!B$5</f>
        <v>0.00005767719512</v>
      </c>
      <c r="Z966" s="14">
        <f t="shared" si="10"/>
        <v>0.7225128162</v>
      </c>
      <c r="AA966" s="14">
        <f>V966/totals!B$4</f>
        <v>-0.005829682172</v>
      </c>
      <c r="AB966" s="14">
        <f t="shared" si="11"/>
        <v>0.7230341407</v>
      </c>
    </row>
    <row r="967">
      <c r="A967" s="7">
        <v>8875.0</v>
      </c>
      <c r="B967" s="7" t="str">
        <f>VLOOKUP($A967,product_category,2, False)</f>
        <v>Meat</v>
      </c>
      <c r="C967" s="7">
        <v>7.33636796E8</v>
      </c>
      <c r="D967" s="9">
        <v>41141.0</v>
      </c>
      <c r="E967" s="10">
        <f t="shared" si="1"/>
        <v>8</v>
      </c>
      <c r="F967" s="10" t="str">
        <f t="shared" si="2"/>
        <v>Aug</v>
      </c>
      <c r="G967" s="11">
        <f t="shared" si="3"/>
        <v>20</v>
      </c>
      <c r="H967" s="7">
        <f t="shared" si="4"/>
        <v>2012</v>
      </c>
      <c r="I967" s="9">
        <v>41167.0</v>
      </c>
      <c r="J967" s="11">
        <f t="shared" si="5"/>
        <v>26</v>
      </c>
      <c r="K967" s="7" t="s">
        <v>110</v>
      </c>
      <c r="L967" s="7" t="s">
        <v>756</v>
      </c>
      <c r="M967" s="7" t="str">
        <f>VLOOKUP(L967,countries, 2,false)</f>
        <v>Ukraine</v>
      </c>
      <c r="N967" s="7" t="str">
        <f>VLOOKUP(L967,countries, 4,false)</f>
        <v>Europe</v>
      </c>
      <c r="O967" s="7" t="str">
        <f>VLOOKUP(L967,countries, 5,false)</f>
        <v>Eastern Europe</v>
      </c>
      <c r="P967" s="7" t="s">
        <v>129</v>
      </c>
      <c r="Q967" s="7">
        <v>8286.0</v>
      </c>
      <c r="R967" s="12">
        <v>421.89</v>
      </c>
      <c r="S967" s="12">
        <v>364.69</v>
      </c>
      <c r="T967" s="13">
        <f t="shared" si="6"/>
        <v>3495780.54</v>
      </c>
      <c r="U967" s="13">
        <f t="shared" si="7"/>
        <v>215716.62</v>
      </c>
      <c r="V967" s="13">
        <f t="shared" si="8"/>
        <v>3280063.92</v>
      </c>
      <c r="W967" s="14">
        <f>Q967/totals!B$2</f>
        <v>0.0012599361</v>
      </c>
      <c r="X967" s="14">
        <f t="shared" si="9"/>
        <v>0.7219712115</v>
      </c>
      <c r="Y967" s="14">
        <f>T967/totals!B$5</f>
        <v>0.002053768957</v>
      </c>
      <c r="Z967" s="14">
        <f t="shared" si="10"/>
        <v>0.7245665852</v>
      </c>
      <c r="AA967" s="14">
        <f>V967/totals!B$4</f>
        <v>0.006540368334</v>
      </c>
      <c r="AB967" s="14">
        <f t="shared" si="11"/>
        <v>0.729574509</v>
      </c>
    </row>
    <row r="968">
      <c r="A968" s="7">
        <v>2103.0</v>
      </c>
      <c r="B968" s="7" t="str">
        <f>VLOOKUP($A968,product_category,2, False)</f>
        <v>Cereal</v>
      </c>
      <c r="C968" s="7">
        <v>7.33648812E8</v>
      </c>
      <c r="D968" s="9">
        <v>41261.0</v>
      </c>
      <c r="E968" s="10">
        <f t="shared" si="1"/>
        <v>12</v>
      </c>
      <c r="F968" s="10" t="str">
        <f t="shared" si="2"/>
        <v>Dec</v>
      </c>
      <c r="G968" s="11">
        <f t="shared" si="3"/>
        <v>18</v>
      </c>
      <c r="H968" s="7">
        <f t="shared" si="4"/>
        <v>2012</v>
      </c>
      <c r="I968" s="9">
        <v>41267.0</v>
      </c>
      <c r="J968" s="11">
        <f t="shared" si="5"/>
        <v>6</v>
      </c>
      <c r="K968" s="7" t="s">
        <v>110</v>
      </c>
      <c r="L968" s="7" t="s">
        <v>454</v>
      </c>
      <c r="M968" s="7" t="str">
        <f>VLOOKUP(L968,countries, 2,false)</f>
        <v>Luxembourg</v>
      </c>
      <c r="N968" s="7" t="str">
        <f>VLOOKUP(L968,countries, 4,false)</f>
        <v>Europe</v>
      </c>
      <c r="O968" s="7" t="str">
        <f>VLOOKUP(L968,countries, 5,false)</f>
        <v>Western Europe</v>
      </c>
      <c r="P968" s="7" t="s">
        <v>129</v>
      </c>
      <c r="Q968" s="7">
        <v>1842.0</v>
      </c>
      <c r="R968" s="12">
        <v>205.7</v>
      </c>
      <c r="S968" s="12">
        <v>117.11</v>
      </c>
      <c r="T968" s="13">
        <f t="shared" si="6"/>
        <v>378899.4</v>
      </c>
      <c r="U968" s="13">
        <f t="shared" si="7"/>
        <v>232346.24</v>
      </c>
      <c r="V968" s="13">
        <f t="shared" si="8"/>
        <v>146553.16</v>
      </c>
      <c r="W968" s="14">
        <f>Q968/totals!B$2</f>
        <v>0.0002800871707</v>
      </c>
      <c r="X968" s="14">
        <f t="shared" si="9"/>
        <v>0.7222512987</v>
      </c>
      <c r="Y968" s="14">
        <f>T968/totals!B$5</f>
        <v>0.0002226031688</v>
      </c>
      <c r="Z968" s="14">
        <f t="shared" si="10"/>
        <v>0.7247891884</v>
      </c>
      <c r="AA968" s="14">
        <f>V968/totals!B$4</f>
        <v>0.0002922234659</v>
      </c>
      <c r="AB968" s="14">
        <f t="shared" si="11"/>
        <v>0.7298667325</v>
      </c>
    </row>
    <row r="969">
      <c r="A969" s="7">
        <v>2103.0</v>
      </c>
      <c r="B969" s="7" t="str">
        <f>VLOOKUP($A969,product_category,2, False)</f>
        <v>Cereal</v>
      </c>
      <c r="C969" s="7">
        <v>7.34189975E8</v>
      </c>
      <c r="D969" s="9">
        <v>41953.0</v>
      </c>
      <c r="E969" s="10">
        <f t="shared" si="1"/>
        <v>11</v>
      </c>
      <c r="F969" s="10" t="str">
        <f t="shared" si="2"/>
        <v>Nov</v>
      </c>
      <c r="G969" s="11">
        <f t="shared" si="3"/>
        <v>10</v>
      </c>
      <c r="H969" s="7">
        <f t="shared" si="4"/>
        <v>2014</v>
      </c>
      <c r="I969" s="9">
        <v>41972.0</v>
      </c>
      <c r="J969" s="11">
        <f t="shared" si="5"/>
        <v>19</v>
      </c>
      <c r="K969" s="7" t="s">
        <v>382</v>
      </c>
      <c r="L969" s="7" t="s">
        <v>307</v>
      </c>
      <c r="M969" s="7" t="str">
        <f>VLOOKUP(L969,countries, 2,false)</f>
        <v>Germany</v>
      </c>
      <c r="N969" s="7" t="str">
        <f>VLOOKUP(L969,countries, 4,false)</f>
        <v>Europe</v>
      </c>
      <c r="O969" s="7" t="str">
        <f>VLOOKUP(L969,countries, 5,false)</f>
        <v>Western Europe</v>
      </c>
      <c r="P969" s="7" t="s">
        <v>129</v>
      </c>
      <c r="Q969" s="7">
        <v>1984.0</v>
      </c>
      <c r="R969" s="12">
        <v>205.7</v>
      </c>
      <c r="S969" s="12">
        <v>117.11</v>
      </c>
      <c r="T969" s="13">
        <f t="shared" si="6"/>
        <v>408108.8</v>
      </c>
      <c r="U969" s="13">
        <f t="shared" si="7"/>
        <v>5226501.76</v>
      </c>
      <c r="V969" s="13">
        <f t="shared" si="8"/>
        <v>-4818392.96</v>
      </c>
      <c r="W969" s="14">
        <f>Q969/totals!B$2</f>
        <v>0.0003016791241</v>
      </c>
      <c r="X969" s="14">
        <f t="shared" si="9"/>
        <v>0.7225529778</v>
      </c>
      <c r="Y969" s="14">
        <f>T969/totals!B$5</f>
        <v>0.0002397636737</v>
      </c>
      <c r="Z969" s="14">
        <f t="shared" si="10"/>
        <v>0.725028952</v>
      </c>
      <c r="AA969" s="14">
        <f>V969/totals!B$4</f>
        <v>-0.009607759332</v>
      </c>
      <c r="AB969" s="14">
        <f t="shared" si="11"/>
        <v>0.7202589732</v>
      </c>
    </row>
    <row r="970">
      <c r="A970" s="7">
        <v>8681.0</v>
      </c>
      <c r="B970" s="7" t="str">
        <f>VLOOKUP($A970,product_category,2, False)</f>
        <v>Office Supplies</v>
      </c>
      <c r="C970" s="7">
        <v>7.34318292E8</v>
      </c>
      <c r="D970" s="9">
        <v>41660.0</v>
      </c>
      <c r="E970" s="10">
        <f t="shared" si="1"/>
        <v>1</v>
      </c>
      <c r="F970" s="10" t="str">
        <f t="shared" si="2"/>
        <v>Jan</v>
      </c>
      <c r="G970" s="11">
        <f t="shared" si="3"/>
        <v>21</v>
      </c>
      <c r="H970" s="7">
        <f t="shared" si="4"/>
        <v>2014</v>
      </c>
      <c r="I970" s="9">
        <v>41702.0</v>
      </c>
      <c r="J970" s="11">
        <f t="shared" si="5"/>
        <v>42</v>
      </c>
      <c r="K970" s="7" t="s">
        <v>110</v>
      </c>
      <c r="L970" s="7" t="s">
        <v>597</v>
      </c>
      <c r="M970" s="7" t="str">
        <f>VLOOKUP(L970,countries, 2,false)</f>
        <v>Portugal</v>
      </c>
      <c r="N970" s="7" t="str">
        <f>VLOOKUP(L970,countries, 4,false)</f>
        <v>Europe</v>
      </c>
      <c r="O970" s="7" t="str">
        <f>VLOOKUP(L970,countries, 5,false)</f>
        <v>Southern Europe</v>
      </c>
      <c r="P970" s="7" t="s">
        <v>129</v>
      </c>
      <c r="Q970" s="7">
        <v>9956.0</v>
      </c>
      <c r="R970" s="12">
        <v>651.21</v>
      </c>
      <c r="S970" s="12">
        <v>524.96</v>
      </c>
      <c r="T970" s="13">
        <f t="shared" si="6"/>
        <v>6483446.76</v>
      </c>
      <c r="U970" s="13">
        <f t="shared" si="7"/>
        <v>113617.46</v>
      </c>
      <c r="V970" s="13">
        <f t="shared" si="8"/>
        <v>6369829.3</v>
      </c>
      <c r="W970" s="14">
        <f>Q970/totals!B$2</f>
        <v>0.001513869637</v>
      </c>
      <c r="X970" s="14">
        <f t="shared" si="9"/>
        <v>0.7240668475</v>
      </c>
      <c r="Y970" s="14">
        <f>T970/totals!B$5</f>
        <v>0.003809021058</v>
      </c>
      <c r="Z970" s="14">
        <f t="shared" si="10"/>
        <v>0.7288379731</v>
      </c>
      <c r="AA970" s="14">
        <f>V970/totals!B$4</f>
        <v>0.01270128597</v>
      </c>
      <c r="AB970" s="14">
        <f t="shared" si="11"/>
        <v>0.7329602592</v>
      </c>
    </row>
    <row r="971">
      <c r="A971" s="7">
        <v>1270.0</v>
      </c>
      <c r="B971" s="7" t="str">
        <f>VLOOKUP($A971,product_category,2, False)</f>
        <v>Beverages</v>
      </c>
      <c r="C971" s="7">
        <v>7.35445678E8</v>
      </c>
      <c r="D971" s="9">
        <v>40729.0</v>
      </c>
      <c r="E971" s="10">
        <f t="shared" si="1"/>
        <v>7</v>
      </c>
      <c r="F971" s="10" t="str">
        <f t="shared" si="2"/>
        <v>Jul</v>
      </c>
      <c r="G971" s="11">
        <f t="shared" si="3"/>
        <v>5</v>
      </c>
      <c r="H971" s="7">
        <f t="shared" si="4"/>
        <v>2011</v>
      </c>
      <c r="I971" s="9">
        <v>40746.0</v>
      </c>
      <c r="J971" s="11">
        <f t="shared" si="5"/>
        <v>17</v>
      </c>
      <c r="K971" s="7" t="s">
        <v>382</v>
      </c>
      <c r="L971" s="7" t="s">
        <v>594</v>
      </c>
      <c r="M971" s="7" t="str">
        <f>VLOOKUP(L971,countries, 2,false)</f>
        <v>Poland</v>
      </c>
      <c r="N971" s="7" t="str">
        <f>VLOOKUP(L971,countries, 4,false)</f>
        <v>Europe</v>
      </c>
      <c r="O971" s="7" t="str">
        <f>VLOOKUP(L971,countries, 5,false)</f>
        <v>Eastern Europe</v>
      </c>
      <c r="P971" s="7" t="s">
        <v>212</v>
      </c>
      <c r="Q971" s="7">
        <v>3574.0</v>
      </c>
      <c r="R971" s="12">
        <v>47.45</v>
      </c>
      <c r="S971" s="12">
        <v>31.79</v>
      </c>
      <c r="T971" s="13">
        <f t="shared" si="6"/>
        <v>169586.3</v>
      </c>
      <c r="U971" s="13">
        <f t="shared" si="7"/>
        <v>4343955.76</v>
      </c>
      <c r="V971" s="13">
        <f t="shared" si="8"/>
        <v>-4174369.46</v>
      </c>
      <c r="W971" s="14">
        <f>Q971/totals!B$2</f>
        <v>0.0005434481802</v>
      </c>
      <c r="X971" s="14">
        <f t="shared" si="9"/>
        <v>0.7246102957</v>
      </c>
      <c r="Y971" s="14">
        <f>T971/totals!B$5</f>
        <v>0.0000996318489</v>
      </c>
      <c r="Z971" s="14">
        <f t="shared" si="10"/>
        <v>0.7289376049</v>
      </c>
      <c r="AA971" s="14">
        <f>V971/totals!B$4</f>
        <v>-0.008323592008</v>
      </c>
      <c r="AB971" s="14">
        <f t="shared" si="11"/>
        <v>0.7246366671</v>
      </c>
    </row>
    <row r="972">
      <c r="A972" s="7">
        <v>7940.0</v>
      </c>
      <c r="B972" s="7" t="str">
        <f>VLOOKUP($A972,product_category,2, False)</f>
        <v>Household</v>
      </c>
      <c r="C972" s="7">
        <v>7.36240041E8</v>
      </c>
      <c r="D972" s="9">
        <v>42777.0</v>
      </c>
      <c r="E972" s="10">
        <f t="shared" si="1"/>
        <v>2</v>
      </c>
      <c r="F972" s="10" t="str">
        <f t="shared" si="2"/>
        <v>Feb</v>
      </c>
      <c r="G972" s="11">
        <f t="shared" si="3"/>
        <v>11</v>
      </c>
      <c r="H972" s="7">
        <f t="shared" si="4"/>
        <v>2017</v>
      </c>
      <c r="I972" s="9">
        <v>42786.0</v>
      </c>
      <c r="J972" s="11">
        <f t="shared" si="5"/>
        <v>9</v>
      </c>
      <c r="K972" s="7" t="s">
        <v>322</v>
      </c>
      <c r="L972" s="7" t="s">
        <v>670</v>
      </c>
      <c r="M972" s="7" t="str">
        <f>VLOOKUP(L972,countries, 2,false)</f>
        <v>Slovenia</v>
      </c>
      <c r="N972" s="7" t="str">
        <f>VLOOKUP(L972,countries, 4,false)</f>
        <v>Europe</v>
      </c>
      <c r="O972" s="7" t="str">
        <f>VLOOKUP(L972,countries, 5,false)</f>
        <v>Southern Europe</v>
      </c>
      <c r="P972" s="7" t="s">
        <v>212</v>
      </c>
      <c r="Q972" s="7">
        <v>8644.0</v>
      </c>
      <c r="R972" s="12">
        <v>668.27</v>
      </c>
      <c r="S972" s="12">
        <v>502.54</v>
      </c>
      <c r="T972" s="13">
        <f t="shared" si="6"/>
        <v>5776525.88</v>
      </c>
      <c r="U972" s="13">
        <f t="shared" si="7"/>
        <v>170227.68</v>
      </c>
      <c r="V972" s="13">
        <f t="shared" si="8"/>
        <v>5606298.2</v>
      </c>
      <c r="W972" s="14">
        <f>Q972/totals!B$2</f>
        <v>0.001314372152</v>
      </c>
      <c r="X972" s="14">
        <f t="shared" si="9"/>
        <v>0.7259246678</v>
      </c>
      <c r="Y972" s="14">
        <f>T972/totals!B$5</f>
        <v>0.003393705468</v>
      </c>
      <c r="Z972" s="14">
        <f t="shared" si="10"/>
        <v>0.7323313104</v>
      </c>
      <c r="AA972" s="14">
        <f>V972/totals!B$4</f>
        <v>0.01117882337</v>
      </c>
      <c r="AB972" s="14">
        <f t="shared" si="11"/>
        <v>0.7358154905</v>
      </c>
    </row>
    <row r="973">
      <c r="A973" s="7">
        <v>8969.0</v>
      </c>
      <c r="B973" s="7" t="str">
        <f>VLOOKUP($A973,product_category,2, False)</f>
        <v>Snacks</v>
      </c>
      <c r="C973" s="7">
        <v>7.37095344E8</v>
      </c>
      <c r="D973" s="9">
        <v>41486.0</v>
      </c>
      <c r="E973" s="10">
        <f t="shared" si="1"/>
        <v>7</v>
      </c>
      <c r="F973" s="10" t="str">
        <f t="shared" si="2"/>
        <v>Jul</v>
      </c>
      <c r="G973" s="11">
        <f t="shared" si="3"/>
        <v>31</v>
      </c>
      <c r="H973" s="7">
        <f t="shared" si="4"/>
        <v>2013</v>
      </c>
      <c r="I973" s="9">
        <v>41530.0</v>
      </c>
      <c r="J973" s="11">
        <f t="shared" si="5"/>
        <v>44</v>
      </c>
      <c r="K973" s="7" t="s">
        <v>322</v>
      </c>
      <c r="L973" s="7" t="s">
        <v>77</v>
      </c>
      <c r="M973" s="7" t="str">
        <f>VLOOKUP(L973,countries, 2,false)</f>
        <v>Armenia</v>
      </c>
      <c r="N973" s="7" t="str">
        <f>VLOOKUP(L973,countries, 4,false)</f>
        <v>Asia</v>
      </c>
      <c r="O973" s="7" t="str">
        <f>VLOOKUP(L973,countries, 5,false)</f>
        <v>Western Asia</v>
      </c>
      <c r="P973" s="7" t="s">
        <v>212</v>
      </c>
      <c r="Q973" s="7">
        <v>1747.0</v>
      </c>
      <c r="R973" s="12">
        <v>152.58</v>
      </c>
      <c r="S973" s="12">
        <v>97.44</v>
      </c>
      <c r="T973" s="13">
        <f t="shared" si="6"/>
        <v>266557.26</v>
      </c>
      <c r="U973" s="13">
        <f t="shared" si="7"/>
        <v>158332.72</v>
      </c>
      <c r="V973" s="13">
        <f t="shared" si="8"/>
        <v>108224.54</v>
      </c>
      <c r="W973" s="14">
        <f>Q973/totals!B$2</f>
        <v>0.0002656418497</v>
      </c>
      <c r="X973" s="14">
        <f t="shared" si="9"/>
        <v>0.7261903097</v>
      </c>
      <c r="Y973" s="14">
        <f>T973/totals!B$5</f>
        <v>0.0001566022294</v>
      </c>
      <c r="Z973" s="14">
        <f t="shared" si="10"/>
        <v>0.7324879126</v>
      </c>
      <c r="AA973" s="14">
        <f>V973/totals!B$4</f>
        <v>0.0002157971222</v>
      </c>
      <c r="AB973" s="14">
        <f t="shared" si="11"/>
        <v>0.7360312876</v>
      </c>
    </row>
    <row r="974">
      <c r="A974" s="7">
        <v>2103.0</v>
      </c>
      <c r="B974" s="7" t="str">
        <f>VLOOKUP($A974,product_category,2, False)</f>
        <v>Cereal</v>
      </c>
      <c r="C974" s="7">
        <v>7.3773607E8</v>
      </c>
      <c r="D974" s="9">
        <v>41201.0</v>
      </c>
      <c r="E974" s="10">
        <f t="shared" si="1"/>
        <v>10</v>
      </c>
      <c r="F974" s="10" t="str">
        <f t="shared" si="2"/>
        <v>Oct</v>
      </c>
      <c r="G974" s="11">
        <f t="shared" si="3"/>
        <v>19</v>
      </c>
      <c r="H974" s="7">
        <f t="shared" si="4"/>
        <v>2012</v>
      </c>
      <c r="I974" s="9">
        <v>41216.0</v>
      </c>
      <c r="J974" s="11">
        <f t="shared" si="5"/>
        <v>15</v>
      </c>
      <c r="K974" s="7" t="s">
        <v>322</v>
      </c>
      <c r="L974" s="7" t="s">
        <v>702</v>
      </c>
      <c r="M974" s="7" t="str">
        <f>VLOOKUP(L974,countries, 2,false)</f>
        <v>Sweden</v>
      </c>
      <c r="N974" s="7" t="str">
        <f>VLOOKUP(L974,countries, 4,false)</f>
        <v>Europe</v>
      </c>
      <c r="O974" s="7" t="str">
        <f>VLOOKUP(L974,countries, 5,false)</f>
        <v>Northern Europe</v>
      </c>
      <c r="P974" s="7" t="s">
        <v>212</v>
      </c>
      <c r="Q974" s="7">
        <v>1352.0</v>
      </c>
      <c r="R974" s="12">
        <v>205.7</v>
      </c>
      <c r="S974" s="12">
        <v>117.11</v>
      </c>
      <c r="T974" s="13">
        <f t="shared" si="6"/>
        <v>278106.4</v>
      </c>
      <c r="U974" s="13">
        <f t="shared" si="7"/>
        <v>24391.26</v>
      </c>
      <c r="V974" s="13">
        <f t="shared" si="8"/>
        <v>253715.14</v>
      </c>
      <c r="W974" s="14">
        <f>Q974/totals!B$2</f>
        <v>0.0002055797257</v>
      </c>
      <c r="X974" s="14">
        <f t="shared" si="9"/>
        <v>0.7263958894</v>
      </c>
      <c r="Y974" s="14">
        <f>T974/totals!B$5</f>
        <v>0.0001633873421</v>
      </c>
      <c r="Z974" s="14">
        <f t="shared" si="10"/>
        <v>0.7326513</v>
      </c>
      <c r="AA974" s="14">
        <f>V974/totals!B$4</f>
        <v>0.000505901869</v>
      </c>
      <c r="AB974" s="14">
        <f t="shared" si="11"/>
        <v>0.7365371895</v>
      </c>
    </row>
    <row r="975">
      <c r="A975" s="7">
        <v>7331.0</v>
      </c>
      <c r="B975" s="7" t="str">
        <f>VLOOKUP($A975,product_category,2, False)</f>
        <v>Baby Food</v>
      </c>
      <c r="C975" s="7">
        <v>7.40300261E8</v>
      </c>
      <c r="D975" s="9">
        <v>42446.0</v>
      </c>
      <c r="E975" s="10">
        <f t="shared" si="1"/>
        <v>3</v>
      </c>
      <c r="F975" s="10" t="str">
        <f t="shared" si="2"/>
        <v>Mar</v>
      </c>
      <c r="G975" s="11">
        <f t="shared" si="3"/>
        <v>17</v>
      </c>
      <c r="H975" s="7">
        <f t="shared" si="4"/>
        <v>2016</v>
      </c>
      <c r="I975" s="9">
        <v>42483.0</v>
      </c>
      <c r="J975" s="11">
        <f t="shared" si="5"/>
        <v>37</v>
      </c>
      <c r="K975" s="7" t="s">
        <v>110</v>
      </c>
      <c r="L975" s="7" t="s">
        <v>231</v>
      </c>
      <c r="M975" s="7" t="str">
        <f>VLOOKUP(L975,countries, 2,false)</f>
        <v>Cyprus</v>
      </c>
      <c r="N975" s="7" t="str">
        <f>VLOOKUP(L975,countries, 4,false)</f>
        <v>Asia</v>
      </c>
      <c r="O975" s="7" t="str">
        <f>VLOOKUP(L975,countries, 5,false)</f>
        <v>Western Asia</v>
      </c>
      <c r="P975" s="7" t="s">
        <v>129</v>
      </c>
      <c r="Q975" s="7">
        <v>153.0</v>
      </c>
      <c r="R975" s="12">
        <v>255.28</v>
      </c>
      <c r="S975" s="12">
        <v>159.42</v>
      </c>
      <c r="T975" s="13">
        <f t="shared" si="6"/>
        <v>39057.84</v>
      </c>
      <c r="U975" s="13">
        <f t="shared" si="7"/>
        <v>544846.86</v>
      </c>
      <c r="V975" s="13">
        <f t="shared" si="8"/>
        <v>-505789.02</v>
      </c>
      <c r="W975" s="14">
        <f>Q975/totals!B$2</f>
        <v>0.00002326456955</v>
      </c>
      <c r="X975" s="14">
        <f t="shared" si="9"/>
        <v>0.7264191539</v>
      </c>
      <c r="Y975" s="14">
        <f>T975/totals!B$5</f>
        <v>0.00002294645743</v>
      </c>
      <c r="Z975" s="14">
        <f t="shared" si="10"/>
        <v>0.7326742464</v>
      </c>
      <c r="AA975" s="14">
        <f>V975/totals!B$4</f>
        <v>-0.001008531105</v>
      </c>
      <c r="AB975" s="14">
        <f t="shared" si="11"/>
        <v>0.7355286584</v>
      </c>
    </row>
    <row r="976">
      <c r="A976" s="7">
        <v>8875.0</v>
      </c>
      <c r="B976" s="7" t="str">
        <f>VLOOKUP($A976,product_category,2, False)</f>
        <v>Meat</v>
      </c>
      <c r="C976" s="7">
        <v>7.41690289E8</v>
      </c>
      <c r="D976" s="9">
        <v>40991.0</v>
      </c>
      <c r="E976" s="10">
        <f t="shared" si="1"/>
        <v>3</v>
      </c>
      <c r="F976" s="10" t="str">
        <f t="shared" si="2"/>
        <v>Mar</v>
      </c>
      <c r="G976" s="11">
        <f t="shared" si="3"/>
        <v>23</v>
      </c>
      <c r="H976" s="7">
        <f t="shared" si="4"/>
        <v>2012</v>
      </c>
      <c r="I976" s="9">
        <v>41039.0</v>
      </c>
      <c r="J976" s="11">
        <f t="shared" si="5"/>
        <v>48</v>
      </c>
      <c r="K976" s="7" t="s">
        <v>198</v>
      </c>
      <c r="L976" s="7" t="s">
        <v>609</v>
      </c>
      <c r="M976" s="7" t="str">
        <f>VLOOKUP(L976,countries, 2,false)</f>
        <v>Romania</v>
      </c>
      <c r="N976" s="7" t="str">
        <f>VLOOKUP(L976,countries, 4,false)</f>
        <v>Europe</v>
      </c>
      <c r="O976" s="7" t="str">
        <f>VLOOKUP(L976,countries, 5,false)</f>
        <v>Eastern Europe</v>
      </c>
      <c r="P976" s="7" t="s">
        <v>212</v>
      </c>
      <c r="Q976" s="7">
        <v>1494.0</v>
      </c>
      <c r="R976" s="12">
        <v>421.89</v>
      </c>
      <c r="S976" s="12">
        <v>364.69</v>
      </c>
      <c r="T976" s="13">
        <f t="shared" si="6"/>
        <v>630303.66</v>
      </c>
      <c r="U976" s="13">
        <f t="shared" si="7"/>
        <v>1790047.48</v>
      </c>
      <c r="V976" s="13">
        <f t="shared" si="8"/>
        <v>-1159743.82</v>
      </c>
      <c r="W976" s="14">
        <f>Q976/totals!B$2</f>
        <v>0.0002271716791</v>
      </c>
      <c r="X976" s="14">
        <f t="shared" si="9"/>
        <v>0.7266463256</v>
      </c>
      <c r="Y976" s="14">
        <f>T976/totals!B$5</f>
        <v>0.0003703030198</v>
      </c>
      <c r="Z976" s="14">
        <f t="shared" si="10"/>
        <v>0.7330445495</v>
      </c>
      <c r="AA976" s="14">
        <f>V976/totals!B$4</f>
        <v>-0.002312501202</v>
      </c>
      <c r="AB976" s="14">
        <f t="shared" si="11"/>
        <v>0.7332161572</v>
      </c>
    </row>
    <row r="977">
      <c r="A977" s="7">
        <v>7940.0</v>
      </c>
      <c r="B977" s="7" t="str">
        <f>VLOOKUP($A977,product_category,2, False)</f>
        <v>Household</v>
      </c>
      <c r="C977" s="7">
        <v>7.41866242E8</v>
      </c>
      <c r="D977" s="9">
        <v>40387.0</v>
      </c>
      <c r="E977" s="10">
        <f t="shared" si="1"/>
        <v>7</v>
      </c>
      <c r="F977" s="10" t="str">
        <f t="shared" si="2"/>
        <v>Jul</v>
      </c>
      <c r="G977" s="11">
        <f t="shared" si="3"/>
        <v>28</v>
      </c>
      <c r="H977" s="7">
        <f t="shared" si="4"/>
        <v>2010</v>
      </c>
      <c r="I977" s="9">
        <v>40434.0</v>
      </c>
      <c r="J977" s="11">
        <f t="shared" si="5"/>
        <v>47</v>
      </c>
      <c r="K977" s="7" t="s">
        <v>382</v>
      </c>
      <c r="L977" s="7" t="s">
        <v>756</v>
      </c>
      <c r="M977" s="7" t="str">
        <f>VLOOKUP(L977,countries, 2,false)</f>
        <v>Ukraine</v>
      </c>
      <c r="N977" s="7" t="str">
        <f>VLOOKUP(L977,countries, 4,false)</f>
        <v>Europe</v>
      </c>
      <c r="O977" s="7" t="str">
        <f>VLOOKUP(L977,countries, 5,false)</f>
        <v>Eastern Europe</v>
      </c>
      <c r="P977" s="7" t="s">
        <v>129</v>
      </c>
      <c r="Q977" s="7">
        <v>3562.0</v>
      </c>
      <c r="R977" s="12">
        <v>668.27</v>
      </c>
      <c r="S977" s="12">
        <v>502.54</v>
      </c>
      <c r="T977" s="13">
        <f t="shared" si="6"/>
        <v>2380377.74</v>
      </c>
      <c r="U977" s="13">
        <f t="shared" si="7"/>
        <v>324511.81</v>
      </c>
      <c r="V977" s="13">
        <f t="shared" si="8"/>
        <v>2055865.93</v>
      </c>
      <c r="W977" s="14">
        <f>Q977/totals!B$2</f>
        <v>0.0005416235081</v>
      </c>
      <c r="X977" s="14">
        <f t="shared" si="9"/>
        <v>0.7271879491</v>
      </c>
      <c r="Y977" s="14">
        <f>T977/totals!B$5</f>
        <v>0.001398470486</v>
      </c>
      <c r="Z977" s="14">
        <f t="shared" si="10"/>
        <v>0.7344430199</v>
      </c>
      <c r="AA977" s="14">
        <f>V977/totals!B$4</f>
        <v>0.004099347072</v>
      </c>
      <c r="AB977" s="14">
        <f t="shared" si="11"/>
        <v>0.7373155043</v>
      </c>
    </row>
    <row r="978">
      <c r="A978" s="7">
        <v>2103.0</v>
      </c>
      <c r="B978" s="7" t="str">
        <f>VLOOKUP($A978,product_category,2, False)</f>
        <v>Cereal</v>
      </c>
      <c r="C978" s="7">
        <v>7.41964948E8</v>
      </c>
      <c r="D978" s="9">
        <v>40587.0</v>
      </c>
      <c r="E978" s="10">
        <f t="shared" si="1"/>
        <v>2</v>
      </c>
      <c r="F978" s="10" t="str">
        <f t="shared" si="2"/>
        <v>Feb</v>
      </c>
      <c r="G978" s="11">
        <f t="shared" si="3"/>
        <v>13</v>
      </c>
      <c r="H978" s="7">
        <f t="shared" si="4"/>
        <v>2011</v>
      </c>
      <c r="I978" s="9">
        <v>40600.0</v>
      </c>
      <c r="J978" s="11">
        <f t="shared" si="5"/>
        <v>13</v>
      </c>
      <c r="K978" s="7" t="s">
        <v>198</v>
      </c>
      <c r="L978" s="7" t="s">
        <v>756</v>
      </c>
      <c r="M978" s="7" t="str">
        <f>VLOOKUP(L978,countries, 2,false)</f>
        <v>Ukraine</v>
      </c>
      <c r="N978" s="7" t="str">
        <f>VLOOKUP(L978,countries, 4,false)</f>
        <v>Europe</v>
      </c>
      <c r="O978" s="7" t="str">
        <f>VLOOKUP(L978,countries, 5,false)</f>
        <v>Eastern Europe</v>
      </c>
      <c r="P978" s="7" t="s">
        <v>212</v>
      </c>
      <c r="Q978" s="7">
        <v>2771.0</v>
      </c>
      <c r="R978" s="12">
        <v>205.7</v>
      </c>
      <c r="S978" s="12">
        <v>117.11</v>
      </c>
      <c r="T978" s="13">
        <f t="shared" si="6"/>
        <v>569994.7</v>
      </c>
      <c r="U978" s="13">
        <f t="shared" si="7"/>
        <v>282770.88</v>
      </c>
      <c r="V978" s="13">
        <f t="shared" si="8"/>
        <v>287223.82</v>
      </c>
      <c r="W978" s="14">
        <f>Q978/totals!B$2</f>
        <v>0.0004213472041</v>
      </c>
      <c r="X978" s="14">
        <f t="shared" si="9"/>
        <v>0.7276092963</v>
      </c>
      <c r="Y978" s="14">
        <f>T978/totals!B$5</f>
        <v>0.0003348715422</v>
      </c>
      <c r="Z978" s="14">
        <f t="shared" si="10"/>
        <v>0.7347778915</v>
      </c>
      <c r="AA978" s="14">
        <f>V978/totals!B$4</f>
        <v>0.0005727173686</v>
      </c>
      <c r="AB978" s="14">
        <f t="shared" si="11"/>
        <v>0.7378882216</v>
      </c>
    </row>
    <row r="979">
      <c r="A979" s="7">
        <v>8969.0</v>
      </c>
      <c r="B979" s="7" t="str">
        <f>VLOOKUP($A979,product_category,2, False)</f>
        <v>Snacks</v>
      </c>
      <c r="C979" s="7">
        <v>7.4210056E8</v>
      </c>
      <c r="D979" s="9">
        <v>42739.0</v>
      </c>
      <c r="E979" s="10">
        <f t="shared" si="1"/>
        <v>1</v>
      </c>
      <c r="F979" s="10" t="str">
        <f t="shared" si="2"/>
        <v>Jan</v>
      </c>
      <c r="G979" s="11">
        <f t="shared" si="3"/>
        <v>4</v>
      </c>
      <c r="H979" s="7">
        <f t="shared" si="4"/>
        <v>2017</v>
      </c>
      <c r="I979" s="9">
        <v>42752.0</v>
      </c>
      <c r="J979" s="11">
        <f t="shared" si="5"/>
        <v>13</v>
      </c>
      <c r="K979" s="7" t="s">
        <v>198</v>
      </c>
      <c r="L979" s="7" t="s">
        <v>642</v>
      </c>
      <c r="M979" s="7" t="str">
        <f>VLOOKUP(L979,countries, 2,false)</f>
        <v>San Marino</v>
      </c>
      <c r="N979" s="7" t="str">
        <f>VLOOKUP(L979,countries, 4,false)</f>
        <v>Europe</v>
      </c>
      <c r="O979" s="7" t="str">
        <f>VLOOKUP(L979,countries, 5,false)</f>
        <v>Southern Europe</v>
      </c>
      <c r="P979" s="7" t="s">
        <v>212</v>
      </c>
      <c r="Q979" s="7">
        <v>2902.0</v>
      </c>
      <c r="R979" s="12">
        <v>152.58</v>
      </c>
      <c r="S979" s="12">
        <v>97.44</v>
      </c>
      <c r="T979" s="13">
        <f t="shared" si="6"/>
        <v>442787.16</v>
      </c>
      <c r="U979" s="13">
        <f t="shared" si="7"/>
        <v>143760.33</v>
      </c>
      <c r="V979" s="13">
        <f t="shared" si="8"/>
        <v>299026.83</v>
      </c>
      <c r="W979" s="14">
        <f>Q979/totals!B$2</f>
        <v>0.0004412665414</v>
      </c>
      <c r="X979" s="14">
        <f t="shared" si="9"/>
        <v>0.7280505629</v>
      </c>
      <c r="Y979" s="14">
        <f>T979/totals!B$5</f>
        <v>0.0002601371893</v>
      </c>
      <c r="Z979" s="14">
        <f t="shared" si="10"/>
        <v>0.7350380287</v>
      </c>
      <c r="AA979" s="14">
        <f>V979/totals!B$4</f>
        <v>0.0005962522858</v>
      </c>
      <c r="AB979" s="14">
        <f t="shared" si="11"/>
        <v>0.7384844739</v>
      </c>
    </row>
    <row r="980">
      <c r="A980" s="7">
        <v>5988.0</v>
      </c>
      <c r="B980" s="7" t="str">
        <f>VLOOKUP($A980,product_category,2, False)</f>
        <v>Vegetables</v>
      </c>
      <c r="C980" s="7">
        <v>7.42569196E8</v>
      </c>
      <c r="D980" s="9">
        <v>41912.0</v>
      </c>
      <c r="E980" s="10">
        <f t="shared" si="1"/>
        <v>9</v>
      </c>
      <c r="F980" s="10" t="str">
        <f t="shared" si="2"/>
        <v>Sep</v>
      </c>
      <c r="G980" s="11">
        <f t="shared" si="3"/>
        <v>30</v>
      </c>
      <c r="H980" s="7">
        <f t="shared" si="4"/>
        <v>2014</v>
      </c>
      <c r="I980" s="9">
        <v>41960.0</v>
      </c>
      <c r="J980" s="11">
        <f t="shared" si="5"/>
        <v>48</v>
      </c>
      <c r="K980" s="7" t="s">
        <v>110</v>
      </c>
      <c r="L980" s="7" t="s">
        <v>454</v>
      </c>
      <c r="M980" s="7" t="str">
        <f>VLOOKUP(L980,countries, 2,false)</f>
        <v>Luxembourg</v>
      </c>
      <c r="N980" s="7" t="str">
        <f>VLOOKUP(L980,countries, 4,false)</f>
        <v>Europe</v>
      </c>
      <c r="O980" s="7" t="str">
        <f>VLOOKUP(L980,countries, 5,false)</f>
        <v>Western Europe</v>
      </c>
      <c r="P980" s="7" t="s">
        <v>129</v>
      </c>
      <c r="Q980" s="7">
        <v>1581.0</v>
      </c>
      <c r="R980" s="12">
        <v>154.06</v>
      </c>
      <c r="S980" s="12">
        <v>90.93</v>
      </c>
      <c r="T980" s="13">
        <f t="shared" si="6"/>
        <v>243568.86</v>
      </c>
      <c r="U980" s="13">
        <f t="shared" si="7"/>
        <v>90887.61</v>
      </c>
      <c r="V980" s="13">
        <f t="shared" si="8"/>
        <v>152681.25</v>
      </c>
      <c r="W980" s="14">
        <f>Q980/totals!B$2</f>
        <v>0.000240400552</v>
      </c>
      <c r="X980" s="14">
        <f t="shared" si="9"/>
        <v>0.7282909634</v>
      </c>
      <c r="Y980" s="14">
        <f>T980/totals!B$5</f>
        <v>0.0001430965582</v>
      </c>
      <c r="Z980" s="14">
        <f t="shared" si="10"/>
        <v>0.7351811252</v>
      </c>
      <c r="AA980" s="14">
        <f>V980/totals!B$4</f>
        <v>0.0003044427295</v>
      </c>
      <c r="AB980" s="14">
        <f t="shared" si="11"/>
        <v>0.7387889167</v>
      </c>
    </row>
    <row r="981">
      <c r="A981" s="7">
        <v>1270.0</v>
      </c>
      <c r="B981" s="7" t="str">
        <f>VLOOKUP($A981,product_category,2, False)</f>
        <v>Beverages</v>
      </c>
      <c r="C981" s="7">
        <v>7.42843854E8</v>
      </c>
      <c r="D981" s="9">
        <v>41508.0</v>
      </c>
      <c r="E981" s="10">
        <f t="shared" si="1"/>
        <v>8</v>
      </c>
      <c r="F981" s="10" t="str">
        <f t="shared" si="2"/>
        <v>Aug</v>
      </c>
      <c r="G981" s="11">
        <f t="shared" si="3"/>
        <v>22</v>
      </c>
      <c r="H981" s="7">
        <f t="shared" si="4"/>
        <v>2013</v>
      </c>
      <c r="I981" s="9">
        <v>41521.0</v>
      </c>
      <c r="J981" s="11">
        <f t="shared" si="5"/>
        <v>13</v>
      </c>
      <c r="K981" s="7" t="s">
        <v>110</v>
      </c>
      <c r="L981" s="7" t="s">
        <v>594</v>
      </c>
      <c r="M981" s="7" t="str">
        <f>VLOOKUP(L981,countries, 2,false)</f>
        <v>Poland</v>
      </c>
      <c r="N981" s="7" t="str">
        <f>VLOOKUP(L981,countries, 4,false)</f>
        <v>Europe</v>
      </c>
      <c r="O981" s="7" t="str">
        <f>VLOOKUP(L981,countries, 5,false)</f>
        <v>Eastern Europe</v>
      </c>
      <c r="P981" s="7" t="s">
        <v>129</v>
      </c>
      <c r="Q981" s="7">
        <v>2859.0</v>
      </c>
      <c r="R981" s="12">
        <v>47.45</v>
      </c>
      <c r="S981" s="12">
        <v>31.79</v>
      </c>
      <c r="T981" s="13">
        <f t="shared" si="6"/>
        <v>135659.55</v>
      </c>
      <c r="U981" s="13">
        <f t="shared" si="7"/>
        <v>616455.53</v>
      </c>
      <c r="V981" s="13">
        <f t="shared" si="8"/>
        <v>-480795.98</v>
      </c>
      <c r="W981" s="14">
        <f>Q981/totals!B$2</f>
        <v>0.000434728133</v>
      </c>
      <c r="X981" s="14">
        <f t="shared" si="9"/>
        <v>0.7287256916</v>
      </c>
      <c r="Y981" s="14">
        <f>T981/totals!B$5</f>
        <v>0.00007969990375</v>
      </c>
      <c r="Z981" s="14">
        <f t="shared" si="10"/>
        <v>0.7352608251</v>
      </c>
      <c r="AA981" s="14">
        <f>V981/totals!B$4</f>
        <v>-0.0009586955863</v>
      </c>
      <c r="AB981" s="14">
        <f t="shared" si="11"/>
        <v>0.7378302211</v>
      </c>
    </row>
    <row r="982">
      <c r="A982" s="7">
        <v>8293.0</v>
      </c>
      <c r="B982" s="7" t="str">
        <f>VLOOKUP($A982,product_category,2, False)</f>
        <v>Cosmetics</v>
      </c>
      <c r="C982" s="7">
        <v>7.43619334E8</v>
      </c>
      <c r="D982" s="9">
        <v>41786.0</v>
      </c>
      <c r="E982" s="10">
        <f t="shared" si="1"/>
        <v>5</v>
      </c>
      <c r="F982" s="10" t="str">
        <f t="shared" si="2"/>
        <v>May</v>
      </c>
      <c r="G982" s="11">
        <f t="shared" si="3"/>
        <v>27</v>
      </c>
      <c r="H982" s="7">
        <f t="shared" si="4"/>
        <v>2014</v>
      </c>
      <c r="I982" s="9">
        <v>41829.0</v>
      </c>
      <c r="J982" s="11">
        <f t="shared" si="5"/>
        <v>43</v>
      </c>
      <c r="K982" s="7" t="s">
        <v>322</v>
      </c>
      <c r="L982" s="7" t="s">
        <v>364</v>
      </c>
      <c r="M982" s="7" t="str">
        <f>VLOOKUP(L982,countries, 2,false)</f>
        <v>Hungary</v>
      </c>
      <c r="N982" s="7" t="str">
        <f>VLOOKUP(L982,countries, 4,false)</f>
        <v>Europe</v>
      </c>
      <c r="O982" s="7" t="str">
        <f>VLOOKUP(L982,countries, 5,false)</f>
        <v>Eastern Europe</v>
      </c>
      <c r="P982" s="7" t="s">
        <v>212</v>
      </c>
      <c r="Q982" s="7">
        <v>2341.0</v>
      </c>
      <c r="R982" s="12">
        <v>437.2</v>
      </c>
      <c r="S982" s="12">
        <v>263.33</v>
      </c>
      <c r="T982" s="13">
        <f t="shared" si="6"/>
        <v>1023485.2</v>
      </c>
      <c r="U982" s="13">
        <f t="shared" si="7"/>
        <v>605775.66</v>
      </c>
      <c r="V982" s="13">
        <f t="shared" si="8"/>
        <v>417709.54</v>
      </c>
      <c r="W982" s="14">
        <f>Q982/totals!B$2</f>
        <v>0.0003559631197</v>
      </c>
      <c r="X982" s="14">
        <f t="shared" si="9"/>
        <v>0.7290816547</v>
      </c>
      <c r="Y982" s="14">
        <f>T982/totals!B$5</f>
        <v>0.0006012969373</v>
      </c>
      <c r="Z982" s="14">
        <f t="shared" si="10"/>
        <v>0.7358621221</v>
      </c>
      <c r="AA982" s="14">
        <f>V982/totals!B$4</f>
        <v>0.0008329027467</v>
      </c>
      <c r="AB982" s="14">
        <f t="shared" si="11"/>
        <v>0.7386631238</v>
      </c>
    </row>
    <row r="983">
      <c r="A983" s="7">
        <v>5988.0</v>
      </c>
      <c r="B983" s="7" t="str">
        <f>VLOOKUP($A983,product_category,2, False)</f>
        <v>Vegetables</v>
      </c>
      <c r="C983" s="7">
        <v>7.43769109E8</v>
      </c>
      <c r="D983" s="9">
        <v>42500.0</v>
      </c>
      <c r="E983" s="10">
        <f t="shared" si="1"/>
        <v>5</v>
      </c>
      <c r="F983" s="10" t="str">
        <f t="shared" si="2"/>
        <v>May</v>
      </c>
      <c r="G983" s="11">
        <f t="shared" si="3"/>
        <v>10</v>
      </c>
      <c r="H983" s="7">
        <f t="shared" si="4"/>
        <v>2016</v>
      </c>
      <c r="I983" s="9">
        <v>42501.0</v>
      </c>
      <c r="J983" s="11">
        <f t="shared" si="5"/>
        <v>1</v>
      </c>
      <c r="K983" s="7" t="s">
        <v>110</v>
      </c>
      <c r="L983" s="7" t="s">
        <v>478</v>
      </c>
      <c r="M983" s="7" t="str">
        <f>VLOOKUP(L983,countries, 2,false)</f>
        <v>Malta</v>
      </c>
      <c r="N983" s="7" t="str">
        <f>VLOOKUP(L983,countries, 4,false)</f>
        <v>Europe</v>
      </c>
      <c r="O983" s="7" t="str">
        <f>VLOOKUP(L983,countries, 5,false)</f>
        <v>Southern Europe</v>
      </c>
      <c r="P983" s="7" t="s">
        <v>129</v>
      </c>
      <c r="Q983" s="7">
        <v>6662.0</v>
      </c>
      <c r="R983" s="12">
        <v>154.06</v>
      </c>
      <c r="S983" s="12">
        <v>90.93</v>
      </c>
      <c r="T983" s="13">
        <f t="shared" si="6"/>
        <v>1026347.72</v>
      </c>
      <c r="U983" s="13">
        <f t="shared" si="7"/>
        <v>276003.84</v>
      </c>
      <c r="V983" s="13">
        <f t="shared" si="8"/>
        <v>750343.88</v>
      </c>
      <c r="W983" s="14">
        <f>Q983/totals!B$2</f>
        <v>0.00101299714</v>
      </c>
      <c r="X983" s="14">
        <f t="shared" si="9"/>
        <v>0.7300946518</v>
      </c>
      <c r="Y983" s="14">
        <f>T983/totals!B$5</f>
        <v>0.000602978666</v>
      </c>
      <c r="Z983" s="14">
        <f t="shared" si="10"/>
        <v>0.7364651007</v>
      </c>
      <c r="AA983" s="14">
        <f>V983/totals!B$4</f>
        <v>0.001496167597</v>
      </c>
      <c r="AB983" s="14">
        <f t="shared" si="11"/>
        <v>0.7401592914</v>
      </c>
    </row>
    <row r="984">
      <c r="A984" s="7">
        <v>2455.0</v>
      </c>
      <c r="B984" s="7" t="str">
        <f>VLOOKUP($A984,product_category,2, False)</f>
        <v>Clothes</v>
      </c>
      <c r="C984" s="7">
        <v>7.44583642E8</v>
      </c>
      <c r="D984" s="9">
        <v>40404.0</v>
      </c>
      <c r="E984" s="10">
        <f t="shared" si="1"/>
        <v>8</v>
      </c>
      <c r="F984" s="10" t="str">
        <f t="shared" si="2"/>
        <v>Aug</v>
      </c>
      <c r="G984" s="11">
        <f t="shared" si="3"/>
        <v>14</v>
      </c>
      <c r="H984" s="7">
        <f t="shared" si="4"/>
        <v>2010</v>
      </c>
      <c r="I984" s="9">
        <v>40447.0</v>
      </c>
      <c r="J984" s="11">
        <f t="shared" si="5"/>
        <v>43</v>
      </c>
      <c r="K984" s="7" t="s">
        <v>382</v>
      </c>
      <c r="L984" s="7" t="s">
        <v>540</v>
      </c>
      <c r="M984" s="7" t="str">
        <f>VLOOKUP(L984,countries, 2,false)</f>
        <v>Spain</v>
      </c>
      <c r="N984" s="7" t="str">
        <f>VLOOKUP(L984,countries, 4,false)</f>
        <v>Europe</v>
      </c>
      <c r="O984" s="7" t="str">
        <f>VLOOKUP(L984,countries, 5,false)</f>
        <v>Southern Europe</v>
      </c>
      <c r="P984" s="7" t="s">
        <v>129</v>
      </c>
      <c r="Q984" s="7">
        <v>7701.0</v>
      </c>
      <c r="R984" s="12">
        <v>109.28</v>
      </c>
      <c r="S984" s="12">
        <v>35.84</v>
      </c>
      <c r="T984" s="13">
        <f t="shared" si="6"/>
        <v>841565.28</v>
      </c>
      <c r="U984" s="13">
        <f t="shared" si="7"/>
        <v>662970.63</v>
      </c>
      <c r="V984" s="13">
        <f t="shared" si="8"/>
        <v>178594.65</v>
      </c>
      <c r="W984" s="14">
        <f>Q984/totals!B$2</f>
        <v>0.001170983334</v>
      </c>
      <c r="X984" s="14">
        <f t="shared" si="9"/>
        <v>0.7312656352</v>
      </c>
      <c r="Y984" s="14">
        <f>T984/totals!B$5</f>
        <v>0.0004944190941</v>
      </c>
      <c r="Z984" s="14">
        <f t="shared" si="10"/>
        <v>0.7369595198</v>
      </c>
      <c r="AA984" s="14">
        <f>V984/totals!B$4</f>
        <v>0.000356113424</v>
      </c>
      <c r="AB984" s="14">
        <f t="shared" si="11"/>
        <v>0.7405154048</v>
      </c>
    </row>
    <row r="985">
      <c r="A985" s="7">
        <v>5988.0</v>
      </c>
      <c r="B985" s="7" t="str">
        <f>VLOOKUP($A985,product_category,2, False)</f>
        <v>Vegetables</v>
      </c>
      <c r="C985" s="7">
        <v>7.44683635E8</v>
      </c>
      <c r="D985" s="9">
        <v>40222.0</v>
      </c>
      <c r="E985" s="10">
        <f t="shared" si="1"/>
        <v>2</v>
      </c>
      <c r="F985" s="10" t="str">
        <f t="shared" si="2"/>
        <v>Feb</v>
      </c>
      <c r="G985" s="11">
        <f t="shared" si="3"/>
        <v>13</v>
      </c>
      <c r="H985" s="7">
        <f t="shared" si="4"/>
        <v>2010</v>
      </c>
      <c r="I985" s="9">
        <v>40269.0</v>
      </c>
      <c r="J985" s="11">
        <f t="shared" si="5"/>
        <v>47</v>
      </c>
      <c r="K985" s="7" t="s">
        <v>322</v>
      </c>
      <c r="L985" s="7" t="s">
        <v>454</v>
      </c>
      <c r="M985" s="7" t="str">
        <f>VLOOKUP(L985,countries, 2,false)</f>
        <v>Luxembourg</v>
      </c>
      <c r="N985" s="7" t="str">
        <f>VLOOKUP(L985,countries, 4,false)</f>
        <v>Europe</v>
      </c>
      <c r="O985" s="7" t="str">
        <f>VLOOKUP(L985,countries, 5,false)</f>
        <v>Western Europe</v>
      </c>
      <c r="P985" s="7" t="s">
        <v>212</v>
      </c>
      <c r="Q985" s="7">
        <v>7291.0</v>
      </c>
      <c r="R985" s="12">
        <v>154.06</v>
      </c>
      <c r="S985" s="12">
        <v>90.93</v>
      </c>
      <c r="T985" s="13">
        <f t="shared" si="6"/>
        <v>1123251.46</v>
      </c>
      <c r="U985" s="13">
        <f t="shared" si="7"/>
        <v>329226.24</v>
      </c>
      <c r="V985" s="13">
        <f t="shared" si="8"/>
        <v>794025.22</v>
      </c>
      <c r="W985" s="14">
        <f>Q985/totals!B$2</f>
        <v>0.00110864037</v>
      </c>
      <c r="X985" s="14">
        <f t="shared" si="9"/>
        <v>0.7323742755</v>
      </c>
      <c r="Y985" s="14">
        <f>T985/totals!B$5</f>
        <v>0.0006599095548</v>
      </c>
      <c r="Z985" s="14">
        <f t="shared" si="10"/>
        <v>0.7376194294</v>
      </c>
      <c r="AA985" s="14">
        <f>V985/totals!B$4</f>
        <v>0.001583267135</v>
      </c>
      <c r="AB985" s="14">
        <f t="shared" si="11"/>
        <v>0.742098672</v>
      </c>
    </row>
    <row r="986">
      <c r="A986" s="7">
        <v>2455.0</v>
      </c>
      <c r="B986" s="7" t="str">
        <f>VLOOKUP($A986,product_category,2, False)</f>
        <v>Clothes</v>
      </c>
      <c r="C986" s="7">
        <v>7.45467269E8</v>
      </c>
      <c r="D986" s="9">
        <v>41767.0</v>
      </c>
      <c r="E986" s="10">
        <f t="shared" si="1"/>
        <v>5</v>
      </c>
      <c r="F986" s="10" t="str">
        <f t="shared" si="2"/>
        <v>May</v>
      </c>
      <c r="G986" s="11">
        <f t="shared" si="3"/>
        <v>8</v>
      </c>
      <c r="H986" s="7">
        <f t="shared" si="4"/>
        <v>2014</v>
      </c>
      <c r="I986" s="9">
        <v>41813.0</v>
      </c>
      <c r="J986" s="11">
        <f t="shared" si="5"/>
        <v>46</v>
      </c>
      <c r="K986" s="7" t="s">
        <v>110</v>
      </c>
      <c r="L986" s="7" t="s">
        <v>612</v>
      </c>
      <c r="M986" s="7" t="str">
        <f>VLOOKUP(L986,countries, 2,false)</f>
        <v>Russia</v>
      </c>
      <c r="N986" s="7" t="str">
        <f>VLOOKUP(L986,countries, 4,false)</f>
        <v>Europe</v>
      </c>
      <c r="O986" s="7" t="str">
        <f>VLOOKUP(L986,countries, 5,false)</f>
        <v>Eastern Europe</v>
      </c>
      <c r="P986" s="7" t="s">
        <v>212</v>
      </c>
      <c r="Q986" s="7">
        <v>9186.0</v>
      </c>
      <c r="R986" s="12">
        <v>109.28</v>
      </c>
      <c r="S986" s="12">
        <v>35.84</v>
      </c>
      <c r="T986" s="13">
        <f t="shared" si="6"/>
        <v>1003846.08</v>
      </c>
      <c r="U986" s="13">
        <f t="shared" si="7"/>
        <v>964051.13</v>
      </c>
      <c r="V986" s="13">
        <f t="shared" si="8"/>
        <v>39794.95</v>
      </c>
      <c r="W986" s="14">
        <f>Q986/totals!B$2</f>
        <v>0.001396786509</v>
      </c>
      <c r="X986" s="14">
        <f t="shared" si="9"/>
        <v>0.733771062</v>
      </c>
      <c r="Y986" s="14">
        <f>T986/totals!B$5</f>
        <v>0.0005897589661</v>
      </c>
      <c r="Z986" s="14">
        <f t="shared" si="10"/>
        <v>0.7382091884</v>
      </c>
      <c r="AA986" s="14">
        <f>V986/totals!B$4</f>
        <v>0.00007935017036</v>
      </c>
      <c r="AB986" s="14">
        <f t="shared" si="11"/>
        <v>0.7421780221</v>
      </c>
    </row>
    <row r="987">
      <c r="A987" s="7">
        <v>8293.0</v>
      </c>
      <c r="B987" s="7" t="str">
        <f>VLOOKUP($A987,product_category,2, False)</f>
        <v>Cosmetics</v>
      </c>
      <c r="C987" s="7">
        <v>7.46563756E8</v>
      </c>
      <c r="D987" s="9">
        <v>41712.0</v>
      </c>
      <c r="E987" s="10">
        <f t="shared" si="1"/>
        <v>3</v>
      </c>
      <c r="F987" s="10" t="str">
        <f t="shared" si="2"/>
        <v>Mar</v>
      </c>
      <c r="G987" s="11">
        <f t="shared" si="3"/>
        <v>14</v>
      </c>
      <c r="H987" s="7">
        <f t="shared" si="4"/>
        <v>2014</v>
      </c>
      <c r="I987" s="9">
        <v>41741.0</v>
      </c>
      <c r="J987" s="11">
        <f t="shared" si="5"/>
        <v>29</v>
      </c>
      <c r="K987" s="7" t="s">
        <v>198</v>
      </c>
      <c r="L987" s="7" t="s">
        <v>111</v>
      </c>
      <c r="M987" s="7" t="str">
        <f>VLOOKUP(L987,countries, 2,false)</f>
        <v>Norway</v>
      </c>
      <c r="N987" s="7" t="str">
        <f>VLOOKUP(L987,countries, 4,false)</f>
        <v>Europe</v>
      </c>
      <c r="O987" s="7" t="str">
        <f>VLOOKUP(L987,countries, 5,false)</f>
        <v>Northern Europe</v>
      </c>
      <c r="P987" s="7" t="s">
        <v>212</v>
      </c>
      <c r="Q987" s="7">
        <v>3661.0</v>
      </c>
      <c r="R987" s="12">
        <v>437.2</v>
      </c>
      <c r="S987" s="12">
        <v>263.33</v>
      </c>
      <c r="T987" s="13">
        <f t="shared" si="6"/>
        <v>1600589.2</v>
      </c>
      <c r="U987" s="13">
        <f t="shared" si="7"/>
        <v>934157.28</v>
      </c>
      <c r="V987" s="13">
        <f t="shared" si="8"/>
        <v>666431.92</v>
      </c>
      <c r="W987" s="14">
        <f>Q987/totals!B$2</f>
        <v>0.0005566770531</v>
      </c>
      <c r="X987" s="14">
        <f t="shared" si="9"/>
        <v>0.7343277391</v>
      </c>
      <c r="Y987" s="14">
        <f>T987/totals!B$5</f>
        <v>0.000940345189</v>
      </c>
      <c r="Z987" s="14">
        <f t="shared" si="10"/>
        <v>0.7391495335</v>
      </c>
      <c r="AA987" s="14">
        <f>V987/totals!B$4</f>
        <v>0.001328849173</v>
      </c>
      <c r="AB987" s="14">
        <f t="shared" si="11"/>
        <v>0.7435068713</v>
      </c>
    </row>
    <row r="988">
      <c r="A988" s="7">
        <v>8969.0</v>
      </c>
      <c r="B988" s="7" t="str">
        <f>VLOOKUP($A988,product_category,2, False)</f>
        <v>Snacks</v>
      </c>
      <c r="C988" s="7">
        <v>7.4732722E8</v>
      </c>
      <c r="D988" s="9">
        <v>41869.0</v>
      </c>
      <c r="E988" s="10">
        <f t="shared" si="1"/>
        <v>8</v>
      </c>
      <c r="F988" s="10" t="str">
        <f t="shared" si="2"/>
        <v>Aug</v>
      </c>
      <c r="G988" s="11">
        <f t="shared" si="3"/>
        <v>18</v>
      </c>
      <c r="H988" s="7">
        <f t="shared" si="4"/>
        <v>2014</v>
      </c>
      <c r="I988" s="9">
        <v>41897.0</v>
      </c>
      <c r="J988" s="11">
        <f t="shared" si="5"/>
        <v>28</v>
      </c>
      <c r="K988" s="7" t="s">
        <v>382</v>
      </c>
      <c r="L988" s="7" t="s">
        <v>609</v>
      </c>
      <c r="M988" s="7" t="str">
        <f>VLOOKUP(L988,countries, 2,false)</f>
        <v>Romania</v>
      </c>
      <c r="N988" s="7" t="str">
        <f>VLOOKUP(L988,countries, 4,false)</f>
        <v>Europe</v>
      </c>
      <c r="O988" s="7" t="str">
        <f>VLOOKUP(L988,countries, 5,false)</f>
        <v>Eastern Europe</v>
      </c>
      <c r="P988" s="7" t="s">
        <v>129</v>
      </c>
      <c r="Q988" s="7">
        <v>9587.0</v>
      </c>
      <c r="R988" s="12">
        <v>152.58</v>
      </c>
      <c r="S988" s="12">
        <v>97.44</v>
      </c>
      <c r="T988" s="13">
        <f t="shared" si="6"/>
        <v>1462784.46</v>
      </c>
      <c r="U988" s="13">
        <f t="shared" si="7"/>
        <v>698746.04</v>
      </c>
      <c r="V988" s="13">
        <f t="shared" si="8"/>
        <v>764038.42</v>
      </c>
      <c r="W988" s="14">
        <f>Q988/totals!B$2</f>
        <v>0.001457760969</v>
      </c>
      <c r="X988" s="14">
        <f t="shared" si="9"/>
        <v>0.7357855001</v>
      </c>
      <c r="Y988" s="14">
        <f>T988/totals!B$5</f>
        <v>0.0008593849874</v>
      </c>
      <c r="Z988" s="14">
        <f t="shared" si="10"/>
        <v>0.7400089185</v>
      </c>
      <c r="AA988" s="14">
        <f>V988/totals!B$4</f>
        <v>0.001523474179</v>
      </c>
      <c r="AB988" s="14">
        <f t="shared" si="11"/>
        <v>0.7450303455</v>
      </c>
    </row>
    <row r="989">
      <c r="A989" s="7">
        <v>8875.0</v>
      </c>
      <c r="B989" s="7" t="str">
        <f>VLOOKUP($A989,product_category,2, False)</f>
        <v>Meat</v>
      </c>
      <c r="C989" s="7">
        <v>7.47774398E8</v>
      </c>
      <c r="D989" s="9">
        <v>42802.0</v>
      </c>
      <c r="E989" s="10">
        <f t="shared" si="1"/>
        <v>3</v>
      </c>
      <c r="F989" s="10" t="str">
        <f t="shared" si="2"/>
        <v>Mar</v>
      </c>
      <c r="G989" s="11">
        <f t="shared" si="3"/>
        <v>8</v>
      </c>
      <c r="H989" s="7">
        <f t="shared" si="4"/>
        <v>2017</v>
      </c>
      <c r="I989" s="9">
        <v>42828.0</v>
      </c>
      <c r="J989" s="11">
        <f t="shared" si="5"/>
        <v>26</v>
      </c>
      <c r="K989" s="7" t="s">
        <v>110</v>
      </c>
      <c r="L989" s="7" t="s">
        <v>534</v>
      </c>
      <c r="M989" s="7" t="str">
        <f>VLOOKUP(L989,countries, 2,false)</f>
        <v>Netherlands</v>
      </c>
      <c r="N989" s="7" t="str">
        <f>VLOOKUP(L989,countries, 4,false)</f>
        <v>Europe</v>
      </c>
      <c r="O989" s="7" t="str">
        <f>VLOOKUP(L989,countries, 5,false)</f>
        <v>Western Europe</v>
      </c>
      <c r="P989" s="7" t="s">
        <v>212</v>
      </c>
      <c r="Q989" s="7">
        <v>1916.0</v>
      </c>
      <c r="R989" s="12">
        <v>421.89</v>
      </c>
      <c r="S989" s="12">
        <v>364.69</v>
      </c>
      <c r="T989" s="13">
        <f t="shared" si="6"/>
        <v>808341.24</v>
      </c>
      <c r="U989" s="13">
        <f t="shared" si="7"/>
        <v>3889953.6</v>
      </c>
      <c r="V989" s="13">
        <f t="shared" si="8"/>
        <v>-3081612.36</v>
      </c>
      <c r="W989" s="14">
        <f>Q989/totals!B$2</f>
        <v>0.0002913393154</v>
      </c>
      <c r="X989" s="14">
        <f t="shared" si="9"/>
        <v>0.7360768394</v>
      </c>
      <c r="Y989" s="14">
        <f>T989/totals!B$5</f>
        <v>0.0004748999906</v>
      </c>
      <c r="Z989" s="14">
        <f t="shared" si="10"/>
        <v>0.7404838185</v>
      </c>
      <c r="AA989" s="14">
        <f>V989/totals!B$4</f>
        <v>-0.006144660711</v>
      </c>
      <c r="AB989" s="14">
        <f t="shared" si="11"/>
        <v>0.7388856848</v>
      </c>
    </row>
    <row r="990">
      <c r="A990" s="7">
        <v>8681.0</v>
      </c>
      <c r="B990" s="7" t="str">
        <f>VLOOKUP($A990,product_category,2, False)</f>
        <v>Office Supplies</v>
      </c>
      <c r="C990" s="7">
        <v>7.47826755E8</v>
      </c>
      <c r="D990" s="9">
        <v>42933.0</v>
      </c>
      <c r="E990" s="10">
        <f t="shared" si="1"/>
        <v>7</v>
      </c>
      <c r="F990" s="10" t="str">
        <f t="shared" si="2"/>
        <v>Jul</v>
      </c>
      <c r="G990" s="11">
        <f t="shared" si="3"/>
        <v>17</v>
      </c>
      <c r="H990" s="7">
        <f t="shared" si="4"/>
        <v>2017</v>
      </c>
      <c r="I990" s="9">
        <v>42938.0</v>
      </c>
      <c r="J990" s="11">
        <f t="shared" si="5"/>
        <v>5</v>
      </c>
      <c r="K990" s="7" t="s">
        <v>198</v>
      </c>
      <c r="L990" s="7" t="s">
        <v>460</v>
      </c>
      <c r="M990" s="7" t="str">
        <f>VLOOKUP(L990,countries, 2,false)</f>
        <v>Macedonia</v>
      </c>
      <c r="N990" s="7" t="str">
        <f>VLOOKUP(L990,countries, 4,false)</f>
        <v>Europe</v>
      </c>
      <c r="O990" s="7" t="str">
        <f>VLOOKUP(L990,countries, 5,false)</f>
        <v>Southern Europe</v>
      </c>
      <c r="P990" s="7" t="s">
        <v>212</v>
      </c>
      <c r="Q990" s="7">
        <v>7410.0</v>
      </c>
      <c r="R990" s="12">
        <v>651.21</v>
      </c>
      <c r="S990" s="12">
        <v>524.96</v>
      </c>
      <c r="T990" s="13">
        <f t="shared" si="6"/>
        <v>4825466.1</v>
      </c>
      <c r="U990" s="13">
        <f t="shared" si="7"/>
        <v>192890.88</v>
      </c>
      <c r="V990" s="13">
        <f t="shared" si="8"/>
        <v>4632575.22</v>
      </c>
      <c r="W990" s="14">
        <f>Q990/totals!B$2</f>
        <v>0.001126735035</v>
      </c>
      <c r="X990" s="14">
        <f t="shared" si="9"/>
        <v>0.7372035744</v>
      </c>
      <c r="Y990" s="14">
        <f>T990/totals!B$5</f>
        <v>0.002834958421</v>
      </c>
      <c r="Z990" s="14">
        <f t="shared" si="10"/>
        <v>0.7433187769</v>
      </c>
      <c r="AA990" s="14">
        <f>V990/totals!B$4</f>
        <v>0.009237243241</v>
      </c>
      <c r="AB990" s="14">
        <f t="shared" si="11"/>
        <v>0.748122928</v>
      </c>
    </row>
    <row r="991">
      <c r="A991" s="7">
        <v>2455.0</v>
      </c>
      <c r="B991" s="7" t="str">
        <f>VLOOKUP($A991,product_category,2, False)</f>
        <v>Clothes</v>
      </c>
      <c r="C991" s="7">
        <v>7.47955071E8</v>
      </c>
      <c r="D991" s="9">
        <v>42640.0</v>
      </c>
      <c r="E991" s="10">
        <f t="shared" si="1"/>
        <v>9</v>
      </c>
      <c r="F991" s="10" t="str">
        <f t="shared" si="2"/>
        <v>Sep</v>
      </c>
      <c r="G991" s="11">
        <f t="shared" si="3"/>
        <v>27</v>
      </c>
      <c r="H991" s="7">
        <f t="shared" si="4"/>
        <v>2016</v>
      </c>
      <c r="I991" s="9">
        <v>42668.0</v>
      </c>
      <c r="J991" s="11">
        <f t="shared" si="5"/>
        <v>28</v>
      </c>
      <c r="K991" s="7" t="s">
        <v>382</v>
      </c>
      <c r="L991" s="7" t="s">
        <v>756</v>
      </c>
      <c r="M991" s="7" t="str">
        <f>VLOOKUP(L991,countries, 2,false)</f>
        <v>Ukraine</v>
      </c>
      <c r="N991" s="7" t="str">
        <f>VLOOKUP(L991,countries, 4,false)</f>
        <v>Europe</v>
      </c>
      <c r="O991" s="7" t="str">
        <f>VLOOKUP(L991,countries, 5,false)</f>
        <v>Eastern Europe</v>
      </c>
      <c r="P991" s="7" t="s">
        <v>212</v>
      </c>
      <c r="Q991" s="7">
        <v>5382.0</v>
      </c>
      <c r="R991" s="12">
        <v>109.28</v>
      </c>
      <c r="S991" s="12">
        <v>35.84</v>
      </c>
      <c r="T991" s="13">
        <f t="shared" si="6"/>
        <v>588144.96</v>
      </c>
      <c r="U991" s="13">
        <f t="shared" si="7"/>
        <v>697781.34</v>
      </c>
      <c r="V991" s="13">
        <f t="shared" si="8"/>
        <v>-109636.38</v>
      </c>
      <c r="W991" s="14">
        <f>Q991/totals!B$2</f>
        <v>0.0008183654465</v>
      </c>
      <c r="X991" s="14">
        <f t="shared" si="9"/>
        <v>0.7380219399</v>
      </c>
      <c r="Y991" s="14">
        <f>T991/totals!B$5</f>
        <v>0.000345534809</v>
      </c>
      <c r="Z991" s="14">
        <f t="shared" si="10"/>
        <v>0.7436643118</v>
      </c>
      <c r="AA991" s="14">
        <f>V991/totals!B$4</f>
        <v>-0.0002186122971</v>
      </c>
      <c r="AB991" s="14">
        <f t="shared" si="11"/>
        <v>0.7479043157</v>
      </c>
    </row>
    <row r="992">
      <c r="A992" s="7">
        <v>7331.0</v>
      </c>
      <c r="B992" s="7" t="str">
        <f>VLOOKUP($A992,product_category,2, False)</f>
        <v>Baby Food</v>
      </c>
      <c r="C992" s="7">
        <v>7.48357188E8</v>
      </c>
      <c r="D992" s="9">
        <v>40355.0</v>
      </c>
      <c r="E992" s="10">
        <f t="shared" si="1"/>
        <v>6</v>
      </c>
      <c r="F992" s="10" t="str">
        <f t="shared" si="2"/>
        <v>Jun</v>
      </c>
      <c r="G992" s="11">
        <f t="shared" si="3"/>
        <v>26</v>
      </c>
      <c r="H992" s="7">
        <f t="shared" si="4"/>
        <v>2010</v>
      </c>
      <c r="I992" s="9">
        <v>40379.0</v>
      </c>
      <c r="J992" s="11">
        <f t="shared" si="5"/>
        <v>24</v>
      </c>
      <c r="K992" s="7" t="s">
        <v>198</v>
      </c>
      <c r="L992" s="7" t="s">
        <v>392</v>
      </c>
      <c r="M992" s="7" t="str">
        <f>VLOOKUP(L992,countries, 2,false)</f>
        <v>Italy</v>
      </c>
      <c r="N992" s="7" t="str">
        <f>VLOOKUP(L992,countries, 4,false)</f>
        <v>Europe</v>
      </c>
      <c r="O992" s="7" t="str">
        <f>VLOOKUP(L992,countries, 5,false)</f>
        <v>Southern Europe</v>
      </c>
      <c r="P992" s="7" t="s">
        <v>212</v>
      </c>
      <c r="Q992" s="7">
        <v>4377.0</v>
      </c>
      <c r="R992" s="12">
        <v>255.28</v>
      </c>
      <c r="S992" s="12">
        <v>159.42</v>
      </c>
      <c r="T992" s="13">
        <f t="shared" si="6"/>
        <v>1117360.56</v>
      </c>
      <c r="U992" s="13">
        <f t="shared" si="7"/>
        <v>31050.04</v>
      </c>
      <c r="V992" s="13">
        <f t="shared" si="8"/>
        <v>1086310.52</v>
      </c>
      <c r="W992" s="14">
        <f>Q992/totals!B$2</f>
        <v>0.0006655491564</v>
      </c>
      <c r="X992" s="14">
        <f t="shared" si="9"/>
        <v>0.738687489</v>
      </c>
      <c r="Y992" s="14">
        <f>T992/totals!B$5</f>
        <v>0.0006564486546</v>
      </c>
      <c r="Z992" s="14">
        <f t="shared" si="10"/>
        <v>0.7443207604</v>
      </c>
      <c r="AA992" s="14">
        <f>V992/totals!B$4</f>
        <v>0.002166076973</v>
      </c>
      <c r="AB992" s="14">
        <f t="shared" si="11"/>
        <v>0.7500703927</v>
      </c>
    </row>
    <row r="993">
      <c r="A993" s="7">
        <v>4594.0</v>
      </c>
      <c r="B993" s="7" t="str">
        <f>VLOOKUP($A993,product_category,2, False)</f>
        <v>Fruits</v>
      </c>
      <c r="C993" s="7">
        <v>7.50047194E8</v>
      </c>
      <c r="D993" s="9">
        <v>41121.0</v>
      </c>
      <c r="E993" s="10">
        <f t="shared" si="1"/>
        <v>7</v>
      </c>
      <c r="F993" s="10" t="str">
        <f t="shared" si="2"/>
        <v>Jul</v>
      </c>
      <c r="G993" s="11">
        <f t="shared" si="3"/>
        <v>31</v>
      </c>
      <c r="H993" s="7">
        <f t="shared" si="4"/>
        <v>2012</v>
      </c>
      <c r="I993" s="9">
        <v>41170.0</v>
      </c>
      <c r="J993" s="11">
        <f t="shared" si="5"/>
        <v>49</v>
      </c>
      <c r="K993" s="7" t="s">
        <v>110</v>
      </c>
      <c r="L993" s="7" t="s">
        <v>88</v>
      </c>
      <c r="M993" s="7" t="str">
        <f>VLOOKUP(L993,countries, 2,false)</f>
        <v>Austria</v>
      </c>
      <c r="N993" s="7" t="str">
        <f>VLOOKUP(L993,countries, 4,false)</f>
        <v>Europe</v>
      </c>
      <c r="O993" s="7" t="str">
        <f>VLOOKUP(L993,countries, 5,false)</f>
        <v>Western Europe</v>
      </c>
      <c r="P993" s="7" t="s">
        <v>129</v>
      </c>
      <c r="Q993" s="7">
        <v>4487.0</v>
      </c>
      <c r="R993" s="12">
        <v>9.33</v>
      </c>
      <c r="S993" s="12">
        <v>6.92</v>
      </c>
      <c r="T993" s="13">
        <f t="shared" si="6"/>
        <v>41863.71</v>
      </c>
      <c r="U993" s="13">
        <f t="shared" si="7"/>
        <v>54761.28</v>
      </c>
      <c r="V993" s="13">
        <f t="shared" si="8"/>
        <v>-12897.57</v>
      </c>
      <c r="W993" s="14">
        <f>Q993/totals!B$2</f>
        <v>0.0006822753175</v>
      </c>
      <c r="X993" s="14">
        <f t="shared" si="9"/>
        <v>0.7393697643</v>
      </c>
      <c r="Y993" s="14">
        <f>T993/totals!B$5</f>
        <v>0.00002459490436</v>
      </c>
      <c r="Z993" s="14">
        <f t="shared" si="10"/>
        <v>0.7443453553</v>
      </c>
      <c r="AA993" s="14">
        <f>V993/totals!B$4</f>
        <v>-0.00002571744346</v>
      </c>
      <c r="AB993" s="14">
        <f t="shared" si="11"/>
        <v>0.7500446753</v>
      </c>
    </row>
    <row r="994">
      <c r="A994" s="7">
        <v>8969.0</v>
      </c>
      <c r="B994" s="7" t="str">
        <f>VLOOKUP($A994,product_category,2, False)</f>
        <v>Snacks</v>
      </c>
      <c r="C994" s="7">
        <v>7.50439441E8</v>
      </c>
      <c r="D994" s="9">
        <v>42689.0</v>
      </c>
      <c r="E994" s="10">
        <f t="shared" si="1"/>
        <v>11</v>
      </c>
      <c r="F994" s="10" t="str">
        <f t="shared" si="2"/>
        <v>Nov</v>
      </c>
      <c r="G994" s="11">
        <f t="shared" si="3"/>
        <v>15</v>
      </c>
      <c r="H994" s="7">
        <f t="shared" si="4"/>
        <v>2016</v>
      </c>
      <c r="I994" s="9">
        <v>42733.0</v>
      </c>
      <c r="J994" s="11">
        <f t="shared" si="5"/>
        <v>44</v>
      </c>
      <c r="K994" s="7" t="s">
        <v>382</v>
      </c>
      <c r="L994" s="7" t="s">
        <v>111</v>
      </c>
      <c r="M994" s="7" t="str">
        <f>VLOOKUP(L994,countries, 2,false)</f>
        <v>Norway</v>
      </c>
      <c r="N994" s="7" t="str">
        <f>VLOOKUP(L994,countries, 4,false)</f>
        <v>Europe</v>
      </c>
      <c r="O994" s="7" t="str">
        <f>VLOOKUP(L994,countries, 5,false)</f>
        <v>Northern Europe</v>
      </c>
      <c r="P994" s="7" t="s">
        <v>129</v>
      </c>
      <c r="Q994" s="7">
        <v>562.0</v>
      </c>
      <c r="R994" s="12">
        <v>152.58</v>
      </c>
      <c r="S994" s="12">
        <v>97.44</v>
      </c>
      <c r="T994" s="13">
        <f t="shared" si="6"/>
        <v>85749.96</v>
      </c>
      <c r="U994" s="13">
        <f t="shared" si="7"/>
        <v>694114.68</v>
      </c>
      <c r="V994" s="13">
        <f t="shared" si="8"/>
        <v>-608364.72</v>
      </c>
      <c r="W994" s="14">
        <f>Q994/totals!B$2</f>
        <v>0.0000854554777</v>
      </c>
      <c r="X994" s="14">
        <f t="shared" si="9"/>
        <v>0.7394552198</v>
      </c>
      <c r="Y994" s="14">
        <f>T994/totals!B$5</f>
        <v>0.00005037804975</v>
      </c>
      <c r="Z994" s="14">
        <f t="shared" si="10"/>
        <v>0.7443957334</v>
      </c>
      <c r="AA994" s="14">
        <f>V994/totals!B$4</f>
        <v>-0.001213064577</v>
      </c>
      <c r="AB994" s="14">
        <f t="shared" si="11"/>
        <v>0.7488316107</v>
      </c>
    </row>
    <row r="995">
      <c r="A995" s="7">
        <v>7331.0</v>
      </c>
      <c r="B995" s="7" t="str">
        <f>VLOOKUP($A995,product_category,2, False)</f>
        <v>Baby Food</v>
      </c>
      <c r="C995" s="7">
        <v>7.50959146E8</v>
      </c>
      <c r="D995" s="9">
        <v>42374.0</v>
      </c>
      <c r="E995" s="10">
        <f t="shared" si="1"/>
        <v>1</v>
      </c>
      <c r="F995" s="10" t="str">
        <f t="shared" si="2"/>
        <v>Jan</v>
      </c>
      <c r="G995" s="11">
        <f t="shared" si="3"/>
        <v>5</v>
      </c>
      <c r="H995" s="7">
        <f t="shared" si="4"/>
        <v>2016</v>
      </c>
      <c r="I995" s="9">
        <v>42394.0</v>
      </c>
      <c r="J995" s="11">
        <f t="shared" si="5"/>
        <v>20</v>
      </c>
      <c r="K995" s="7" t="s">
        <v>110</v>
      </c>
      <c r="L995" s="7" t="s">
        <v>323</v>
      </c>
      <c r="M995" s="7" t="str">
        <f>VLOOKUP(L995,countries, 2,false)</f>
        <v>Montenegro</v>
      </c>
      <c r="N995" s="7" t="str">
        <f>VLOOKUP(L995,countries, 4,false)</f>
        <v>Europe</v>
      </c>
      <c r="O995" s="7" t="str">
        <f>VLOOKUP(L995,countries, 5,false)</f>
        <v>Southern Europe</v>
      </c>
      <c r="P995" s="7" t="s">
        <v>129</v>
      </c>
      <c r="Q995" s="7">
        <v>4354.0</v>
      </c>
      <c r="R995" s="12">
        <v>255.28</v>
      </c>
      <c r="S995" s="12">
        <v>159.42</v>
      </c>
      <c r="T995" s="13">
        <f t="shared" si="6"/>
        <v>1111489.12</v>
      </c>
      <c r="U995" s="13">
        <f t="shared" si="7"/>
        <v>48495.36</v>
      </c>
      <c r="V995" s="13">
        <f t="shared" si="8"/>
        <v>1062993.76</v>
      </c>
      <c r="W995" s="14">
        <f>Q995/totals!B$2</f>
        <v>0.0006620518681</v>
      </c>
      <c r="X995" s="14">
        <f t="shared" si="9"/>
        <v>0.7401172717</v>
      </c>
      <c r="Y995" s="14">
        <f>T995/totals!B$5</f>
        <v>0.0006529991872</v>
      </c>
      <c r="Z995" s="14">
        <f t="shared" si="10"/>
        <v>0.7450487325</v>
      </c>
      <c r="AA995" s="14">
        <f>V995/totals!B$4</f>
        <v>0.002119583916</v>
      </c>
      <c r="AB995" s="14">
        <f t="shared" si="11"/>
        <v>0.7509511946</v>
      </c>
    </row>
    <row r="996">
      <c r="A996" s="7">
        <v>4594.0</v>
      </c>
      <c r="B996" s="7" t="str">
        <f>VLOOKUP($A996,product_category,2, False)</f>
        <v>Fruits</v>
      </c>
      <c r="C996" s="7">
        <v>7.52792918E8</v>
      </c>
      <c r="D996" s="9">
        <v>41028.0</v>
      </c>
      <c r="E996" s="10">
        <f t="shared" si="1"/>
        <v>4</v>
      </c>
      <c r="F996" s="10" t="str">
        <f t="shared" si="2"/>
        <v>Apr</v>
      </c>
      <c r="G996" s="11">
        <f t="shared" si="3"/>
        <v>29</v>
      </c>
      <c r="H996" s="7">
        <f t="shared" si="4"/>
        <v>2012</v>
      </c>
      <c r="I996" s="9">
        <v>41041.0</v>
      </c>
      <c r="J996" s="11">
        <f t="shared" si="5"/>
        <v>13</v>
      </c>
      <c r="K996" s="7" t="s">
        <v>110</v>
      </c>
      <c r="L996" s="7" t="s">
        <v>111</v>
      </c>
      <c r="M996" s="7" t="str">
        <f>VLOOKUP(L996,countries, 2,false)</f>
        <v>Norway</v>
      </c>
      <c r="N996" s="7" t="str">
        <f>VLOOKUP(L996,countries, 4,false)</f>
        <v>Europe</v>
      </c>
      <c r="O996" s="7" t="str">
        <f>VLOOKUP(L996,countries, 5,false)</f>
        <v>Northern Europe</v>
      </c>
      <c r="P996" s="7" t="s">
        <v>212</v>
      </c>
      <c r="Q996" s="7">
        <v>7008.0</v>
      </c>
      <c r="R996" s="12">
        <v>9.33</v>
      </c>
      <c r="S996" s="12">
        <v>6.92</v>
      </c>
      <c r="T996" s="13">
        <f t="shared" si="6"/>
        <v>65384.64</v>
      </c>
      <c r="U996" s="13">
        <f t="shared" si="7"/>
        <v>51865.4</v>
      </c>
      <c r="V996" s="13">
        <f t="shared" si="8"/>
        <v>13519.24</v>
      </c>
      <c r="W996" s="14">
        <f>Q996/totals!B$2</f>
        <v>0.001065608519</v>
      </c>
      <c r="X996" s="14">
        <f t="shared" si="9"/>
        <v>0.7411828802</v>
      </c>
      <c r="Y996" s="14">
        <f>T996/totals!B$5</f>
        <v>0.00003841343654</v>
      </c>
      <c r="Z996" s="14">
        <f t="shared" si="10"/>
        <v>0.745087146</v>
      </c>
      <c r="AA996" s="14">
        <f>V996/totals!B$4</f>
        <v>0.00002695703845</v>
      </c>
      <c r="AB996" s="14">
        <f t="shared" si="11"/>
        <v>0.7509781516</v>
      </c>
    </row>
    <row r="997">
      <c r="A997" s="7">
        <v>4594.0</v>
      </c>
      <c r="B997" s="7" t="str">
        <f>VLOOKUP($A997,product_category,2, False)</f>
        <v>Fruits</v>
      </c>
      <c r="C997" s="7">
        <v>7.53166282E8</v>
      </c>
      <c r="D997" s="9">
        <v>40825.0</v>
      </c>
      <c r="E997" s="10">
        <f t="shared" si="1"/>
        <v>10</v>
      </c>
      <c r="F997" s="10" t="str">
        <f t="shared" si="2"/>
        <v>Oct</v>
      </c>
      <c r="G997" s="11">
        <f t="shared" si="3"/>
        <v>9</v>
      </c>
      <c r="H997" s="7">
        <f t="shared" si="4"/>
        <v>2011</v>
      </c>
      <c r="I997" s="9">
        <v>40872.0</v>
      </c>
      <c r="J997" s="11">
        <f t="shared" si="5"/>
        <v>47</v>
      </c>
      <c r="K997" s="7" t="s">
        <v>382</v>
      </c>
      <c r="L997" s="7" t="s">
        <v>540</v>
      </c>
      <c r="M997" s="7" t="str">
        <f>VLOOKUP(L997,countries, 2,false)</f>
        <v>Spain</v>
      </c>
      <c r="N997" s="7" t="str">
        <f>VLOOKUP(L997,countries, 4,false)</f>
        <v>Europe</v>
      </c>
      <c r="O997" s="7" t="str">
        <f>VLOOKUP(L997,countries, 5,false)</f>
        <v>Southern Europe</v>
      </c>
      <c r="P997" s="7" t="s">
        <v>129</v>
      </c>
      <c r="Q997" s="7">
        <v>7495.0</v>
      </c>
      <c r="R997" s="12">
        <v>9.33</v>
      </c>
      <c r="S997" s="12">
        <v>6.92</v>
      </c>
      <c r="T997" s="13">
        <f t="shared" si="6"/>
        <v>69928.35</v>
      </c>
      <c r="U997" s="13">
        <f t="shared" si="7"/>
        <v>750167.84</v>
      </c>
      <c r="V997" s="13">
        <f t="shared" si="8"/>
        <v>-680239.49</v>
      </c>
      <c r="W997" s="14">
        <f>Q997/totals!B$2</f>
        <v>0.001139659796</v>
      </c>
      <c r="X997" s="14">
        <f t="shared" si="9"/>
        <v>0.74232254</v>
      </c>
      <c r="Y997" s="14">
        <f>T997/totals!B$5</f>
        <v>0.00004108286342</v>
      </c>
      <c r="Z997" s="14">
        <f t="shared" si="10"/>
        <v>0.7451282288</v>
      </c>
      <c r="AA997" s="14">
        <f>V997/totals!B$4</f>
        <v>-0.001356381134</v>
      </c>
      <c r="AB997" s="14">
        <f t="shared" si="11"/>
        <v>0.7496217705</v>
      </c>
    </row>
    <row r="998">
      <c r="A998" s="7">
        <v>8681.0</v>
      </c>
      <c r="B998" s="7" t="str">
        <f>VLOOKUP($A998,product_category,2, False)</f>
        <v>Office Supplies</v>
      </c>
      <c r="C998" s="7">
        <v>7.54227149E8</v>
      </c>
      <c r="D998" s="9">
        <v>41202.0</v>
      </c>
      <c r="E998" s="10">
        <f t="shared" si="1"/>
        <v>10</v>
      </c>
      <c r="F998" s="10" t="str">
        <f t="shared" si="2"/>
        <v>Oct</v>
      </c>
      <c r="G998" s="11">
        <f t="shared" si="3"/>
        <v>20</v>
      </c>
      <c r="H998" s="7">
        <f t="shared" si="4"/>
        <v>2012</v>
      </c>
      <c r="I998" s="9">
        <v>41237.0</v>
      </c>
      <c r="J998" s="11">
        <f t="shared" si="5"/>
        <v>35</v>
      </c>
      <c r="K998" s="7" t="s">
        <v>382</v>
      </c>
      <c r="L998" s="7" t="s">
        <v>505</v>
      </c>
      <c r="M998" s="7" t="str">
        <f>VLOOKUP(L998,countries, 2,false)</f>
        <v>Monaco</v>
      </c>
      <c r="N998" s="7" t="str">
        <f>VLOOKUP(L998,countries, 4,false)</f>
        <v>Europe</v>
      </c>
      <c r="O998" s="7" t="str">
        <f>VLOOKUP(L998,countries, 5,false)</f>
        <v>Western Europe</v>
      </c>
      <c r="P998" s="7" t="s">
        <v>129</v>
      </c>
      <c r="Q998" s="7">
        <v>1429.0</v>
      </c>
      <c r="R998" s="12">
        <v>651.21</v>
      </c>
      <c r="S998" s="12">
        <v>524.96</v>
      </c>
      <c r="T998" s="13">
        <f t="shared" si="6"/>
        <v>930579.09</v>
      </c>
      <c r="U998" s="13">
        <f t="shared" si="7"/>
        <v>248781.3</v>
      </c>
      <c r="V998" s="13">
        <f t="shared" si="8"/>
        <v>681797.79</v>
      </c>
      <c r="W998" s="14">
        <f>Q998/totals!B$2</f>
        <v>0.0002172880385</v>
      </c>
      <c r="X998" s="14">
        <f t="shared" si="9"/>
        <v>0.742539828</v>
      </c>
      <c r="Y998" s="14">
        <f>T998/totals!B$5</f>
        <v>0.0005467146537</v>
      </c>
      <c r="Z998" s="14">
        <f t="shared" si="10"/>
        <v>0.7456749435</v>
      </c>
      <c r="AA998" s="14">
        <f>V998/totals!B$4</f>
        <v>0.001359488347</v>
      </c>
      <c r="AB998" s="14">
        <f t="shared" si="11"/>
        <v>0.7509812588</v>
      </c>
    </row>
    <row r="999">
      <c r="A999" s="7">
        <v>3127.0</v>
      </c>
      <c r="B999" s="7" t="str">
        <f>VLOOKUP($A999,product_category,2, False)</f>
        <v>Personal Care</v>
      </c>
      <c r="C999" s="7">
        <v>7.54541289E8</v>
      </c>
      <c r="D999" s="9">
        <v>41985.0</v>
      </c>
      <c r="E999" s="10">
        <f t="shared" si="1"/>
        <v>12</v>
      </c>
      <c r="F999" s="10" t="str">
        <f t="shared" si="2"/>
        <v>Dec</v>
      </c>
      <c r="G999" s="11">
        <f t="shared" si="3"/>
        <v>12</v>
      </c>
      <c r="H999" s="7">
        <f t="shared" si="4"/>
        <v>2014</v>
      </c>
      <c r="I999" s="9">
        <v>41992.0</v>
      </c>
      <c r="J999" s="11">
        <f t="shared" si="5"/>
        <v>7</v>
      </c>
      <c r="K999" s="7" t="s">
        <v>322</v>
      </c>
      <c r="L999" s="7" t="s">
        <v>56</v>
      </c>
      <c r="M999" s="7" t="str">
        <f>VLOOKUP(L999,countries, 2,false)</f>
        <v>Andorra</v>
      </c>
      <c r="N999" s="7" t="str">
        <f>VLOOKUP(L999,countries, 4,false)</f>
        <v>Europe</v>
      </c>
      <c r="O999" s="7" t="str">
        <f>VLOOKUP(L999,countries, 5,false)</f>
        <v>Southern Europe</v>
      </c>
      <c r="P999" s="7" t="s">
        <v>212</v>
      </c>
      <c r="Q999" s="7">
        <v>4390.0</v>
      </c>
      <c r="R999" s="12">
        <v>81.73</v>
      </c>
      <c r="S999" s="12">
        <v>56.67</v>
      </c>
      <c r="T999" s="13">
        <f t="shared" si="6"/>
        <v>358794.7</v>
      </c>
      <c r="U999" s="13">
        <f t="shared" si="7"/>
        <v>161530.88</v>
      </c>
      <c r="V999" s="13">
        <f t="shared" si="8"/>
        <v>197263.82</v>
      </c>
      <c r="W999" s="14">
        <f>Q999/totals!B$2</f>
        <v>0.0006675258845</v>
      </c>
      <c r="X999" s="14">
        <f t="shared" si="9"/>
        <v>0.7432073539</v>
      </c>
      <c r="Y999" s="14">
        <f>T999/totals!B$5</f>
        <v>0.0002107916697</v>
      </c>
      <c r="Z999" s="14">
        <f t="shared" si="10"/>
        <v>0.7458857352</v>
      </c>
      <c r="AA999" s="14">
        <f>V999/totals!B$4</f>
        <v>0.0003933392987</v>
      </c>
      <c r="AB999" s="14">
        <f t="shared" si="11"/>
        <v>0.7513745981</v>
      </c>
    </row>
    <row r="1000">
      <c r="A1000" s="7">
        <v>2455.0</v>
      </c>
      <c r="B1000" s="7" t="str">
        <f>VLOOKUP($A1000,product_category,2, False)</f>
        <v>Clothes</v>
      </c>
      <c r="C1000" s="7">
        <v>7.55318915E8</v>
      </c>
      <c r="D1000" s="9">
        <v>40704.0</v>
      </c>
      <c r="E1000" s="10">
        <f t="shared" si="1"/>
        <v>6</v>
      </c>
      <c r="F1000" s="10" t="str">
        <f t="shared" si="2"/>
        <v>Jun</v>
      </c>
      <c r="G1000" s="11">
        <f t="shared" si="3"/>
        <v>10</v>
      </c>
      <c r="H1000" s="7">
        <f t="shared" si="4"/>
        <v>2011</v>
      </c>
      <c r="I1000" s="9">
        <v>40719.0</v>
      </c>
      <c r="J1000" s="11">
        <f t="shared" si="5"/>
        <v>15</v>
      </c>
      <c r="K1000" s="7" t="s">
        <v>382</v>
      </c>
      <c r="L1000" s="7" t="s">
        <v>392</v>
      </c>
      <c r="M1000" s="7" t="str">
        <f>VLOOKUP(L1000,countries, 2,false)</f>
        <v>Italy</v>
      </c>
      <c r="N1000" s="7" t="str">
        <f>VLOOKUP(L1000,countries, 4,false)</f>
        <v>Europe</v>
      </c>
      <c r="O1000" s="7" t="str">
        <f>VLOOKUP(L1000,countries, 5,false)</f>
        <v>Southern Europe</v>
      </c>
      <c r="P1000" s="7" t="s">
        <v>129</v>
      </c>
      <c r="Q1000" s="7">
        <v>4507.0</v>
      </c>
      <c r="R1000" s="12">
        <v>109.28</v>
      </c>
      <c r="S1000" s="12">
        <v>35.84</v>
      </c>
      <c r="T1000" s="13">
        <f t="shared" si="6"/>
        <v>492524.96</v>
      </c>
      <c r="U1000" s="13">
        <f t="shared" si="7"/>
        <v>910089.6</v>
      </c>
      <c r="V1000" s="13">
        <f t="shared" si="8"/>
        <v>-417564.64</v>
      </c>
      <c r="W1000" s="14">
        <f>Q1000/totals!B$2</f>
        <v>0.0006853164377</v>
      </c>
      <c r="X1000" s="14">
        <f t="shared" si="9"/>
        <v>0.7438926704</v>
      </c>
      <c r="Y1000" s="14">
        <f>T1000/totals!B$5</f>
        <v>0.0002893581167</v>
      </c>
      <c r="Z1000" s="14">
        <f t="shared" si="10"/>
        <v>0.7461750933</v>
      </c>
      <c r="AA1000" s="14">
        <f>V1000/totals!B$4</f>
        <v>-0.0008326138196</v>
      </c>
      <c r="AB1000" s="14">
        <f t="shared" si="11"/>
        <v>0.7505419843</v>
      </c>
    </row>
    <row r="1001">
      <c r="A1001" s="7">
        <v>8969.0</v>
      </c>
      <c r="B1001" s="7" t="str">
        <f>VLOOKUP($A1001,product_category,2, False)</f>
        <v>Snacks</v>
      </c>
      <c r="C1001" s="7">
        <v>7.5560559E8</v>
      </c>
      <c r="D1001" s="9">
        <v>40421.0</v>
      </c>
      <c r="E1001" s="10">
        <f t="shared" si="1"/>
        <v>8</v>
      </c>
      <c r="F1001" s="10" t="str">
        <f t="shared" si="2"/>
        <v>Aug</v>
      </c>
      <c r="G1001" s="11">
        <f t="shared" si="3"/>
        <v>31</v>
      </c>
      <c r="H1001" s="7">
        <f t="shared" si="4"/>
        <v>2010</v>
      </c>
      <c r="I1001" s="9">
        <v>40432.0</v>
      </c>
      <c r="J1001" s="11">
        <f t="shared" si="5"/>
        <v>11</v>
      </c>
      <c r="K1001" s="7" t="s">
        <v>110</v>
      </c>
      <c r="L1001" s="7" t="s">
        <v>234</v>
      </c>
      <c r="M1001" s="7" t="str">
        <f>VLOOKUP(L1001,countries, 2,false)</f>
        <v>Czech Republic</v>
      </c>
      <c r="N1001" s="7" t="str">
        <f>VLOOKUP(L1001,countries, 4,false)</f>
        <v>Europe</v>
      </c>
      <c r="O1001" s="7" t="str">
        <f>VLOOKUP(L1001,countries, 5,false)</f>
        <v>Eastern Europe</v>
      </c>
      <c r="P1001" s="7" t="s">
        <v>129</v>
      </c>
      <c r="Q1001" s="7">
        <v>9340.0</v>
      </c>
      <c r="R1001" s="12">
        <v>152.58</v>
      </c>
      <c r="S1001" s="12">
        <v>97.44</v>
      </c>
      <c r="T1001" s="13">
        <f t="shared" si="6"/>
        <v>1425097.2</v>
      </c>
      <c r="U1001" s="13">
        <f t="shared" si="7"/>
        <v>5003.16</v>
      </c>
      <c r="V1001" s="13">
        <f t="shared" si="8"/>
        <v>1420094.04</v>
      </c>
      <c r="W1001" s="14">
        <f>Q1001/totals!B$2</f>
        <v>0.001420203135</v>
      </c>
      <c r="X1001" s="14">
        <f t="shared" si="9"/>
        <v>0.7453128735</v>
      </c>
      <c r="Y1001" s="14">
        <f>T1001/totals!B$5</f>
        <v>0.0008372437449</v>
      </c>
      <c r="Z1001" s="14">
        <f t="shared" si="10"/>
        <v>0.747012337</v>
      </c>
      <c r="AA1001" s="14">
        <f>V1001/totals!B$4</f>
        <v>0.00283163326</v>
      </c>
      <c r="AB1001" s="14">
        <f t="shared" si="11"/>
        <v>0.7533736176</v>
      </c>
    </row>
    <row r="1002">
      <c r="A1002" s="7">
        <v>4594.0</v>
      </c>
      <c r="B1002" s="7" t="str">
        <f>VLOOKUP($A1002,product_category,2, False)</f>
        <v>Fruits</v>
      </c>
      <c r="C1002" s="7">
        <v>7.56252324E8</v>
      </c>
      <c r="D1002" s="9">
        <v>40196.0</v>
      </c>
      <c r="E1002" s="10">
        <f t="shared" si="1"/>
        <v>1</v>
      </c>
      <c r="F1002" s="10" t="str">
        <f t="shared" si="2"/>
        <v>Jan</v>
      </c>
      <c r="G1002" s="11">
        <f t="shared" si="3"/>
        <v>18</v>
      </c>
      <c r="H1002" s="7">
        <f t="shared" si="4"/>
        <v>2010</v>
      </c>
      <c r="I1002" s="9">
        <v>40218.0</v>
      </c>
      <c r="J1002" s="11">
        <f t="shared" si="5"/>
        <v>22</v>
      </c>
      <c r="K1002" s="7" t="s">
        <v>322</v>
      </c>
      <c r="L1002" s="7" t="s">
        <v>670</v>
      </c>
      <c r="M1002" s="7" t="str">
        <f>VLOOKUP(L1002,countries, 2,false)</f>
        <v>Slovenia</v>
      </c>
      <c r="N1002" s="7" t="str">
        <f>VLOOKUP(L1002,countries, 4,false)</f>
        <v>Europe</v>
      </c>
      <c r="O1002" s="7" t="str">
        <f>VLOOKUP(L1002,countries, 5,false)</f>
        <v>Southern Europe</v>
      </c>
      <c r="P1002" s="7" t="s">
        <v>129</v>
      </c>
      <c r="Q1002" s="7">
        <v>723.0</v>
      </c>
      <c r="R1002" s="12">
        <v>9.33</v>
      </c>
      <c r="S1002" s="12">
        <v>6.92</v>
      </c>
      <c r="T1002" s="13">
        <f t="shared" si="6"/>
        <v>6745.59</v>
      </c>
      <c r="U1002" s="13">
        <f t="shared" si="7"/>
        <v>1098810.97</v>
      </c>
      <c r="V1002" s="13">
        <f t="shared" si="8"/>
        <v>-1092065.38</v>
      </c>
      <c r="W1002" s="14">
        <f>Q1002/totals!B$2</f>
        <v>0.0001099364953</v>
      </c>
      <c r="X1002" s="14">
        <f t="shared" si="9"/>
        <v>0.74542281</v>
      </c>
      <c r="Y1002" s="14">
        <f>T1002/totals!B$5</f>
        <v>0.000003963030054</v>
      </c>
      <c r="Z1002" s="14">
        <f t="shared" si="10"/>
        <v>0.7470163001</v>
      </c>
      <c r="AA1002" s="14">
        <f>V1002/totals!B$4</f>
        <v>-0.002177552025</v>
      </c>
      <c r="AB1002" s="14">
        <f t="shared" si="11"/>
        <v>0.7511960656</v>
      </c>
    </row>
    <row r="1003">
      <c r="A1003" s="7">
        <v>8875.0</v>
      </c>
      <c r="B1003" s="7" t="str">
        <f>VLOOKUP($A1003,product_category,2, False)</f>
        <v>Meat</v>
      </c>
      <c r="C1003" s="7">
        <v>7.56395232E8</v>
      </c>
      <c r="D1003" s="9">
        <v>42026.0</v>
      </c>
      <c r="E1003" s="10">
        <f t="shared" si="1"/>
        <v>1</v>
      </c>
      <c r="F1003" s="10" t="str">
        <f t="shared" si="2"/>
        <v>Jan</v>
      </c>
      <c r="G1003" s="11">
        <f t="shared" si="3"/>
        <v>22</v>
      </c>
      <c r="H1003" s="7">
        <f t="shared" si="4"/>
        <v>2015</v>
      </c>
      <c r="I1003" s="9">
        <v>42076.0</v>
      </c>
      <c r="J1003" s="11">
        <f t="shared" si="5"/>
        <v>50</v>
      </c>
      <c r="K1003" s="7" t="s">
        <v>382</v>
      </c>
      <c r="L1003" s="7" t="s">
        <v>234</v>
      </c>
      <c r="M1003" s="7" t="str">
        <f>VLOOKUP(L1003,countries, 2,false)</f>
        <v>Czech Republic</v>
      </c>
      <c r="N1003" s="7" t="str">
        <f>VLOOKUP(L1003,countries, 4,false)</f>
        <v>Europe</v>
      </c>
      <c r="O1003" s="7" t="str">
        <f>VLOOKUP(L1003,countries, 5,false)</f>
        <v>Eastern Europe</v>
      </c>
      <c r="P1003" s="7" t="s">
        <v>129</v>
      </c>
      <c r="Q1003" s="7">
        <v>3013.0</v>
      </c>
      <c r="R1003" s="12">
        <v>421.89</v>
      </c>
      <c r="S1003" s="12">
        <v>364.69</v>
      </c>
      <c r="T1003" s="13">
        <f t="shared" si="6"/>
        <v>1271154.57</v>
      </c>
      <c r="U1003" s="13">
        <f t="shared" si="7"/>
        <v>24065.03</v>
      </c>
      <c r="V1003" s="13">
        <f t="shared" si="8"/>
        <v>1247089.54</v>
      </c>
      <c r="W1003" s="14">
        <f>Q1003/totals!B$2</f>
        <v>0.0004581447585</v>
      </c>
      <c r="X1003" s="14">
        <f t="shared" si="9"/>
        <v>0.7458809547</v>
      </c>
      <c r="Y1003" s="14">
        <f>T1003/totals!B$5</f>
        <v>0.0007468025427</v>
      </c>
      <c r="Z1003" s="14">
        <f t="shared" si="10"/>
        <v>0.7477631026</v>
      </c>
      <c r="AA1003" s="14">
        <f>V1003/totals!B$4</f>
        <v>0.00248666646</v>
      </c>
      <c r="AB1003" s="14">
        <f t="shared" si="11"/>
        <v>0.753682732</v>
      </c>
    </row>
    <row r="1004">
      <c r="A1004" s="7">
        <v>1270.0</v>
      </c>
      <c r="B1004" s="7" t="str">
        <f>VLOOKUP($A1004,product_category,2, False)</f>
        <v>Beverages</v>
      </c>
      <c r="C1004" s="7">
        <v>7.57468974E8</v>
      </c>
      <c r="D1004" s="9">
        <v>41347.0</v>
      </c>
      <c r="E1004" s="10">
        <f t="shared" si="1"/>
        <v>3</v>
      </c>
      <c r="F1004" s="10" t="str">
        <f t="shared" si="2"/>
        <v>Mar</v>
      </c>
      <c r="G1004" s="11">
        <f t="shared" si="3"/>
        <v>14</v>
      </c>
      <c r="H1004" s="7">
        <f t="shared" si="4"/>
        <v>2013</v>
      </c>
      <c r="I1004" s="9">
        <v>41356.0</v>
      </c>
      <c r="J1004" s="11">
        <f t="shared" si="5"/>
        <v>9</v>
      </c>
      <c r="K1004" s="7" t="s">
        <v>382</v>
      </c>
      <c r="L1004" s="7" t="s">
        <v>505</v>
      </c>
      <c r="M1004" s="7" t="str">
        <f>VLOOKUP(L1004,countries, 2,false)</f>
        <v>Monaco</v>
      </c>
      <c r="N1004" s="7" t="str">
        <f>VLOOKUP(L1004,countries, 4,false)</f>
        <v>Europe</v>
      </c>
      <c r="O1004" s="7" t="str">
        <f>VLOOKUP(L1004,countries, 5,false)</f>
        <v>Western Europe</v>
      </c>
      <c r="P1004" s="7" t="s">
        <v>129</v>
      </c>
      <c r="Q1004" s="7">
        <v>757.0</v>
      </c>
      <c r="R1004" s="12">
        <v>47.45</v>
      </c>
      <c r="S1004" s="12">
        <v>31.79</v>
      </c>
      <c r="T1004" s="13">
        <f t="shared" si="6"/>
        <v>35919.65</v>
      </c>
      <c r="U1004" s="13">
        <f t="shared" si="7"/>
        <v>4726388.7</v>
      </c>
      <c r="V1004" s="13">
        <f t="shared" si="8"/>
        <v>-4690469.05</v>
      </c>
      <c r="W1004" s="14">
        <f>Q1004/totals!B$2</f>
        <v>0.0001151063997</v>
      </c>
      <c r="X1004" s="14">
        <f t="shared" si="9"/>
        <v>0.7459960611</v>
      </c>
      <c r="Y1004" s="14">
        <f>T1004/totals!B$5</f>
        <v>0.0000211027727</v>
      </c>
      <c r="Z1004" s="14">
        <f t="shared" si="10"/>
        <v>0.7477842054</v>
      </c>
      <c r="AA1004" s="14">
        <f>V1004/totals!B$4</f>
        <v>-0.009352682141</v>
      </c>
      <c r="AB1004" s="14">
        <f t="shared" si="11"/>
        <v>0.7443300499</v>
      </c>
    </row>
    <row r="1005">
      <c r="A1005" s="7">
        <v>7940.0</v>
      </c>
      <c r="B1005" s="7" t="str">
        <f>VLOOKUP($A1005,product_category,2, False)</f>
        <v>Household</v>
      </c>
      <c r="C1005" s="7">
        <v>7.59086453E8</v>
      </c>
      <c r="D1005" s="9">
        <v>40595.0</v>
      </c>
      <c r="E1005" s="10">
        <f t="shared" si="1"/>
        <v>2</v>
      </c>
      <c r="F1005" s="10" t="str">
        <f t="shared" si="2"/>
        <v>Feb</v>
      </c>
      <c r="G1005" s="11">
        <f t="shared" si="3"/>
        <v>21</v>
      </c>
      <c r="H1005" s="7">
        <f t="shared" si="4"/>
        <v>2011</v>
      </c>
      <c r="I1005" s="9">
        <v>40601.0</v>
      </c>
      <c r="J1005" s="11">
        <f t="shared" si="5"/>
        <v>6</v>
      </c>
      <c r="K1005" s="7" t="s">
        <v>322</v>
      </c>
      <c r="L1005" s="7" t="s">
        <v>234</v>
      </c>
      <c r="M1005" s="7" t="str">
        <f>VLOOKUP(L1005,countries, 2,false)</f>
        <v>Czech Republic</v>
      </c>
      <c r="N1005" s="7" t="str">
        <f>VLOOKUP(L1005,countries, 4,false)</f>
        <v>Europe</v>
      </c>
      <c r="O1005" s="7" t="str">
        <f>VLOOKUP(L1005,countries, 5,false)</f>
        <v>Eastern Europe</v>
      </c>
      <c r="P1005" s="7" t="s">
        <v>129</v>
      </c>
      <c r="Q1005" s="7">
        <v>9405.0</v>
      </c>
      <c r="R1005" s="12">
        <v>668.27</v>
      </c>
      <c r="S1005" s="12">
        <v>502.54</v>
      </c>
      <c r="T1005" s="13">
        <f t="shared" si="6"/>
        <v>6285079.35</v>
      </c>
      <c r="U1005" s="13">
        <f t="shared" si="7"/>
        <v>876656.13</v>
      </c>
      <c r="V1005" s="13">
        <f t="shared" si="8"/>
        <v>5408423.22</v>
      </c>
      <c r="W1005" s="14">
        <f>Q1005/totals!B$2</f>
        <v>0.001430086775</v>
      </c>
      <c r="X1005" s="14">
        <f t="shared" si="9"/>
        <v>0.7474261479</v>
      </c>
      <c r="Y1005" s="14">
        <f>T1005/totals!B$5</f>
        <v>0.003692480325</v>
      </c>
      <c r="Z1005" s="14">
        <f t="shared" si="10"/>
        <v>0.7514766857</v>
      </c>
      <c r="AA1005" s="14">
        <f>V1005/totals!B$4</f>
        <v>0.01078426544</v>
      </c>
      <c r="AB1005" s="14">
        <f t="shared" si="11"/>
        <v>0.7551143153</v>
      </c>
    </row>
    <row r="1006">
      <c r="A1006" s="7">
        <v>5988.0</v>
      </c>
      <c r="B1006" s="7" t="str">
        <f>VLOOKUP($A1006,product_category,2, False)</f>
        <v>Vegetables</v>
      </c>
      <c r="C1006" s="7">
        <v>7.59594142E8</v>
      </c>
      <c r="D1006" s="9">
        <v>42926.0</v>
      </c>
      <c r="E1006" s="10">
        <f t="shared" si="1"/>
        <v>7</v>
      </c>
      <c r="F1006" s="10" t="str">
        <f t="shared" si="2"/>
        <v>Jul</v>
      </c>
      <c r="G1006" s="11">
        <f t="shared" si="3"/>
        <v>10</v>
      </c>
      <c r="H1006" s="7">
        <f t="shared" si="4"/>
        <v>2017</v>
      </c>
      <c r="I1006" s="9">
        <v>42928.0</v>
      </c>
      <c r="J1006" s="11">
        <f t="shared" si="5"/>
        <v>2</v>
      </c>
      <c r="K1006" s="7" t="s">
        <v>198</v>
      </c>
      <c r="L1006" s="7" t="s">
        <v>460</v>
      </c>
      <c r="M1006" s="7" t="str">
        <f>VLOOKUP(L1006,countries, 2,false)</f>
        <v>Macedonia</v>
      </c>
      <c r="N1006" s="7" t="str">
        <f>VLOOKUP(L1006,countries, 4,false)</f>
        <v>Europe</v>
      </c>
      <c r="O1006" s="7" t="str">
        <f>VLOOKUP(L1006,countries, 5,false)</f>
        <v>Southern Europe</v>
      </c>
      <c r="P1006" s="7" t="s">
        <v>212</v>
      </c>
      <c r="Q1006" s="7">
        <v>9641.0</v>
      </c>
      <c r="R1006" s="12">
        <v>154.06</v>
      </c>
      <c r="S1006" s="12">
        <v>90.93</v>
      </c>
      <c r="T1006" s="13">
        <f t="shared" si="6"/>
        <v>1485292.46</v>
      </c>
      <c r="U1006" s="13">
        <f t="shared" si="7"/>
        <v>1421591.68</v>
      </c>
      <c r="V1006" s="13">
        <f t="shared" si="8"/>
        <v>63700.78</v>
      </c>
      <c r="W1006" s="14">
        <f>Q1006/totals!B$2</f>
        <v>0.001465971994</v>
      </c>
      <c r="X1006" s="14">
        <f t="shared" si="9"/>
        <v>0.7488921199</v>
      </c>
      <c r="Y1006" s="14">
        <f>T1006/totals!B$5</f>
        <v>0.0008726084238</v>
      </c>
      <c r="Z1006" s="14">
        <f t="shared" si="10"/>
        <v>0.7523492941</v>
      </c>
      <c r="AA1006" s="14">
        <f>V1006/totals!B$4</f>
        <v>0.0001270178187</v>
      </c>
      <c r="AB1006" s="14">
        <f t="shared" si="11"/>
        <v>0.7552413331</v>
      </c>
    </row>
    <row r="1007">
      <c r="A1007" s="7">
        <v>8681.0</v>
      </c>
      <c r="B1007" s="7" t="str">
        <f>VLOOKUP($A1007,product_category,2, False)</f>
        <v>Office Supplies</v>
      </c>
      <c r="C1007" s="7">
        <v>7.60280358E8</v>
      </c>
      <c r="D1007" s="9">
        <v>41122.0</v>
      </c>
      <c r="E1007" s="10">
        <f t="shared" si="1"/>
        <v>8</v>
      </c>
      <c r="F1007" s="10" t="str">
        <f t="shared" si="2"/>
        <v>Aug</v>
      </c>
      <c r="G1007" s="11">
        <f t="shared" si="3"/>
        <v>1</v>
      </c>
      <c r="H1007" s="7">
        <f t="shared" si="4"/>
        <v>2012</v>
      </c>
      <c r="I1007" s="9">
        <v>41142.0</v>
      </c>
      <c r="J1007" s="11">
        <f t="shared" si="5"/>
        <v>20</v>
      </c>
      <c r="K1007" s="7" t="s">
        <v>110</v>
      </c>
      <c r="L1007" s="7" t="e">
        <v>#N/A</v>
      </c>
      <c r="M1007" s="7"/>
      <c r="N1007" s="7"/>
      <c r="O1007" s="7"/>
      <c r="P1007" s="7" t="s">
        <v>212</v>
      </c>
      <c r="Q1007" s="7">
        <v>2708.0</v>
      </c>
      <c r="R1007" s="12">
        <v>651.21</v>
      </c>
      <c r="S1007" s="12">
        <v>524.96</v>
      </c>
      <c r="T1007" s="13">
        <f t="shared" si="6"/>
        <v>1763476.68</v>
      </c>
      <c r="U1007" s="13">
        <f t="shared" si="7"/>
        <v>1202075.68</v>
      </c>
      <c r="V1007" s="13">
        <f t="shared" si="8"/>
        <v>561401</v>
      </c>
      <c r="W1007" s="14">
        <f>Q1007/totals!B$2</f>
        <v>0.0004117676754</v>
      </c>
      <c r="X1007" s="14">
        <f t="shared" si="9"/>
        <v>0.7493038876</v>
      </c>
      <c r="Y1007" s="14">
        <f>T1007/totals!B$5</f>
        <v>0.001036041485</v>
      </c>
      <c r="Z1007" s="14">
        <f t="shared" si="10"/>
        <v>0.7533853356</v>
      </c>
      <c r="AA1007" s="14">
        <f>V1007/totals!B$4</f>
        <v>0.001119420052</v>
      </c>
      <c r="AB1007" s="14">
        <f t="shared" si="11"/>
        <v>0.7563607532</v>
      </c>
    </row>
    <row r="1008">
      <c r="A1008" s="7">
        <v>7940.0</v>
      </c>
      <c r="B1008" s="7" t="str">
        <f>VLOOKUP($A1008,product_category,2, False)</f>
        <v>Household</v>
      </c>
      <c r="C1008" s="7">
        <v>7.60346877E8</v>
      </c>
      <c r="D1008" s="9">
        <v>42580.0</v>
      </c>
      <c r="E1008" s="10">
        <f t="shared" si="1"/>
        <v>7</v>
      </c>
      <c r="F1008" s="10" t="str">
        <f t="shared" si="2"/>
        <v>Jul</v>
      </c>
      <c r="G1008" s="11">
        <f t="shared" si="3"/>
        <v>29</v>
      </c>
      <c r="H1008" s="7">
        <f t="shared" si="4"/>
        <v>2016</v>
      </c>
      <c r="I1008" s="9">
        <v>42588.0</v>
      </c>
      <c r="J1008" s="11">
        <f t="shared" si="5"/>
        <v>8</v>
      </c>
      <c r="K1008" s="7" t="s">
        <v>110</v>
      </c>
      <c r="L1008" s="7" t="s">
        <v>594</v>
      </c>
      <c r="M1008" s="7" t="str">
        <f>VLOOKUP(L1008,countries, 2,false)</f>
        <v>Poland</v>
      </c>
      <c r="N1008" s="7" t="str">
        <f>VLOOKUP(L1008,countries, 4,false)</f>
        <v>Europe</v>
      </c>
      <c r="O1008" s="7" t="str">
        <f>VLOOKUP(L1008,countries, 5,false)</f>
        <v>Eastern Europe</v>
      </c>
      <c r="P1008" s="7" t="s">
        <v>129</v>
      </c>
      <c r="Q1008" s="7">
        <v>2392.0</v>
      </c>
      <c r="R1008" s="12">
        <v>668.27</v>
      </c>
      <c r="S1008" s="12">
        <v>502.54</v>
      </c>
      <c r="T1008" s="13">
        <f t="shared" si="6"/>
        <v>1598501.84</v>
      </c>
      <c r="U1008" s="13">
        <f t="shared" si="7"/>
        <v>275972.55</v>
      </c>
      <c r="V1008" s="13">
        <f t="shared" si="8"/>
        <v>1322529.29</v>
      </c>
      <c r="W1008" s="14">
        <f>Q1008/totals!B$2</f>
        <v>0.0003637179762</v>
      </c>
      <c r="X1008" s="14">
        <f t="shared" si="9"/>
        <v>0.7496676056</v>
      </c>
      <c r="Y1008" s="14">
        <f>T1008/totals!B$5</f>
        <v>0.0009391188662</v>
      </c>
      <c r="Z1008" s="14">
        <f t="shared" si="10"/>
        <v>0.7543244545</v>
      </c>
      <c r="AA1008" s="14">
        <f>V1008/totals!B$4</f>
        <v>0.002637091502</v>
      </c>
      <c r="AB1008" s="14">
        <f t="shared" si="11"/>
        <v>0.7589978447</v>
      </c>
    </row>
    <row r="1009">
      <c r="A1009" s="7">
        <v>5988.0</v>
      </c>
      <c r="B1009" s="7" t="str">
        <f>VLOOKUP($A1009,product_category,2, False)</f>
        <v>Vegetables</v>
      </c>
      <c r="C1009" s="7">
        <v>7.6061939E8</v>
      </c>
      <c r="D1009" s="9">
        <v>40970.0</v>
      </c>
      <c r="E1009" s="10">
        <f t="shared" si="1"/>
        <v>3</v>
      </c>
      <c r="F1009" s="10" t="str">
        <f t="shared" si="2"/>
        <v>Mar</v>
      </c>
      <c r="G1009" s="11">
        <f t="shared" si="3"/>
        <v>2</v>
      </c>
      <c r="H1009" s="7">
        <f t="shared" si="4"/>
        <v>2012</v>
      </c>
      <c r="I1009" s="9">
        <v>41015.0</v>
      </c>
      <c r="J1009" s="11">
        <f t="shared" si="5"/>
        <v>45</v>
      </c>
      <c r="K1009" s="7" t="s">
        <v>198</v>
      </c>
      <c r="L1009" s="7" t="s">
        <v>136</v>
      </c>
      <c r="M1009" s="7" t="str">
        <f>VLOOKUP(L1009,countries, 2,false)</f>
        <v>Bosnia and Herzegovina</v>
      </c>
      <c r="N1009" s="7" t="str">
        <f>VLOOKUP(L1009,countries, 4,false)</f>
        <v>Europe</v>
      </c>
      <c r="O1009" s="7" t="str">
        <f>VLOOKUP(L1009,countries, 5,false)</f>
        <v>Southern Europe</v>
      </c>
      <c r="P1009" s="7" t="s">
        <v>129</v>
      </c>
      <c r="Q1009" s="7">
        <v>3035.0</v>
      </c>
      <c r="R1009" s="12">
        <v>154.06</v>
      </c>
      <c r="S1009" s="12">
        <v>90.93</v>
      </c>
      <c r="T1009" s="13">
        <f t="shared" si="6"/>
        <v>467572.1</v>
      </c>
      <c r="U1009" s="13">
        <f t="shared" si="7"/>
        <v>315452.17</v>
      </c>
      <c r="V1009" s="13">
        <f t="shared" si="8"/>
        <v>152119.93</v>
      </c>
      <c r="W1009" s="14">
        <f>Q1009/totals!B$2</f>
        <v>0.0004614899908</v>
      </c>
      <c r="X1009" s="14">
        <f t="shared" si="9"/>
        <v>0.7501290956</v>
      </c>
      <c r="Y1009" s="14">
        <f>T1009/totals!B$5</f>
        <v>0.0002746983265</v>
      </c>
      <c r="Z1009" s="14">
        <f t="shared" si="10"/>
        <v>0.7545991528</v>
      </c>
      <c r="AA1009" s="14">
        <f>V1009/totals!B$4</f>
        <v>0.000303323471</v>
      </c>
      <c r="AB1009" s="14">
        <f t="shared" si="11"/>
        <v>0.7593011682</v>
      </c>
    </row>
    <row r="1010">
      <c r="A1010" s="7">
        <v>1270.0</v>
      </c>
      <c r="B1010" s="7" t="str">
        <f>VLOOKUP($A1010,product_category,2, False)</f>
        <v>Beverages</v>
      </c>
      <c r="C1010" s="7">
        <v>7.6172403E8</v>
      </c>
      <c r="D1010" s="9">
        <v>42181.0</v>
      </c>
      <c r="E1010" s="10">
        <f t="shared" si="1"/>
        <v>6</v>
      </c>
      <c r="F1010" s="10" t="str">
        <f t="shared" si="2"/>
        <v>Jun</v>
      </c>
      <c r="G1010" s="11">
        <f t="shared" si="3"/>
        <v>26</v>
      </c>
      <c r="H1010" s="7">
        <f t="shared" si="4"/>
        <v>2015</v>
      </c>
      <c r="I1010" s="9">
        <v>42229.0</v>
      </c>
      <c r="J1010" s="11">
        <f t="shared" si="5"/>
        <v>48</v>
      </c>
      <c r="K1010" s="7" t="s">
        <v>382</v>
      </c>
      <c r="L1010" s="7" t="e">
        <v>#N/A</v>
      </c>
      <c r="M1010" s="7"/>
      <c r="N1010" s="7"/>
      <c r="O1010" s="7"/>
      <c r="P1010" s="7" t="s">
        <v>129</v>
      </c>
      <c r="Q1010" s="7">
        <v>9923.0</v>
      </c>
      <c r="R1010" s="12">
        <v>47.45</v>
      </c>
      <c r="S1010" s="12">
        <v>31.79</v>
      </c>
      <c r="T1010" s="13">
        <f t="shared" si="6"/>
        <v>470846.35</v>
      </c>
      <c r="U1010" s="13">
        <f t="shared" si="7"/>
        <v>293207.04</v>
      </c>
      <c r="V1010" s="13">
        <f t="shared" si="8"/>
        <v>177639.31</v>
      </c>
      <c r="W1010" s="14">
        <f>Q1010/totals!B$2</f>
        <v>0.001508851789</v>
      </c>
      <c r="X1010" s="14">
        <f t="shared" si="9"/>
        <v>0.7516379473</v>
      </c>
      <c r="Y1010" s="14">
        <f>T1010/totals!B$5</f>
        <v>0.0002766219464</v>
      </c>
      <c r="Z1010" s="14">
        <f t="shared" si="10"/>
        <v>0.7548757748</v>
      </c>
      <c r="AA1010" s="14">
        <f>V1010/totals!B$4</f>
        <v>0.0003542084991</v>
      </c>
      <c r="AB1010" s="14">
        <f t="shared" si="11"/>
        <v>0.7596553767</v>
      </c>
    </row>
    <row r="1011">
      <c r="A1011" s="7">
        <v>2455.0</v>
      </c>
      <c r="B1011" s="7" t="str">
        <f>VLOOKUP($A1011,product_category,2, False)</f>
        <v>Clothes</v>
      </c>
      <c r="C1011" s="7">
        <v>7.61887109E8</v>
      </c>
      <c r="D1011" s="9">
        <v>42633.0</v>
      </c>
      <c r="E1011" s="10">
        <f t="shared" si="1"/>
        <v>9</v>
      </c>
      <c r="F1011" s="10" t="str">
        <f t="shared" si="2"/>
        <v>Sep</v>
      </c>
      <c r="G1011" s="11">
        <f t="shared" si="3"/>
        <v>20</v>
      </c>
      <c r="H1011" s="7">
        <f t="shared" si="4"/>
        <v>2016</v>
      </c>
      <c r="I1011" s="9">
        <v>42657.0</v>
      </c>
      <c r="J1011" s="11">
        <f t="shared" si="5"/>
        <v>24</v>
      </c>
      <c r="K1011" s="7" t="s">
        <v>110</v>
      </c>
      <c r="L1011" s="7" t="s">
        <v>113</v>
      </c>
      <c r="M1011" s="7" t="str">
        <f>VLOOKUP(L1011,countries, 2,false)</f>
        <v>Belgium</v>
      </c>
      <c r="N1011" s="7" t="str">
        <f>VLOOKUP(L1011,countries, 4,false)</f>
        <v>Europe</v>
      </c>
      <c r="O1011" s="7" t="str">
        <f>VLOOKUP(L1011,countries, 5,false)</f>
        <v>Western Europe</v>
      </c>
      <c r="P1011" s="7" t="s">
        <v>212</v>
      </c>
      <c r="Q1011" s="7">
        <v>8181.0</v>
      </c>
      <c r="R1011" s="12">
        <v>109.28</v>
      </c>
      <c r="S1011" s="12">
        <v>35.84</v>
      </c>
      <c r="T1011" s="13">
        <f t="shared" si="6"/>
        <v>894019.68</v>
      </c>
      <c r="U1011" s="13">
        <f t="shared" si="7"/>
        <v>361441.26</v>
      </c>
      <c r="V1011" s="13">
        <f t="shared" si="8"/>
        <v>532578.42</v>
      </c>
      <c r="W1011" s="14">
        <f>Q1011/totals!B$2</f>
        <v>0.001243970219</v>
      </c>
      <c r="X1011" s="14">
        <f t="shared" si="9"/>
        <v>0.7528819176</v>
      </c>
      <c r="Y1011" s="14">
        <f>T1011/totals!B$5</f>
        <v>0.0005252360224</v>
      </c>
      <c r="Z1011" s="14">
        <f t="shared" si="10"/>
        <v>0.7554010108</v>
      </c>
      <c r="AA1011" s="14">
        <f>V1011/totals!B$4</f>
        <v>0.001061948523</v>
      </c>
      <c r="AB1011" s="14">
        <f t="shared" si="11"/>
        <v>0.7607173252</v>
      </c>
    </row>
    <row r="1012">
      <c r="A1012" s="7">
        <v>3127.0</v>
      </c>
      <c r="B1012" s="7" t="str">
        <f>VLOOKUP($A1012,product_category,2, False)</f>
        <v>Personal Care</v>
      </c>
      <c r="C1012" s="7">
        <v>7.62117564E8</v>
      </c>
      <c r="D1012" s="9">
        <v>40600.0</v>
      </c>
      <c r="E1012" s="10">
        <f t="shared" si="1"/>
        <v>2</v>
      </c>
      <c r="F1012" s="10" t="str">
        <f t="shared" si="2"/>
        <v>Feb</v>
      </c>
      <c r="G1012" s="11">
        <f t="shared" si="3"/>
        <v>26</v>
      </c>
      <c r="H1012" s="7">
        <f t="shared" si="4"/>
        <v>2011</v>
      </c>
      <c r="I1012" s="9">
        <v>40630.0</v>
      </c>
      <c r="J1012" s="11">
        <f t="shared" si="5"/>
        <v>30</v>
      </c>
      <c r="K1012" s="7" t="s">
        <v>110</v>
      </c>
      <c r="L1012" s="7" t="s">
        <v>756</v>
      </c>
      <c r="M1012" s="7" t="str">
        <f>VLOOKUP(L1012,countries, 2,false)</f>
        <v>Ukraine</v>
      </c>
      <c r="N1012" s="7" t="str">
        <f>VLOOKUP(L1012,countries, 4,false)</f>
        <v>Europe</v>
      </c>
      <c r="O1012" s="7" t="str">
        <f>VLOOKUP(L1012,countries, 5,false)</f>
        <v>Eastern Europe</v>
      </c>
      <c r="P1012" s="7" t="s">
        <v>129</v>
      </c>
      <c r="Q1012" s="7">
        <v>6378.0</v>
      </c>
      <c r="R1012" s="12">
        <v>81.73</v>
      </c>
      <c r="S1012" s="12">
        <v>56.67</v>
      </c>
      <c r="T1012" s="13">
        <f t="shared" si="6"/>
        <v>521273.94</v>
      </c>
      <c r="U1012" s="13">
        <f t="shared" si="7"/>
        <v>311911.68</v>
      </c>
      <c r="V1012" s="13">
        <f t="shared" si="8"/>
        <v>209362.26</v>
      </c>
      <c r="W1012" s="14">
        <f>Q1012/totals!B$2</f>
        <v>0.0009698132326</v>
      </c>
      <c r="X1012" s="14">
        <f t="shared" si="9"/>
        <v>0.7538517308</v>
      </c>
      <c r="Y1012" s="14">
        <f>T1012/totals!B$5</f>
        <v>0.0003062481251</v>
      </c>
      <c r="Z1012" s="14">
        <f t="shared" si="10"/>
        <v>0.7557072589</v>
      </c>
      <c r="AA1012" s="14">
        <f>V1012/totals!B$4</f>
        <v>0.0004174632962</v>
      </c>
      <c r="AB1012" s="14">
        <f t="shared" si="11"/>
        <v>0.7611347885</v>
      </c>
    </row>
    <row r="1013">
      <c r="A1013" s="7">
        <v>3127.0</v>
      </c>
      <c r="B1013" s="7" t="str">
        <f>VLOOKUP($A1013,product_category,2, False)</f>
        <v>Personal Care</v>
      </c>
      <c r="C1013" s="7">
        <v>7.62655293E8</v>
      </c>
      <c r="D1013" s="9">
        <v>40467.0</v>
      </c>
      <c r="E1013" s="10">
        <f t="shared" si="1"/>
        <v>10</v>
      </c>
      <c r="F1013" s="10" t="str">
        <f t="shared" si="2"/>
        <v>Oct</v>
      </c>
      <c r="G1013" s="11">
        <f t="shared" si="3"/>
        <v>16</v>
      </c>
      <c r="H1013" s="7">
        <f t="shared" si="4"/>
        <v>2010</v>
      </c>
      <c r="I1013" s="9">
        <v>40493.0</v>
      </c>
      <c r="J1013" s="11">
        <f t="shared" si="5"/>
        <v>26</v>
      </c>
      <c r="K1013" s="7" t="s">
        <v>382</v>
      </c>
      <c r="L1013" s="7" t="s">
        <v>286</v>
      </c>
      <c r="M1013" s="7" t="str">
        <f>VLOOKUP(L1013,countries, 2,false)</f>
        <v>France</v>
      </c>
      <c r="N1013" s="7" t="str">
        <f>VLOOKUP(L1013,countries, 4,false)</f>
        <v>Europe</v>
      </c>
      <c r="O1013" s="7" t="str">
        <f>VLOOKUP(L1013,countries, 5,false)</f>
        <v>Western Europe</v>
      </c>
      <c r="P1013" s="7" t="s">
        <v>129</v>
      </c>
      <c r="Q1013" s="7">
        <v>5504.0</v>
      </c>
      <c r="R1013" s="12">
        <v>81.73</v>
      </c>
      <c r="S1013" s="12">
        <v>56.67</v>
      </c>
      <c r="T1013" s="13">
        <f t="shared" si="6"/>
        <v>449841.92</v>
      </c>
      <c r="U1013" s="13">
        <f t="shared" si="7"/>
        <v>2326722.2</v>
      </c>
      <c r="V1013" s="13">
        <f t="shared" si="8"/>
        <v>-1876880.28</v>
      </c>
      <c r="W1013" s="14">
        <f>Q1013/totals!B$2</f>
        <v>0.0008369162798</v>
      </c>
      <c r="X1013" s="14">
        <f t="shared" si="9"/>
        <v>0.7546886471</v>
      </c>
      <c r="Y1013" s="14">
        <f>T1013/totals!B$5</f>
        <v>0.0002642818565</v>
      </c>
      <c r="Z1013" s="14">
        <f t="shared" si="10"/>
        <v>0.7559715408</v>
      </c>
      <c r="AA1013" s="14">
        <f>V1013/totals!B$4</f>
        <v>-0.003742454004</v>
      </c>
      <c r="AB1013" s="14">
        <f t="shared" si="11"/>
        <v>0.7573923345</v>
      </c>
    </row>
    <row r="1014">
      <c r="A1014" s="7">
        <v>8875.0</v>
      </c>
      <c r="B1014" s="7" t="str">
        <f>VLOOKUP($A1014,product_category,2, False)</f>
        <v>Meat</v>
      </c>
      <c r="C1014" s="7">
        <v>7.64483058E8</v>
      </c>
      <c r="D1014" s="9">
        <v>41826.0</v>
      </c>
      <c r="E1014" s="10">
        <f t="shared" si="1"/>
        <v>7</v>
      </c>
      <c r="F1014" s="10" t="str">
        <f t="shared" si="2"/>
        <v>Jul</v>
      </c>
      <c r="G1014" s="11">
        <f t="shared" si="3"/>
        <v>6</v>
      </c>
      <c r="H1014" s="7">
        <f t="shared" si="4"/>
        <v>2014</v>
      </c>
      <c r="I1014" s="9">
        <v>41856.0</v>
      </c>
      <c r="J1014" s="11">
        <f t="shared" si="5"/>
        <v>30</v>
      </c>
      <c r="K1014" s="7" t="s">
        <v>198</v>
      </c>
      <c r="L1014" s="7" t="s">
        <v>451</v>
      </c>
      <c r="M1014" s="7" t="str">
        <f>VLOOKUP(L1014,countries, 2,false)</f>
        <v>Lithuania</v>
      </c>
      <c r="N1014" s="7" t="str">
        <f>VLOOKUP(L1014,countries, 4,false)</f>
        <v>Europe</v>
      </c>
      <c r="O1014" s="7" t="str">
        <f>VLOOKUP(L1014,countries, 5,false)</f>
        <v>Northern Europe</v>
      </c>
      <c r="P1014" s="7" t="s">
        <v>212</v>
      </c>
      <c r="Q1014" s="7">
        <v>6380.0</v>
      </c>
      <c r="R1014" s="12">
        <v>421.89</v>
      </c>
      <c r="S1014" s="12">
        <v>364.69</v>
      </c>
      <c r="T1014" s="13">
        <f t="shared" si="6"/>
        <v>2691658.2</v>
      </c>
      <c r="U1014" s="13">
        <f t="shared" si="7"/>
        <v>4600749.44</v>
      </c>
      <c r="V1014" s="13">
        <f t="shared" si="8"/>
        <v>-1909091.24</v>
      </c>
      <c r="W1014" s="14">
        <f>Q1014/totals!B$2</f>
        <v>0.0009701173447</v>
      </c>
      <c r="X1014" s="14">
        <f t="shared" si="9"/>
        <v>0.7556587644</v>
      </c>
      <c r="Y1014" s="14">
        <f>T1014/totals!B$5</f>
        <v>0.001581347568</v>
      </c>
      <c r="Z1014" s="14">
        <f t="shared" si="10"/>
        <v>0.7575528883</v>
      </c>
      <c r="AA1014" s="14">
        <f>V1014/totals!B$4</f>
        <v>-0.003806681881</v>
      </c>
      <c r="AB1014" s="14">
        <f t="shared" si="11"/>
        <v>0.7535856526</v>
      </c>
    </row>
    <row r="1015">
      <c r="A1015" s="7">
        <v>8681.0</v>
      </c>
      <c r="B1015" s="7" t="str">
        <f>VLOOKUP($A1015,product_category,2, False)</f>
        <v>Office Supplies</v>
      </c>
      <c r="C1015" s="7">
        <v>7.64592492E8</v>
      </c>
      <c r="D1015" s="9">
        <v>42530.0</v>
      </c>
      <c r="E1015" s="10">
        <f t="shared" si="1"/>
        <v>6</v>
      </c>
      <c r="F1015" s="10" t="str">
        <f t="shared" si="2"/>
        <v>Jun</v>
      </c>
      <c r="G1015" s="11">
        <f t="shared" si="3"/>
        <v>9</v>
      </c>
      <c r="H1015" s="7">
        <f t="shared" si="4"/>
        <v>2016</v>
      </c>
      <c r="I1015" s="9">
        <v>42570.0</v>
      </c>
      <c r="J1015" s="11">
        <f t="shared" si="5"/>
        <v>40</v>
      </c>
      <c r="K1015" s="7" t="s">
        <v>110</v>
      </c>
      <c r="L1015" s="7" t="s">
        <v>392</v>
      </c>
      <c r="M1015" s="7" t="str">
        <f>VLOOKUP(L1015,countries, 2,false)</f>
        <v>Italy</v>
      </c>
      <c r="N1015" s="7" t="str">
        <f>VLOOKUP(L1015,countries, 4,false)</f>
        <v>Europe</v>
      </c>
      <c r="O1015" s="7" t="str">
        <f>VLOOKUP(L1015,countries, 5,false)</f>
        <v>Southern Europe</v>
      </c>
      <c r="P1015" s="7" t="s">
        <v>212</v>
      </c>
      <c r="Q1015" s="7">
        <v>8764.0</v>
      </c>
      <c r="R1015" s="12">
        <v>651.21</v>
      </c>
      <c r="S1015" s="12">
        <v>524.96</v>
      </c>
      <c r="T1015" s="13">
        <f t="shared" si="6"/>
        <v>5707204.44</v>
      </c>
      <c r="U1015" s="13">
        <f t="shared" si="7"/>
        <v>413632.52</v>
      </c>
      <c r="V1015" s="13">
        <f t="shared" si="8"/>
        <v>5293571.92</v>
      </c>
      <c r="W1015" s="14">
        <f>Q1015/totals!B$2</f>
        <v>0.001332618873</v>
      </c>
      <c r="X1015" s="14">
        <f t="shared" si="9"/>
        <v>0.7569913833</v>
      </c>
      <c r="Y1015" s="14">
        <f>T1015/totals!B$5</f>
        <v>0.003352979164</v>
      </c>
      <c r="Z1015" s="14">
        <f t="shared" si="10"/>
        <v>0.7609058675</v>
      </c>
      <c r="AA1015" s="14">
        <f>V1015/totals!B$4</f>
        <v>0.01055525472</v>
      </c>
      <c r="AB1015" s="14">
        <f t="shared" si="11"/>
        <v>0.7641409073</v>
      </c>
    </row>
    <row r="1016">
      <c r="A1016" s="7">
        <v>2103.0</v>
      </c>
      <c r="B1016" s="7" t="str">
        <f>VLOOKUP($A1016,product_category,2, False)</f>
        <v>Cereal</v>
      </c>
      <c r="C1016" s="7">
        <v>7.6481136E8</v>
      </c>
      <c r="D1016" s="9">
        <v>41171.0</v>
      </c>
      <c r="E1016" s="10">
        <f t="shared" si="1"/>
        <v>9</v>
      </c>
      <c r="F1016" s="10" t="str">
        <f t="shared" si="2"/>
        <v>Sep</v>
      </c>
      <c r="G1016" s="11">
        <f t="shared" si="3"/>
        <v>19</v>
      </c>
      <c r="H1016" s="7">
        <f t="shared" si="4"/>
        <v>2012</v>
      </c>
      <c r="I1016" s="9">
        <v>41182.0</v>
      </c>
      <c r="J1016" s="11">
        <f t="shared" si="5"/>
        <v>11</v>
      </c>
      <c r="K1016" s="7" t="s">
        <v>198</v>
      </c>
      <c r="L1016" s="7" t="s">
        <v>286</v>
      </c>
      <c r="M1016" s="7" t="str">
        <f>VLOOKUP(L1016,countries, 2,false)</f>
        <v>France</v>
      </c>
      <c r="N1016" s="7" t="str">
        <f>VLOOKUP(L1016,countries, 4,false)</f>
        <v>Europe</v>
      </c>
      <c r="O1016" s="7" t="str">
        <f>VLOOKUP(L1016,countries, 5,false)</f>
        <v>Western Europe</v>
      </c>
      <c r="P1016" s="7" t="s">
        <v>129</v>
      </c>
      <c r="Q1016" s="7">
        <v>3532.0</v>
      </c>
      <c r="R1016" s="12">
        <v>205.7</v>
      </c>
      <c r="S1016" s="12">
        <v>117.11</v>
      </c>
      <c r="T1016" s="13">
        <f t="shared" si="6"/>
        <v>726532.4</v>
      </c>
      <c r="U1016" s="13">
        <f t="shared" si="7"/>
        <v>203898.18</v>
      </c>
      <c r="V1016" s="13">
        <f t="shared" si="8"/>
        <v>522634.22</v>
      </c>
      <c r="W1016" s="14">
        <f>Q1016/totals!B$2</f>
        <v>0.0005370618278</v>
      </c>
      <c r="X1016" s="14">
        <f t="shared" si="9"/>
        <v>0.7575284451</v>
      </c>
      <c r="Y1016" s="14">
        <f>T1016/totals!B$5</f>
        <v>0.0004268373465</v>
      </c>
      <c r="Z1016" s="14">
        <f t="shared" si="10"/>
        <v>0.7613327048</v>
      </c>
      <c r="AA1016" s="14">
        <f>V1016/totals!B$4</f>
        <v>0.001042120028</v>
      </c>
      <c r="AB1016" s="14">
        <f t="shared" si="11"/>
        <v>0.7651830273</v>
      </c>
    </row>
    <row r="1017">
      <c r="A1017" s="7">
        <v>7331.0</v>
      </c>
      <c r="B1017" s="7" t="str">
        <f>VLOOKUP($A1017,product_category,2, False)</f>
        <v>Baby Food</v>
      </c>
      <c r="C1017" s="7">
        <v>7.64837539E8</v>
      </c>
      <c r="D1017" s="9">
        <v>42619.0</v>
      </c>
      <c r="E1017" s="10">
        <f t="shared" si="1"/>
        <v>9</v>
      </c>
      <c r="F1017" s="10" t="str">
        <f t="shared" si="2"/>
        <v>Sep</v>
      </c>
      <c r="G1017" s="11">
        <f t="shared" si="3"/>
        <v>6</v>
      </c>
      <c r="H1017" s="7">
        <f t="shared" si="4"/>
        <v>2016</v>
      </c>
      <c r="I1017" s="9">
        <v>42619.0</v>
      </c>
      <c r="J1017" s="11">
        <f t="shared" si="5"/>
        <v>0</v>
      </c>
      <c r="K1017" s="7" t="s">
        <v>322</v>
      </c>
      <c r="L1017" s="7" t="s">
        <v>237</v>
      </c>
      <c r="M1017" s="7" t="str">
        <f>VLOOKUP(L1017,countries, 2,false)</f>
        <v>Denmark</v>
      </c>
      <c r="N1017" s="7" t="str">
        <f>VLOOKUP(L1017,countries, 4,false)</f>
        <v>Europe</v>
      </c>
      <c r="O1017" s="7" t="str">
        <f>VLOOKUP(L1017,countries, 5,false)</f>
        <v>Northern Europe</v>
      </c>
      <c r="P1017" s="7" t="s">
        <v>129</v>
      </c>
      <c r="Q1017" s="7">
        <v>1279.0</v>
      </c>
      <c r="R1017" s="12">
        <v>255.28</v>
      </c>
      <c r="S1017" s="12">
        <v>159.42</v>
      </c>
      <c r="T1017" s="13">
        <f t="shared" si="6"/>
        <v>326503.12</v>
      </c>
      <c r="U1017" s="13">
        <f t="shared" si="7"/>
        <v>2470562.06</v>
      </c>
      <c r="V1017" s="13">
        <f t="shared" si="8"/>
        <v>-2144058.94</v>
      </c>
      <c r="W1017" s="14">
        <f>Q1017/totals!B$2</f>
        <v>0.000194479637</v>
      </c>
      <c r="X1017" s="14">
        <f t="shared" si="9"/>
        <v>0.7577229248</v>
      </c>
      <c r="Y1017" s="14">
        <f>T1017/totals!B$5</f>
        <v>0.0001918203859</v>
      </c>
      <c r="Z1017" s="14">
        <f t="shared" si="10"/>
        <v>0.7615245252</v>
      </c>
      <c r="AA1017" s="14">
        <f>V1017/totals!B$4</f>
        <v>-0.004275201807</v>
      </c>
      <c r="AB1017" s="14">
        <f t="shared" si="11"/>
        <v>0.7609078255</v>
      </c>
    </row>
    <row r="1018">
      <c r="A1018" s="7">
        <v>8293.0</v>
      </c>
      <c r="B1018" s="7" t="str">
        <f>VLOOKUP($A1018,product_category,2, False)</f>
        <v>Cosmetics</v>
      </c>
      <c r="C1018" s="7">
        <v>7.65101468E8</v>
      </c>
      <c r="D1018" s="9">
        <v>41712.0</v>
      </c>
      <c r="E1018" s="10">
        <f t="shared" si="1"/>
        <v>3</v>
      </c>
      <c r="F1018" s="10" t="str">
        <f t="shared" si="2"/>
        <v>Mar</v>
      </c>
      <c r="G1018" s="11">
        <f t="shared" si="3"/>
        <v>14</v>
      </c>
      <c r="H1018" s="7">
        <f t="shared" si="4"/>
        <v>2014</v>
      </c>
      <c r="I1018" s="9">
        <v>41735.0</v>
      </c>
      <c r="J1018" s="11">
        <f t="shared" si="5"/>
        <v>23</v>
      </c>
      <c r="K1018" s="7" t="s">
        <v>382</v>
      </c>
      <c r="L1018" s="7" t="s">
        <v>432</v>
      </c>
      <c r="M1018" s="7" t="str">
        <f>VLOOKUP(L1018,countries, 2,false)</f>
        <v>Latvia</v>
      </c>
      <c r="N1018" s="7" t="str">
        <f>VLOOKUP(L1018,countries, 4,false)</f>
        <v>Europe</v>
      </c>
      <c r="O1018" s="7" t="str">
        <f>VLOOKUP(L1018,countries, 5,false)</f>
        <v>Northern Europe</v>
      </c>
      <c r="P1018" s="7" t="s">
        <v>129</v>
      </c>
      <c r="Q1018" s="7">
        <v>9382.0</v>
      </c>
      <c r="R1018" s="12">
        <v>437.2</v>
      </c>
      <c r="S1018" s="12">
        <v>263.33</v>
      </c>
      <c r="T1018" s="13">
        <f t="shared" si="6"/>
        <v>4101810.4</v>
      </c>
      <c r="U1018" s="13">
        <f t="shared" si="7"/>
        <v>265718.88</v>
      </c>
      <c r="V1018" s="13">
        <f t="shared" si="8"/>
        <v>3836091.52</v>
      </c>
      <c r="W1018" s="14">
        <f>Q1018/totals!B$2</f>
        <v>0.001426589487</v>
      </c>
      <c r="X1018" s="14">
        <f t="shared" si="9"/>
        <v>0.7591495142</v>
      </c>
      <c r="Y1018" s="14">
        <f>T1018/totals!B$5</f>
        <v>0.002409811134</v>
      </c>
      <c r="Z1018" s="14">
        <f t="shared" si="10"/>
        <v>0.7639343364</v>
      </c>
      <c r="AA1018" s="14">
        <f>V1018/totals!B$4</f>
        <v>0.007649073956</v>
      </c>
      <c r="AB1018" s="14">
        <f t="shared" si="11"/>
        <v>0.7685568995</v>
      </c>
    </row>
    <row r="1019">
      <c r="A1019" s="7">
        <v>8969.0</v>
      </c>
      <c r="B1019" s="7" t="str">
        <f>VLOOKUP($A1019,product_category,2, False)</f>
        <v>Snacks</v>
      </c>
      <c r="C1019" s="7">
        <v>7.65552079E8</v>
      </c>
      <c r="D1019" s="9">
        <v>40704.0</v>
      </c>
      <c r="E1019" s="10">
        <f t="shared" si="1"/>
        <v>6</v>
      </c>
      <c r="F1019" s="10" t="str">
        <f t="shared" si="2"/>
        <v>Jun</v>
      </c>
      <c r="G1019" s="11">
        <f t="shared" si="3"/>
        <v>10</v>
      </c>
      <c r="H1019" s="7">
        <f t="shared" si="4"/>
        <v>2011</v>
      </c>
      <c r="I1019" s="9">
        <v>40741.0</v>
      </c>
      <c r="J1019" s="11">
        <f t="shared" si="5"/>
        <v>37</v>
      </c>
      <c r="K1019" s="7" t="s">
        <v>110</v>
      </c>
      <c r="L1019" s="7" t="s">
        <v>439</v>
      </c>
      <c r="M1019" s="7" t="str">
        <f>VLOOKUP(L1019,countries, 2,false)</f>
        <v>Slovakia</v>
      </c>
      <c r="N1019" s="7" t="str">
        <f>VLOOKUP(L1019,countries, 4,false)</f>
        <v>Europe</v>
      </c>
      <c r="O1019" s="7" t="str">
        <f>VLOOKUP(L1019,countries, 5,false)</f>
        <v>Eastern Europe</v>
      </c>
      <c r="P1019" s="7" t="s">
        <v>212</v>
      </c>
      <c r="Q1019" s="7">
        <v>2727.0</v>
      </c>
      <c r="R1019" s="12">
        <v>152.58</v>
      </c>
      <c r="S1019" s="12">
        <v>97.44</v>
      </c>
      <c r="T1019" s="13">
        <f t="shared" si="6"/>
        <v>416085.66</v>
      </c>
      <c r="U1019" s="13">
        <f t="shared" si="7"/>
        <v>45492.08</v>
      </c>
      <c r="V1019" s="13">
        <f t="shared" si="8"/>
        <v>370593.58</v>
      </c>
      <c r="W1019" s="14">
        <f>Q1019/totals!B$2</f>
        <v>0.0004146567396</v>
      </c>
      <c r="X1019" s="14">
        <f t="shared" si="9"/>
        <v>0.759564171</v>
      </c>
      <c r="Y1019" s="14">
        <f>T1019/totals!B$5</f>
        <v>0.0002444500741</v>
      </c>
      <c r="Z1019" s="14">
        <f t="shared" si="10"/>
        <v>0.7641787864</v>
      </c>
      <c r="AA1019" s="14">
        <f>V1019/totals!B$4</f>
        <v>0.000738954659</v>
      </c>
      <c r="AB1019" s="14">
        <f t="shared" si="11"/>
        <v>0.7692958541</v>
      </c>
    </row>
    <row r="1020">
      <c r="A1020" s="7">
        <v>4594.0</v>
      </c>
      <c r="B1020" s="7" t="str">
        <f>VLOOKUP($A1020,product_category,2, False)</f>
        <v>Fruits</v>
      </c>
      <c r="C1020" s="7">
        <v>7.6573404E8</v>
      </c>
      <c r="D1020" s="9">
        <v>42926.0</v>
      </c>
      <c r="E1020" s="10">
        <f t="shared" si="1"/>
        <v>7</v>
      </c>
      <c r="F1020" s="10" t="str">
        <f t="shared" si="2"/>
        <v>Jul</v>
      </c>
      <c r="G1020" s="11">
        <f t="shared" si="3"/>
        <v>10</v>
      </c>
      <c r="H1020" s="7">
        <f t="shared" si="4"/>
        <v>2017</v>
      </c>
      <c r="I1020" s="9">
        <v>42951.0</v>
      </c>
      <c r="J1020" s="11">
        <f t="shared" si="5"/>
        <v>25</v>
      </c>
      <c r="K1020" s="7" t="s">
        <v>322</v>
      </c>
      <c r="L1020" s="7" t="s">
        <v>642</v>
      </c>
      <c r="M1020" s="7" t="str">
        <f>VLOOKUP(L1020,countries, 2,false)</f>
        <v>San Marino</v>
      </c>
      <c r="N1020" s="7" t="str">
        <f>VLOOKUP(L1020,countries, 4,false)</f>
        <v>Europe</v>
      </c>
      <c r="O1020" s="7" t="str">
        <f>VLOOKUP(L1020,countries, 5,false)</f>
        <v>Southern Europe</v>
      </c>
      <c r="P1020" s="7" t="s">
        <v>129</v>
      </c>
      <c r="Q1020" s="7">
        <v>6574.0</v>
      </c>
      <c r="R1020" s="12">
        <v>9.33</v>
      </c>
      <c r="S1020" s="12">
        <v>6.92</v>
      </c>
      <c r="T1020" s="13">
        <f t="shared" si="6"/>
        <v>61335.42</v>
      </c>
      <c r="U1020" s="13">
        <f t="shared" si="7"/>
        <v>1773966.2</v>
      </c>
      <c r="V1020" s="13">
        <f t="shared" si="8"/>
        <v>-1712630.78</v>
      </c>
      <c r="W1020" s="14">
        <f>Q1020/totals!B$2</f>
        <v>0.0009996162106</v>
      </c>
      <c r="X1020" s="14">
        <f t="shared" si="9"/>
        <v>0.7605637872</v>
      </c>
      <c r="Y1020" s="14">
        <f>T1020/totals!B$5</f>
        <v>0.00003603452223</v>
      </c>
      <c r="Z1020" s="14">
        <f t="shared" si="10"/>
        <v>0.764214821</v>
      </c>
      <c r="AA1020" s="14">
        <f>V1020/totals!B$4</f>
        <v>-0.003414944463</v>
      </c>
      <c r="AB1020" s="14">
        <f t="shared" si="11"/>
        <v>0.7658809097</v>
      </c>
    </row>
    <row r="1021">
      <c r="A1021" s="7">
        <v>7940.0</v>
      </c>
      <c r="B1021" s="7" t="str">
        <f>VLOOKUP($A1021,product_category,2, False)</f>
        <v>Household</v>
      </c>
      <c r="C1021" s="7">
        <v>7.65858924E8</v>
      </c>
      <c r="D1021" s="9">
        <v>41809.0</v>
      </c>
      <c r="E1021" s="10">
        <f t="shared" si="1"/>
        <v>6</v>
      </c>
      <c r="F1021" s="10" t="str">
        <f t="shared" si="2"/>
        <v>Jun</v>
      </c>
      <c r="G1021" s="11">
        <f t="shared" si="3"/>
        <v>19</v>
      </c>
      <c r="H1021" s="7">
        <f t="shared" si="4"/>
        <v>2014</v>
      </c>
      <c r="I1021" s="9">
        <v>41841.0</v>
      </c>
      <c r="J1021" s="11">
        <f t="shared" si="5"/>
        <v>32</v>
      </c>
      <c r="K1021" s="7" t="s">
        <v>382</v>
      </c>
      <c r="L1021" s="7" t="s">
        <v>609</v>
      </c>
      <c r="M1021" s="7" t="str">
        <f>VLOOKUP(L1021,countries, 2,false)</f>
        <v>Romania</v>
      </c>
      <c r="N1021" s="7" t="str">
        <f>VLOOKUP(L1021,countries, 4,false)</f>
        <v>Europe</v>
      </c>
      <c r="O1021" s="7" t="str">
        <f>VLOOKUP(L1021,countries, 5,false)</f>
        <v>Eastern Europe</v>
      </c>
      <c r="P1021" s="7" t="s">
        <v>212</v>
      </c>
      <c r="Q1021" s="7">
        <v>3530.0</v>
      </c>
      <c r="R1021" s="12">
        <v>668.27</v>
      </c>
      <c r="S1021" s="12">
        <v>502.54</v>
      </c>
      <c r="T1021" s="13">
        <f t="shared" si="6"/>
        <v>2358993.1</v>
      </c>
      <c r="U1021" s="13">
        <f t="shared" si="7"/>
        <v>118096.9</v>
      </c>
      <c r="V1021" s="13">
        <f t="shared" si="8"/>
        <v>2240896.2</v>
      </c>
      <c r="W1021" s="14">
        <f>Q1021/totals!B$2</f>
        <v>0.0005367577158</v>
      </c>
      <c r="X1021" s="14">
        <f t="shared" si="9"/>
        <v>0.7611005449</v>
      </c>
      <c r="Y1021" s="14">
        <f>T1021/totals!B$5</f>
        <v>0.001385907022</v>
      </c>
      <c r="Z1021" s="14">
        <f t="shared" si="10"/>
        <v>0.765600728</v>
      </c>
      <c r="AA1021" s="14">
        <f>V1021/totals!B$4</f>
        <v>0.004468292968</v>
      </c>
      <c r="AB1021" s="14">
        <f t="shared" si="11"/>
        <v>0.7703492027</v>
      </c>
    </row>
    <row r="1022">
      <c r="A1022" s="7">
        <v>7940.0</v>
      </c>
      <c r="B1022" s="7" t="str">
        <f>VLOOKUP($A1022,product_category,2, False)</f>
        <v>Household</v>
      </c>
      <c r="C1022" s="7">
        <v>7.66118133E8</v>
      </c>
      <c r="D1022" s="9">
        <v>40460.0</v>
      </c>
      <c r="E1022" s="10">
        <f t="shared" si="1"/>
        <v>10</v>
      </c>
      <c r="F1022" s="10" t="str">
        <f t="shared" si="2"/>
        <v>Oct</v>
      </c>
      <c r="G1022" s="11">
        <f t="shared" si="3"/>
        <v>9</v>
      </c>
      <c r="H1022" s="7">
        <f t="shared" si="4"/>
        <v>2010</v>
      </c>
      <c r="I1022" s="9">
        <v>40461.0</v>
      </c>
      <c r="J1022" s="11">
        <f t="shared" si="5"/>
        <v>1</v>
      </c>
      <c r="K1022" s="7" t="s">
        <v>198</v>
      </c>
      <c r="L1022" s="7" t="s">
        <v>702</v>
      </c>
      <c r="M1022" s="7" t="str">
        <f>VLOOKUP(L1022,countries, 2,false)</f>
        <v>Sweden</v>
      </c>
      <c r="N1022" s="7" t="str">
        <f>VLOOKUP(L1022,countries, 4,false)</f>
        <v>Europe</v>
      </c>
      <c r="O1022" s="7" t="str">
        <f>VLOOKUP(L1022,countries, 5,false)</f>
        <v>Northern Europe</v>
      </c>
      <c r="P1022" s="7" t="s">
        <v>212</v>
      </c>
      <c r="Q1022" s="7">
        <v>235.0</v>
      </c>
      <c r="R1022" s="12">
        <v>668.27</v>
      </c>
      <c r="S1022" s="12">
        <v>502.54</v>
      </c>
      <c r="T1022" s="13">
        <f t="shared" si="6"/>
        <v>157043.45</v>
      </c>
      <c r="U1022" s="13">
        <f t="shared" si="7"/>
        <v>228229.12</v>
      </c>
      <c r="V1022" s="13">
        <f t="shared" si="8"/>
        <v>-71185.67</v>
      </c>
      <c r="W1022" s="14">
        <f>Q1022/totals!B$2</f>
        <v>0.00003573316238</v>
      </c>
      <c r="X1022" s="14">
        <f t="shared" si="9"/>
        <v>0.7611362781</v>
      </c>
      <c r="Y1022" s="14">
        <f>T1022/totals!B$5</f>
        <v>0.00009226293209</v>
      </c>
      <c r="Z1022" s="14">
        <f t="shared" si="10"/>
        <v>0.7656929909</v>
      </c>
      <c r="AA1022" s="14">
        <f>V1022/totals!B$4</f>
        <v>-0.0001419425088</v>
      </c>
      <c r="AB1022" s="14">
        <f t="shared" si="11"/>
        <v>0.7702072601</v>
      </c>
    </row>
    <row r="1023">
      <c r="A1023" s="7">
        <v>2455.0</v>
      </c>
      <c r="B1023" s="7" t="str">
        <f>VLOOKUP($A1023,product_category,2, False)</f>
        <v>Clothes</v>
      </c>
      <c r="C1023" s="7">
        <v>7.67490565E8</v>
      </c>
      <c r="D1023" s="9">
        <v>42385.0</v>
      </c>
      <c r="E1023" s="10">
        <f t="shared" si="1"/>
        <v>1</v>
      </c>
      <c r="F1023" s="10" t="str">
        <f t="shared" si="2"/>
        <v>Jan</v>
      </c>
      <c r="G1023" s="11">
        <f t="shared" si="3"/>
        <v>16</v>
      </c>
      <c r="H1023" s="7">
        <f t="shared" si="4"/>
        <v>2016</v>
      </c>
      <c r="I1023" s="9">
        <v>42423.0</v>
      </c>
      <c r="J1023" s="11">
        <f t="shared" si="5"/>
        <v>38</v>
      </c>
      <c r="K1023" s="7" t="s">
        <v>382</v>
      </c>
      <c r="L1023" s="7" t="s">
        <v>534</v>
      </c>
      <c r="M1023" s="7" t="str">
        <f>VLOOKUP(L1023,countries, 2,false)</f>
        <v>Netherlands</v>
      </c>
      <c r="N1023" s="7" t="str">
        <f>VLOOKUP(L1023,countries, 4,false)</f>
        <v>Europe</v>
      </c>
      <c r="O1023" s="7" t="str">
        <f>VLOOKUP(L1023,countries, 5,false)</f>
        <v>Western Europe</v>
      </c>
      <c r="P1023" s="7" t="s">
        <v>129</v>
      </c>
      <c r="Q1023" s="7">
        <v>6368.0</v>
      </c>
      <c r="R1023" s="12">
        <v>109.28</v>
      </c>
      <c r="S1023" s="12">
        <v>35.84</v>
      </c>
      <c r="T1023" s="13">
        <f t="shared" si="6"/>
        <v>695895.04</v>
      </c>
      <c r="U1023" s="13">
        <f t="shared" si="7"/>
        <v>517406.4</v>
      </c>
      <c r="V1023" s="13">
        <f t="shared" si="8"/>
        <v>178488.64</v>
      </c>
      <c r="W1023" s="14">
        <f>Q1023/totals!B$2</f>
        <v>0.0009682926725</v>
      </c>
      <c r="X1023" s="14">
        <f t="shared" si="9"/>
        <v>0.7621045707</v>
      </c>
      <c r="Y1023" s="14">
        <f>T1023/totals!B$5</f>
        <v>0.000408837916</v>
      </c>
      <c r="Z1023" s="14">
        <f t="shared" si="10"/>
        <v>0.7661018288</v>
      </c>
      <c r="AA1023" s="14">
        <f>V1023/totals!B$4</f>
        <v>0.0003559020426</v>
      </c>
      <c r="AB1023" s="14">
        <f t="shared" si="11"/>
        <v>0.7705631622</v>
      </c>
    </row>
    <row r="1024">
      <c r="A1024" s="7">
        <v>8969.0</v>
      </c>
      <c r="B1024" s="7" t="str">
        <f>VLOOKUP($A1024,product_category,2, False)</f>
        <v>Snacks</v>
      </c>
      <c r="C1024" s="7">
        <v>7.68230426E8</v>
      </c>
      <c r="D1024" s="9">
        <v>40329.0</v>
      </c>
      <c r="E1024" s="10">
        <f t="shared" si="1"/>
        <v>5</v>
      </c>
      <c r="F1024" s="10" t="str">
        <f t="shared" si="2"/>
        <v>May</v>
      </c>
      <c r="G1024" s="11">
        <f t="shared" si="3"/>
        <v>31</v>
      </c>
      <c r="H1024" s="7">
        <f t="shared" si="4"/>
        <v>2010</v>
      </c>
      <c r="I1024" s="9">
        <v>40351.0</v>
      </c>
      <c r="J1024" s="11">
        <f t="shared" si="5"/>
        <v>22</v>
      </c>
      <c r="K1024" s="7" t="s">
        <v>198</v>
      </c>
      <c r="L1024" s="7" t="s">
        <v>155</v>
      </c>
      <c r="M1024" s="7" t="str">
        <f>VLOOKUP(L1024,countries, 2,false)</f>
        <v>Bulgaria</v>
      </c>
      <c r="N1024" s="7" t="str">
        <f>VLOOKUP(L1024,countries, 4,false)</f>
        <v>Europe</v>
      </c>
      <c r="O1024" s="7" t="str">
        <f>VLOOKUP(L1024,countries, 5,false)</f>
        <v>Eastern Europe</v>
      </c>
      <c r="P1024" s="7" t="s">
        <v>129</v>
      </c>
      <c r="Q1024" s="7">
        <v>5310.0</v>
      </c>
      <c r="R1024" s="12">
        <v>152.58</v>
      </c>
      <c r="S1024" s="12">
        <v>97.44</v>
      </c>
      <c r="T1024" s="13">
        <f t="shared" si="6"/>
        <v>810199.8</v>
      </c>
      <c r="U1024" s="13">
        <f t="shared" si="7"/>
        <v>660060.87</v>
      </c>
      <c r="V1024" s="13">
        <f t="shared" si="8"/>
        <v>150138.93</v>
      </c>
      <c r="W1024" s="14">
        <f>Q1024/totals!B$2</f>
        <v>0.0008074174138</v>
      </c>
      <c r="X1024" s="14">
        <f t="shared" si="9"/>
        <v>0.7629119882</v>
      </c>
      <c r="Y1024" s="14">
        <f>T1024/totals!B$5</f>
        <v>0.0004759918935</v>
      </c>
      <c r="Z1024" s="14">
        <f t="shared" si="10"/>
        <v>0.7665778207</v>
      </c>
      <c r="AA1024" s="14">
        <f>V1024/totals!B$4</f>
        <v>0.0002993734047</v>
      </c>
      <c r="AB1024" s="14">
        <f t="shared" si="11"/>
        <v>0.7708625356</v>
      </c>
    </row>
    <row r="1025">
      <c r="A1025" s="7">
        <v>5988.0</v>
      </c>
      <c r="B1025" s="7" t="str">
        <f>VLOOKUP($A1025,product_category,2, False)</f>
        <v>Vegetables</v>
      </c>
      <c r="C1025" s="7">
        <v>7.68676316E8</v>
      </c>
      <c r="D1025" s="9">
        <v>41645.0</v>
      </c>
      <c r="E1025" s="10">
        <f t="shared" si="1"/>
        <v>1</v>
      </c>
      <c r="F1025" s="10" t="str">
        <f t="shared" si="2"/>
        <v>Jan</v>
      </c>
      <c r="G1025" s="11">
        <f t="shared" si="3"/>
        <v>6</v>
      </c>
      <c r="H1025" s="7">
        <f t="shared" si="4"/>
        <v>2014</v>
      </c>
      <c r="I1025" s="9">
        <v>41678.0</v>
      </c>
      <c r="J1025" s="11">
        <f t="shared" si="5"/>
        <v>33</v>
      </c>
      <c r="K1025" s="7" t="s">
        <v>322</v>
      </c>
      <c r="L1025" s="7" t="s">
        <v>364</v>
      </c>
      <c r="M1025" s="7" t="str">
        <f>VLOOKUP(L1025,countries, 2,false)</f>
        <v>Hungary</v>
      </c>
      <c r="N1025" s="7" t="str">
        <f>VLOOKUP(L1025,countries, 4,false)</f>
        <v>Europe</v>
      </c>
      <c r="O1025" s="7" t="str">
        <f>VLOOKUP(L1025,countries, 5,false)</f>
        <v>Eastern Europe</v>
      </c>
      <c r="P1025" s="7" t="s">
        <v>212</v>
      </c>
      <c r="Q1025" s="7">
        <v>7259.0</v>
      </c>
      <c r="R1025" s="12">
        <v>154.06</v>
      </c>
      <c r="S1025" s="12">
        <v>90.93</v>
      </c>
      <c r="T1025" s="13">
        <f t="shared" si="6"/>
        <v>1118321.54</v>
      </c>
      <c r="U1025" s="13">
        <f t="shared" si="7"/>
        <v>1108715.52</v>
      </c>
      <c r="V1025" s="13">
        <f t="shared" si="8"/>
        <v>9606.02</v>
      </c>
      <c r="W1025" s="14">
        <f>Q1025/totals!B$2</f>
        <v>0.001103774578</v>
      </c>
      <c r="X1025" s="14">
        <f t="shared" si="9"/>
        <v>0.7640157627</v>
      </c>
      <c r="Y1025" s="14">
        <f>T1025/totals!B$5</f>
        <v>0.0006570132298</v>
      </c>
      <c r="Z1025" s="14">
        <f t="shared" si="10"/>
        <v>0.7672348339</v>
      </c>
      <c r="AA1025" s="14">
        <f>V1025/totals!B$4</f>
        <v>0.00001915417216</v>
      </c>
      <c r="AB1025" s="14">
        <f t="shared" si="11"/>
        <v>0.7708816898</v>
      </c>
    </row>
    <row r="1026">
      <c r="A1026" s="7">
        <v>8681.0</v>
      </c>
      <c r="B1026" s="7" t="str">
        <f>VLOOKUP($A1026,product_category,2, False)</f>
        <v>Office Supplies</v>
      </c>
      <c r="C1026" s="7">
        <v>7.70821654E8</v>
      </c>
      <c r="D1026" s="9">
        <v>41846.0</v>
      </c>
      <c r="E1026" s="10">
        <f t="shared" si="1"/>
        <v>7</v>
      </c>
      <c r="F1026" s="10" t="str">
        <f t="shared" si="2"/>
        <v>Jul</v>
      </c>
      <c r="G1026" s="11">
        <f t="shared" si="3"/>
        <v>26</v>
      </c>
      <c r="H1026" s="7">
        <f t="shared" si="4"/>
        <v>2014</v>
      </c>
      <c r="I1026" s="9">
        <v>41870.0</v>
      </c>
      <c r="J1026" s="11">
        <f t="shared" si="5"/>
        <v>24</v>
      </c>
      <c r="K1026" s="7" t="s">
        <v>198</v>
      </c>
      <c r="L1026" s="7" t="e">
        <v>#N/A</v>
      </c>
      <c r="M1026" s="7"/>
      <c r="N1026" s="7"/>
      <c r="O1026" s="7"/>
      <c r="P1026" s="7" t="s">
        <v>212</v>
      </c>
      <c r="Q1026" s="7">
        <v>2112.0</v>
      </c>
      <c r="R1026" s="12">
        <v>651.21</v>
      </c>
      <c r="S1026" s="12">
        <v>524.96</v>
      </c>
      <c r="T1026" s="13">
        <f t="shared" si="6"/>
        <v>1375355.52</v>
      </c>
      <c r="U1026" s="13">
        <f t="shared" si="7"/>
        <v>404911.29</v>
      </c>
      <c r="V1026" s="13">
        <f t="shared" si="8"/>
        <v>970444.23</v>
      </c>
      <c r="W1026" s="14">
        <f>Q1026/totals!B$2</f>
        <v>0.0003211422934</v>
      </c>
      <c r="X1026" s="14">
        <f t="shared" si="9"/>
        <v>0.764336905</v>
      </c>
      <c r="Y1026" s="14">
        <f>T1026/totals!B$5</f>
        <v>0.0008080205379</v>
      </c>
      <c r="Z1026" s="14">
        <f t="shared" si="10"/>
        <v>0.7680428545</v>
      </c>
      <c r="AA1026" s="14">
        <f>V1026/totals!B$4</f>
        <v>0.001935042385</v>
      </c>
      <c r="AB1026" s="14">
        <f t="shared" si="11"/>
        <v>0.7728167321</v>
      </c>
    </row>
    <row r="1027">
      <c r="A1027" s="7">
        <v>5988.0</v>
      </c>
      <c r="B1027" s="7" t="str">
        <f>VLOOKUP($A1027,product_category,2, False)</f>
        <v>Vegetables</v>
      </c>
      <c r="C1027" s="7">
        <v>7.71674382E8</v>
      </c>
      <c r="D1027" s="9">
        <v>41319.0</v>
      </c>
      <c r="E1027" s="10">
        <f t="shared" si="1"/>
        <v>2</v>
      </c>
      <c r="F1027" s="10" t="str">
        <f t="shared" si="2"/>
        <v>Feb</v>
      </c>
      <c r="G1027" s="11">
        <f t="shared" si="3"/>
        <v>14</v>
      </c>
      <c r="H1027" s="7">
        <f t="shared" si="4"/>
        <v>2013</v>
      </c>
      <c r="I1027" s="9">
        <v>41354.0</v>
      </c>
      <c r="J1027" s="11">
        <f t="shared" si="5"/>
        <v>35</v>
      </c>
      <c r="K1027" s="7" t="s">
        <v>322</v>
      </c>
      <c r="L1027" s="7" t="s">
        <v>283</v>
      </c>
      <c r="M1027" s="7" t="str">
        <f>VLOOKUP(L1027,countries, 2,false)</f>
        <v>Finland</v>
      </c>
      <c r="N1027" s="7" t="str">
        <f>VLOOKUP(L1027,countries, 4,false)</f>
        <v>Europe</v>
      </c>
      <c r="O1027" s="7" t="str">
        <f>VLOOKUP(L1027,countries, 5,false)</f>
        <v>Northern Europe</v>
      </c>
      <c r="P1027" s="7" t="s">
        <v>212</v>
      </c>
      <c r="Q1027" s="7">
        <v>4453.0</v>
      </c>
      <c r="R1027" s="12">
        <v>154.06</v>
      </c>
      <c r="S1027" s="12">
        <v>90.93</v>
      </c>
      <c r="T1027" s="13">
        <f t="shared" si="6"/>
        <v>686029.18</v>
      </c>
      <c r="U1027" s="13">
        <f t="shared" si="7"/>
        <v>141703.1</v>
      </c>
      <c r="V1027" s="13">
        <f t="shared" si="8"/>
        <v>544326.08</v>
      </c>
      <c r="W1027" s="14">
        <f>Q1027/totals!B$2</f>
        <v>0.0006771054131</v>
      </c>
      <c r="X1027" s="14">
        <f t="shared" si="9"/>
        <v>0.7650140104</v>
      </c>
      <c r="Y1027" s="14">
        <f>T1027/totals!B$5</f>
        <v>0.0004030417292</v>
      </c>
      <c r="Z1027" s="14">
        <f t="shared" si="10"/>
        <v>0.7684458962</v>
      </c>
      <c r="AA1027" s="14">
        <f>V1027/totals!B$4</f>
        <v>0.001085373073</v>
      </c>
      <c r="AB1027" s="14">
        <f t="shared" si="11"/>
        <v>0.7739021052</v>
      </c>
    </row>
    <row r="1028">
      <c r="A1028" s="7">
        <v>2103.0</v>
      </c>
      <c r="B1028" s="7" t="str">
        <f>VLOOKUP($A1028,product_category,2, False)</f>
        <v>Cereal</v>
      </c>
      <c r="C1028" s="7">
        <v>7.72643411E8</v>
      </c>
      <c r="D1028" s="9">
        <v>40378.0</v>
      </c>
      <c r="E1028" s="10">
        <f t="shared" si="1"/>
        <v>7</v>
      </c>
      <c r="F1028" s="10" t="str">
        <f t="shared" si="2"/>
        <v>Jul</v>
      </c>
      <c r="G1028" s="11">
        <f t="shared" si="3"/>
        <v>19</v>
      </c>
      <c r="H1028" s="7">
        <f t="shared" si="4"/>
        <v>2010</v>
      </c>
      <c r="I1028" s="9">
        <v>40415.0</v>
      </c>
      <c r="J1028" s="11">
        <f t="shared" si="5"/>
        <v>37</v>
      </c>
      <c r="K1028" s="7" t="s">
        <v>322</v>
      </c>
      <c r="L1028" s="7" t="s">
        <v>702</v>
      </c>
      <c r="M1028" s="7" t="str">
        <f>VLOOKUP(L1028,countries, 2,false)</f>
        <v>Sweden</v>
      </c>
      <c r="N1028" s="7" t="str">
        <f>VLOOKUP(L1028,countries, 4,false)</f>
        <v>Europe</v>
      </c>
      <c r="O1028" s="7" t="str">
        <f>VLOOKUP(L1028,countries, 5,false)</f>
        <v>Northern Europe</v>
      </c>
      <c r="P1028" s="7" t="s">
        <v>129</v>
      </c>
      <c r="Q1028" s="7">
        <v>1210.0</v>
      </c>
      <c r="R1028" s="12">
        <v>205.7</v>
      </c>
      <c r="S1028" s="12">
        <v>117.11</v>
      </c>
      <c r="T1028" s="13">
        <f t="shared" si="6"/>
        <v>248897</v>
      </c>
      <c r="U1028" s="13">
        <f t="shared" si="7"/>
        <v>162828.38</v>
      </c>
      <c r="V1028" s="13">
        <f t="shared" si="8"/>
        <v>86068.62</v>
      </c>
      <c r="W1028" s="14">
        <f>Q1028/totals!B$2</f>
        <v>0.0001839877723</v>
      </c>
      <c r="X1028" s="14">
        <f t="shared" si="9"/>
        <v>0.7651979982</v>
      </c>
      <c r="Y1028" s="14">
        <f>T1028/totals!B$5</f>
        <v>0.0001462268373</v>
      </c>
      <c r="Z1028" s="14">
        <f t="shared" si="10"/>
        <v>0.768592123</v>
      </c>
      <c r="AA1028" s="14">
        <f>V1028/totals!B$4</f>
        <v>0.0001716187521</v>
      </c>
      <c r="AB1028" s="14">
        <f t="shared" si="11"/>
        <v>0.774073724</v>
      </c>
    </row>
    <row r="1029">
      <c r="A1029" s="7">
        <v>1270.0</v>
      </c>
      <c r="B1029" s="7" t="str">
        <f>VLOOKUP($A1029,product_category,2, False)</f>
        <v>Beverages</v>
      </c>
      <c r="C1029" s="7">
        <v>7.72893178E8</v>
      </c>
      <c r="D1029" s="9">
        <v>40910.0</v>
      </c>
      <c r="E1029" s="10">
        <f t="shared" si="1"/>
        <v>1</v>
      </c>
      <c r="F1029" s="10" t="str">
        <f t="shared" si="2"/>
        <v>Jan</v>
      </c>
      <c r="G1029" s="11">
        <f t="shared" si="3"/>
        <v>2</v>
      </c>
      <c r="H1029" s="7">
        <f t="shared" si="4"/>
        <v>2012</v>
      </c>
      <c r="I1029" s="9">
        <v>40910.0</v>
      </c>
      <c r="J1029" s="11">
        <f t="shared" si="5"/>
        <v>0</v>
      </c>
      <c r="K1029" s="7" t="s">
        <v>322</v>
      </c>
      <c r="L1029" s="7" t="s">
        <v>642</v>
      </c>
      <c r="M1029" s="7" t="str">
        <f>VLOOKUP(L1029,countries, 2,false)</f>
        <v>San Marino</v>
      </c>
      <c r="N1029" s="7" t="str">
        <f>VLOOKUP(L1029,countries, 4,false)</f>
        <v>Europe</v>
      </c>
      <c r="O1029" s="7" t="str">
        <f>VLOOKUP(L1029,countries, 5,false)</f>
        <v>Southern Europe</v>
      </c>
      <c r="P1029" s="7" t="s">
        <v>212</v>
      </c>
      <c r="Q1029" s="7">
        <v>5122.0</v>
      </c>
      <c r="R1029" s="12">
        <v>47.45</v>
      </c>
      <c r="S1029" s="12">
        <v>31.79</v>
      </c>
      <c r="T1029" s="13">
        <f t="shared" si="6"/>
        <v>243038.9</v>
      </c>
      <c r="U1029" s="13">
        <f t="shared" si="7"/>
        <v>2073197.09</v>
      </c>
      <c r="V1029" s="13">
        <f t="shared" si="8"/>
        <v>-1830158.19</v>
      </c>
      <c r="W1029" s="14">
        <f>Q1029/totals!B$2</f>
        <v>0.0007788308839</v>
      </c>
      <c r="X1029" s="14">
        <f t="shared" si="9"/>
        <v>0.7659768291</v>
      </c>
      <c r="Y1029" s="14">
        <f>T1029/totals!B$5</f>
        <v>0.0001427852071</v>
      </c>
      <c r="Z1029" s="14">
        <f t="shared" si="10"/>
        <v>0.7687349083</v>
      </c>
      <c r="AA1029" s="14">
        <f>V1029/totals!B$4</f>
        <v>-0.003649291283</v>
      </c>
      <c r="AB1029" s="14">
        <f t="shared" si="11"/>
        <v>0.7704244327</v>
      </c>
    </row>
    <row r="1030">
      <c r="A1030" s="7">
        <v>8293.0</v>
      </c>
      <c r="B1030" s="7" t="str">
        <f>VLOOKUP($A1030,product_category,2, False)</f>
        <v>Cosmetics</v>
      </c>
      <c r="C1030" s="7">
        <v>7.73645913E8</v>
      </c>
      <c r="D1030" s="9">
        <v>40565.0</v>
      </c>
      <c r="E1030" s="10">
        <f t="shared" si="1"/>
        <v>1</v>
      </c>
      <c r="F1030" s="10" t="str">
        <f t="shared" si="2"/>
        <v>Jan</v>
      </c>
      <c r="G1030" s="11">
        <f t="shared" si="3"/>
        <v>22</v>
      </c>
      <c r="H1030" s="7">
        <f t="shared" si="4"/>
        <v>2011</v>
      </c>
      <c r="I1030" s="9">
        <v>40571.0</v>
      </c>
      <c r="J1030" s="11">
        <f t="shared" si="5"/>
        <v>6</v>
      </c>
      <c r="K1030" s="7" t="s">
        <v>382</v>
      </c>
      <c r="L1030" s="7" t="s">
        <v>756</v>
      </c>
      <c r="M1030" s="7" t="str">
        <f>VLOOKUP(L1030,countries, 2,false)</f>
        <v>Ukraine</v>
      </c>
      <c r="N1030" s="7" t="str">
        <f>VLOOKUP(L1030,countries, 4,false)</f>
        <v>Europe</v>
      </c>
      <c r="O1030" s="7" t="str">
        <f>VLOOKUP(L1030,countries, 5,false)</f>
        <v>Eastern Europe</v>
      </c>
      <c r="P1030" s="7" t="s">
        <v>129</v>
      </c>
      <c r="Q1030" s="7">
        <v>7873.0</v>
      </c>
      <c r="R1030" s="12">
        <v>437.2</v>
      </c>
      <c r="S1030" s="12">
        <v>263.33</v>
      </c>
      <c r="T1030" s="13">
        <f t="shared" si="6"/>
        <v>3442075.6</v>
      </c>
      <c r="U1030" s="13">
        <f t="shared" si="7"/>
        <v>65006.48</v>
      </c>
      <c r="V1030" s="13">
        <f t="shared" si="8"/>
        <v>3377069.12</v>
      </c>
      <c r="W1030" s="14">
        <f>Q1030/totals!B$2</f>
        <v>0.001197136968</v>
      </c>
      <c r="X1030" s="14">
        <f t="shared" si="9"/>
        <v>0.7671739661</v>
      </c>
      <c r="Y1030" s="14">
        <f>T1030/totals!B$5</f>
        <v>0.002022217338</v>
      </c>
      <c r="Z1030" s="14">
        <f t="shared" si="10"/>
        <v>0.7707571256</v>
      </c>
      <c r="AA1030" s="14">
        <f>V1030/totals!B$4</f>
        <v>0.006733794363</v>
      </c>
      <c r="AB1030" s="14">
        <f t="shared" si="11"/>
        <v>0.7771582271</v>
      </c>
    </row>
    <row r="1031">
      <c r="A1031" s="7">
        <v>4594.0</v>
      </c>
      <c r="B1031" s="7" t="str">
        <f>VLOOKUP($A1031,product_category,2, False)</f>
        <v>Fruits</v>
      </c>
      <c r="C1031" s="7">
        <v>7.74698626E8</v>
      </c>
      <c r="D1031" s="9">
        <v>42441.0</v>
      </c>
      <c r="E1031" s="10">
        <f t="shared" si="1"/>
        <v>3</v>
      </c>
      <c r="F1031" s="10" t="str">
        <f t="shared" si="2"/>
        <v>Mar</v>
      </c>
      <c r="G1031" s="11">
        <f t="shared" si="3"/>
        <v>12</v>
      </c>
      <c r="H1031" s="7">
        <f t="shared" si="4"/>
        <v>2016</v>
      </c>
      <c r="I1031" s="9">
        <v>42467.0</v>
      </c>
      <c r="J1031" s="11">
        <f t="shared" si="5"/>
        <v>26</v>
      </c>
      <c r="K1031" s="7" t="s">
        <v>322</v>
      </c>
      <c r="L1031" s="7" t="s">
        <v>155</v>
      </c>
      <c r="M1031" s="7" t="str">
        <f>VLOOKUP(L1031,countries, 2,false)</f>
        <v>Bulgaria</v>
      </c>
      <c r="N1031" s="7" t="str">
        <f>VLOOKUP(L1031,countries, 4,false)</f>
        <v>Europe</v>
      </c>
      <c r="O1031" s="7" t="str">
        <f>VLOOKUP(L1031,countries, 5,false)</f>
        <v>Eastern Europe</v>
      </c>
      <c r="P1031" s="7" t="s">
        <v>129</v>
      </c>
      <c r="Q1031" s="7">
        <v>9394.0</v>
      </c>
      <c r="R1031" s="12">
        <v>9.33</v>
      </c>
      <c r="S1031" s="12">
        <v>6.92</v>
      </c>
      <c r="T1031" s="13">
        <f t="shared" si="6"/>
        <v>87646.02</v>
      </c>
      <c r="U1031" s="13">
        <f t="shared" si="7"/>
        <v>48135.52</v>
      </c>
      <c r="V1031" s="13">
        <f t="shared" si="8"/>
        <v>39510.5</v>
      </c>
      <c r="W1031" s="14">
        <f>Q1031/totals!B$2</f>
        <v>0.001428414159</v>
      </c>
      <c r="X1031" s="14">
        <f t="shared" si="9"/>
        <v>0.7686023802</v>
      </c>
      <c r="Y1031" s="14">
        <f>T1031/totals!B$5</f>
        <v>0.00005149198385</v>
      </c>
      <c r="Z1031" s="14">
        <f t="shared" si="10"/>
        <v>0.7708086176</v>
      </c>
      <c r="AA1031" s="14">
        <f>V1031/totals!B$4</f>
        <v>0.00007878298392</v>
      </c>
      <c r="AB1031" s="14">
        <f t="shared" si="11"/>
        <v>0.77723701</v>
      </c>
    </row>
    <row r="1032">
      <c r="A1032" s="7">
        <v>4594.0</v>
      </c>
      <c r="B1032" s="7" t="str">
        <f>VLOOKUP($A1032,product_category,2, False)</f>
        <v>Fruits</v>
      </c>
      <c r="C1032" s="7">
        <v>7.74926936E8</v>
      </c>
      <c r="D1032" s="9">
        <v>41967.0</v>
      </c>
      <c r="E1032" s="10">
        <f t="shared" si="1"/>
        <v>11</v>
      </c>
      <c r="F1032" s="10" t="str">
        <f t="shared" si="2"/>
        <v>Nov</v>
      </c>
      <c r="G1032" s="11">
        <f t="shared" si="3"/>
        <v>24</v>
      </c>
      <c r="H1032" s="7">
        <f t="shared" si="4"/>
        <v>2014</v>
      </c>
      <c r="I1032" s="9">
        <v>41970.0</v>
      </c>
      <c r="J1032" s="11">
        <f t="shared" si="5"/>
        <v>3</v>
      </c>
      <c r="K1032" s="7" t="s">
        <v>110</v>
      </c>
      <c r="L1032" s="7" t="s">
        <v>234</v>
      </c>
      <c r="M1032" s="7" t="str">
        <f>VLOOKUP(L1032,countries, 2,false)</f>
        <v>Czech Republic</v>
      </c>
      <c r="N1032" s="7" t="str">
        <f>VLOOKUP(L1032,countries, 4,false)</f>
        <v>Europe</v>
      </c>
      <c r="O1032" s="7" t="str">
        <f>VLOOKUP(L1032,countries, 5,false)</f>
        <v>Eastern Europe</v>
      </c>
      <c r="P1032" s="7" t="s">
        <v>212</v>
      </c>
      <c r="Q1032" s="7">
        <v>6956.0</v>
      </c>
      <c r="R1032" s="12">
        <v>9.33</v>
      </c>
      <c r="S1032" s="12">
        <v>6.92</v>
      </c>
      <c r="T1032" s="13">
        <f t="shared" si="6"/>
        <v>64899.48</v>
      </c>
      <c r="U1032" s="13">
        <f t="shared" si="7"/>
        <v>193217.04</v>
      </c>
      <c r="V1032" s="13">
        <f t="shared" si="8"/>
        <v>-128317.56</v>
      </c>
      <c r="W1032" s="14">
        <f>Q1032/totals!B$2</f>
        <v>0.001057701607</v>
      </c>
      <c r="X1032" s="14">
        <f t="shared" si="9"/>
        <v>0.7696600818</v>
      </c>
      <c r="Y1032" s="14">
        <f>T1032/totals!B$5</f>
        <v>0.00003812840533</v>
      </c>
      <c r="Z1032" s="14">
        <f t="shared" si="10"/>
        <v>0.770846746</v>
      </c>
      <c r="AA1032" s="14">
        <f>V1032/totals!B$4</f>
        <v>-0.0002558621193</v>
      </c>
      <c r="AB1032" s="14">
        <f t="shared" si="11"/>
        <v>0.7769811479</v>
      </c>
    </row>
    <row r="1033">
      <c r="A1033" s="7">
        <v>7331.0</v>
      </c>
      <c r="B1033" s="7" t="str">
        <f>VLOOKUP($A1033,product_category,2, False)</f>
        <v>Baby Food</v>
      </c>
      <c r="C1033" s="7">
        <v>7.75008904E8</v>
      </c>
      <c r="D1033" s="9">
        <v>41604.0</v>
      </c>
      <c r="E1033" s="10">
        <f t="shared" si="1"/>
        <v>11</v>
      </c>
      <c r="F1033" s="10" t="str">
        <f t="shared" si="2"/>
        <v>Nov</v>
      </c>
      <c r="G1033" s="11">
        <f t="shared" si="3"/>
        <v>26</v>
      </c>
      <c r="H1033" s="7">
        <f t="shared" si="4"/>
        <v>2013</v>
      </c>
      <c r="I1033" s="9">
        <v>41641.0</v>
      </c>
      <c r="J1033" s="11">
        <f t="shared" si="5"/>
        <v>37</v>
      </c>
      <c r="K1033" s="7" t="s">
        <v>110</v>
      </c>
      <c r="L1033" s="7" t="s">
        <v>448</v>
      </c>
      <c r="M1033" s="7" t="str">
        <f>VLOOKUP(L1033,countries, 2,false)</f>
        <v>Liechtenstein</v>
      </c>
      <c r="N1033" s="7" t="str">
        <f>VLOOKUP(L1033,countries, 4,false)</f>
        <v>Europe</v>
      </c>
      <c r="O1033" s="7" t="str">
        <f>VLOOKUP(L1033,countries, 5,false)</f>
        <v>Western Europe</v>
      </c>
      <c r="P1033" s="7" t="s">
        <v>129</v>
      </c>
      <c r="Q1033" s="7">
        <v>1212.0</v>
      </c>
      <c r="R1033" s="12">
        <v>255.28</v>
      </c>
      <c r="S1033" s="12">
        <v>159.42</v>
      </c>
      <c r="T1033" s="13">
        <f t="shared" si="6"/>
        <v>309399.36</v>
      </c>
      <c r="U1033" s="13">
        <f t="shared" si="7"/>
        <v>245347.38</v>
      </c>
      <c r="V1033" s="13">
        <f t="shared" si="8"/>
        <v>64051.98</v>
      </c>
      <c r="W1033" s="14">
        <f>Q1033/totals!B$2</f>
        <v>0.0001842918843</v>
      </c>
      <c r="X1033" s="14">
        <f t="shared" si="9"/>
        <v>0.7698443737</v>
      </c>
      <c r="Y1033" s="14">
        <f>T1033/totals!B$5</f>
        <v>0.0001817719373</v>
      </c>
      <c r="Z1033" s="14">
        <f t="shared" si="10"/>
        <v>0.7710285179</v>
      </c>
      <c r="AA1033" s="14">
        <f>V1033/totals!B$4</f>
        <v>0.000127718103</v>
      </c>
      <c r="AB1033" s="14">
        <f t="shared" si="11"/>
        <v>0.777108866</v>
      </c>
    </row>
    <row r="1034">
      <c r="A1034" s="7">
        <v>7331.0</v>
      </c>
      <c r="B1034" s="7" t="str">
        <f>VLOOKUP($A1034,product_category,2, False)</f>
        <v>Baby Food</v>
      </c>
      <c r="C1034" s="7">
        <v>7.75347936E8</v>
      </c>
      <c r="D1034" s="9">
        <v>41452.0</v>
      </c>
      <c r="E1034" s="10">
        <f t="shared" si="1"/>
        <v>6</v>
      </c>
      <c r="F1034" s="10" t="str">
        <f t="shared" si="2"/>
        <v>Jun</v>
      </c>
      <c r="G1034" s="11">
        <f t="shared" si="3"/>
        <v>27</v>
      </c>
      <c r="H1034" s="7">
        <f t="shared" si="4"/>
        <v>2013</v>
      </c>
      <c r="I1034" s="9">
        <v>41463.0</v>
      </c>
      <c r="J1034" s="11">
        <f t="shared" si="5"/>
        <v>11</v>
      </c>
      <c r="K1034" s="7" t="s">
        <v>198</v>
      </c>
      <c r="L1034" s="7" t="s">
        <v>222</v>
      </c>
      <c r="M1034" s="7" t="str">
        <f>VLOOKUP(L1034,countries, 2,false)</f>
        <v>Croatia</v>
      </c>
      <c r="N1034" s="7" t="str">
        <f>VLOOKUP(L1034,countries, 4,false)</f>
        <v>Europe</v>
      </c>
      <c r="O1034" s="7" t="str">
        <f>VLOOKUP(L1034,countries, 5,false)</f>
        <v>Southern Europe</v>
      </c>
      <c r="P1034" s="7" t="s">
        <v>212</v>
      </c>
      <c r="Q1034" s="7">
        <v>1539.0</v>
      </c>
      <c r="R1034" s="12">
        <v>255.28</v>
      </c>
      <c r="S1034" s="12">
        <v>159.42</v>
      </c>
      <c r="T1034" s="13">
        <f t="shared" si="6"/>
        <v>392875.92</v>
      </c>
      <c r="U1034" s="13">
        <f t="shared" si="7"/>
        <v>5248025.12</v>
      </c>
      <c r="V1034" s="13">
        <f t="shared" si="8"/>
        <v>-4855149.2</v>
      </c>
      <c r="W1034" s="14">
        <f>Q1034/totals!B$2</f>
        <v>0.0002340141996</v>
      </c>
      <c r="X1034" s="14">
        <f t="shared" si="9"/>
        <v>0.7700783879</v>
      </c>
      <c r="Y1034" s="14">
        <f>T1034/totals!B$5</f>
        <v>0.0002308143659</v>
      </c>
      <c r="Z1034" s="14">
        <f t="shared" si="10"/>
        <v>0.7712593323</v>
      </c>
      <c r="AA1034" s="14">
        <f>V1034/totals!B$4</f>
        <v>-0.009681050388</v>
      </c>
      <c r="AB1034" s="14">
        <f t="shared" si="11"/>
        <v>0.7674278156</v>
      </c>
    </row>
    <row r="1035">
      <c r="A1035" s="7">
        <v>8681.0</v>
      </c>
      <c r="B1035" s="7" t="str">
        <f>VLOOKUP($A1035,product_category,2, False)</f>
        <v>Office Supplies</v>
      </c>
      <c r="C1035" s="7">
        <v>7.75849616E8</v>
      </c>
      <c r="D1035" s="9">
        <v>40956.0</v>
      </c>
      <c r="E1035" s="10">
        <f t="shared" si="1"/>
        <v>2</v>
      </c>
      <c r="F1035" s="10" t="str">
        <f t="shared" si="2"/>
        <v>Feb</v>
      </c>
      <c r="G1035" s="11">
        <f t="shared" si="3"/>
        <v>17</v>
      </c>
      <c r="H1035" s="7">
        <f t="shared" si="4"/>
        <v>2012</v>
      </c>
      <c r="I1035" s="9">
        <v>40973.0</v>
      </c>
      <c r="J1035" s="11">
        <f t="shared" si="5"/>
        <v>17</v>
      </c>
      <c r="K1035" s="7" t="s">
        <v>198</v>
      </c>
      <c r="L1035" s="7" t="s">
        <v>597</v>
      </c>
      <c r="M1035" s="7" t="str">
        <f>VLOOKUP(L1035,countries, 2,false)</f>
        <v>Portugal</v>
      </c>
      <c r="N1035" s="7" t="str">
        <f>VLOOKUP(L1035,countries, 4,false)</f>
        <v>Europe</v>
      </c>
      <c r="O1035" s="7" t="str">
        <f>VLOOKUP(L1035,countries, 5,false)</f>
        <v>Southern Europe</v>
      </c>
      <c r="P1035" s="7" t="s">
        <v>212</v>
      </c>
      <c r="Q1035" s="7">
        <v>9997.0</v>
      </c>
      <c r="R1035" s="12">
        <v>651.21</v>
      </c>
      <c r="S1035" s="12">
        <v>524.96</v>
      </c>
      <c r="T1035" s="13">
        <f t="shared" si="6"/>
        <v>6510146.37</v>
      </c>
      <c r="U1035" s="13">
        <f t="shared" si="7"/>
        <v>539669.55</v>
      </c>
      <c r="V1035" s="13">
        <f t="shared" si="8"/>
        <v>5970476.82</v>
      </c>
      <c r="W1035" s="14">
        <f>Q1035/totals!B$2</f>
        <v>0.001520103933</v>
      </c>
      <c r="X1035" s="14">
        <f t="shared" si="9"/>
        <v>0.7715984918</v>
      </c>
      <c r="Y1035" s="14">
        <f>T1035/totals!B$5</f>
        <v>0.003824707063</v>
      </c>
      <c r="Z1035" s="14">
        <f t="shared" si="10"/>
        <v>0.7750840393</v>
      </c>
      <c r="AA1035" s="14">
        <f>V1035/totals!B$4</f>
        <v>0.01190498676</v>
      </c>
      <c r="AB1035" s="14">
        <f t="shared" si="11"/>
        <v>0.7793328024</v>
      </c>
    </row>
    <row r="1036">
      <c r="A1036" s="7">
        <v>5988.0</v>
      </c>
      <c r="B1036" s="7" t="str">
        <f>VLOOKUP($A1036,product_category,2, False)</f>
        <v>Vegetables</v>
      </c>
      <c r="C1036" s="7">
        <v>7.7701863E8</v>
      </c>
      <c r="D1036" s="9">
        <v>42419.0</v>
      </c>
      <c r="E1036" s="10">
        <f t="shared" si="1"/>
        <v>2</v>
      </c>
      <c r="F1036" s="10" t="str">
        <f t="shared" si="2"/>
        <v>Feb</v>
      </c>
      <c r="G1036" s="11">
        <f t="shared" si="3"/>
        <v>19</v>
      </c>
      <c r="H1036" s="7">
        <f t="shared" si="4"/>
        <v>2016</v>
      </c>
      <c r="I1036" s="9">
        <v>42448.0</v>
      </c>
      <c r="J1036" s="11">
        <f t="shared" si="5"/>
        <v>29</v>
      </c>
      <c r="K1036" s="7" t="s">
        <v>322</v>
      </c>
      <c r="L1036" s="7" t="s">
        <v>594</v>
      </c>
      <c r="M1036" s="7" t="str">
        <f>VLOOKUP(L1036,countries, 2,false)</f>
        <v>Poland</v>
      </c>
      <c r="N1036" s="7" t="str">
        <f>VLOOKUP(L1036,countries, 4,false)</f>
        <v>Europe</v>
      </c>
      <c r="O1036" s="7" t="str">
        <f>VLOOKUP(L1036,countries, 5,false)</f>
        <v>Eastern Europe</v>
      </c>
      <c r="P1036" s="7" t="s">
        <v>129</v>
      </c>
      <c r="Q1036" s="7">
        <v>5935.0</v>
      </c>
      <c r="R1036" s="12">
        <v>154.06</v>
      </c>
      <c r="S1036" s="12">
        <v>90.93</v>
      </c>
      <c r="T1036" s="13">
        <f t="shared" si="6"/>
        <v>914346.1</v>
      </c>
      <c r="U1036" s="13">
        <f t="shared" si="7"/>
        <v>1019673.24</v>
      </c>
      <c r="V1036" s="13">
        <f t="shared" si="8"/>
        <v>-105327.14</v>
      </c>
      <c r="W1036" s="14">
        <f>Q1036/totals!B$2</f>
        <v>0.0009024524202</v>
      </c>
      <c r="X1036" s="14">
        <f t="shared" si="9"/>
        <v>0.7725009443</v>
      </c>
      <c r="Y1036" s="14">
        <f>T1036/totals!B$5</f>
        <v>0.0005371777819</v>
      </c>
      <c r="Z1036" s="14">
        <f t="shared" si="10"/>
        <v>0.7756212171</v>
      </c>
      <c r="AA1036" s="14">
        <f>V1036/totals!B$4</f>
        <v>-0.0002100197764</v>
      </c>
      <c r="AB1036" s="14">
        <f t="shared" si="11"/>
        <v>0.7791227826</v>
      </c>
    </row>
    <row r="1037">
      <c r="A1037" s="7">
        <v>8875.0</v>
      </c>
      <c r="B1037" s="7" t="str">
        <f>VLOOKUP($A1037,product_category,2, False)</f>
        <v>Meat</v>
      </c>
      <c r="C1037" s="7">
        <v>7.80590045E8</v>
      </c>
      <c r="D1037" s="9">
        <v>41527.0</v>
      </c>
      <c r="E1037" s="10">
        <f t="shared" si="1"/>
        <v>9</v>
      </c>
      <c r="F1037" s="10" t="str">
        <f t="shared" si="2"/>
        <v>Sep</v>
      </c>
      <c r="G1037" s="11">
        <f t="shared" si="3"/>
        <v>10</v>
      </c>
      <c r="H1037" s="7">
        <f t="shared" si="4"/>
        <v>2013</v>
      </c>
      <c r="I1037" s="9">
        <v>41550.0</v>
      </c>
      <c r="J1037" s="11">
        <f t="shared" si="5"/>
        <v>23</v>
      </c>
      <c r="K1037" s="7" t="s">
        <v>382</v>
      </c>
      <c r="L1037" s="7" t="s">
        <v>155</v>
      </c>
      <c r="M1037" s="7" t="str">
        <f>VLOOKUP(L1037,countries, 2,false)</f>
        <v>Bulgaria</v>
      </c>
      <c r="N1037" s="7" t="str">
        <f>VLOOKUP(L1037,countries, 4,false)</f>
        <v>Europe</v>
      </c>
      <c r="O1037" s="7" t="str">
        <f>VLOOKUP(L1037,countries, 5,false)</f>
        <v>Eastern Europe</v>
      </c>
      <c r="P1037" s="7" t="s">
        <v>212</v>
      </c>
      <c r="Q1037" s="7">
        <v>2796.0</v>
      </c>
      <c r="R1037" s="12">
        <v>421.89</v>
      </c>
      <c r="S1037" s="12">
        <v>364.69</v>
      </c>
      <c r="T1037" s="13">
        <f t="shared" si="6"/>
        <v>1179604.44</v>
      </c>
      <c r="U1037" s="13">
        <f t="shared" si="7"/>
        <v>1114675.89</v>
      </c>
      <c r="V1037" s="13">
        <f t="shared" si="8"/>
        <v>64928.55</v>
      </c>
      <c r="W1037" s="14">
        <f>Q1037/totals!B$2</f>
        <v>0.0004251486043</v>
      </c>
      <c r="X1037" s="14">
        <f t="shared" si="9"/>
        <v>0.7729260929</v>
      </c>
      <c r="Y1037" s="14">
        <f>T1037/totals!B$5</f>
        <v>0.0006930168965</v>
      </c>
      <c r="Z1037" s="14">
        <f t="shared" si="10"/>
        <v>0.776314234</v>
      </c>
      <c r="AA1037" s="14">
        <f>V1037/totals!B$4</f>
        <v>0.0001294659625</v>
      </c>
      <c r="AB1037" s="14">
        <f t="shared" si="11"/>
        <v>0.7792522486</v>
      </c>
    </row>
    <row r="1038">
      <c r="A1038" s="7">
        <v>8293.0</v>
      </c>
      <c r="B1038" s="7" t="str">
        <f>VLOOKUP($A1038,product_category,2, False)</f>
        <v>Cosmetics</v>
      </c>
      <c r="C1038" s="7">
        <v>7.80899035E8</v>
      </c>
      <c r="D1038" s="9">
        <v>41073.0</v>
      </c>
      <c r="E1038" s="10">
        <f t="shared" si="1"/>
        <v>6</v>
      </c>
      <c r="F1038" s="10" t="str">
        <f t="shared" si="2"/>
        <v>Jun</v>
      </c>
      <c r="G1038" s="11">
        <f t="shared" si="3"/>
        <v>13</v>
      </c>
      <c r="H1038" s="7">
        <f t="shared" si="4"/>
        <v>2012</v>
      </c>
      <c r="I1038" s="9">
        <v>41120.0</v>
      </c>
      <c r="J1038" s="11">
        <f t="shared" si="5"/>
        <v>47</v>
      </c>
      <c r="K1038" s="7" t="s">
        <v>382</v>
      </c>
      <c r="L1038" s="7" t="s">
        <v>439</v>
      </c>
      <c r="M1038" s="7" t="str">
        <f>VLOOKUP(L1038,countries, 2,false)</f>
        <v>Slovakia</v>
      </c>
      <c r="N1038" s="7" t="str">
        <f>VLOOKUP(L1038,countries, 4,false)</f>
        <v>Europe</v>
      </c>
      <c r="O1038" s="7" t="str">
        <f>VLOOKUP(L1038,countries, 5,false)</f>
        <v>Eastern Europe</v>
      </c>
      <c r="P1038" s="7" t="s">
        <v>212</v>
      </c>
      <c r="Q1038" s="7">
        <v>4233.0</v>
      </c>
      <c r="R1038" s="12">
        <v>437.2</v>
      </c>
      <c r="S1038" s="12">
        <v>263.33</v>
      </c>
      <c r="T1038" s="13">
        <f t="shared" si="6"/>
        <v>1850667.6</v>
      </c>
      <c r="U1038" s="13">
        <f t="shared" si="7"/>
        <v>316861.44</v>
      </c>
      <c r="V1038" s="13">
        <f t="shared" si="8"/>
        <v>1533806.16</v>
      </c>
      <c r="W1038" s="14">
        <f>Q1038/totals!B$2</f>
        <v>0.0006436530909</v>
      </c>
      <c r="X1038" s="14">
        <f t="shared" si="9"/>
        <v>0.773569746</v>
      </c>
      <c r="Y1038" s="14">
        <f>T1038/totals!B$5</f>
        <v>0.001087266098</v>
      </c>
      <c r="Z1038" s="14">
        <f t="shared" si="10"/>
        <v>0.7774015001</v>
      </c>
      <c r="AA1038" s="14">
        <f>V1038/totals!B$4</f>
        <v>0.003058372484</v>
      </c>
      <c r="AB1038" s="14">
        <f t="shared" si="11"/>
        <v>0.7823106211</v>
      </c>
    </row>
    <row r="1039">
      <c r="A1039" s="7">
        <v>2455.0</v>
      </c>
      <c r="B1039" s="7" t="str">
        <f>VLOOKUP($A1039,product_category,2, False)</f>
        <v>Clothes</v>
      </c>
      <c r="C1039" s="7">
        <v>7.81083571E8</v>
      </c>
      <c r="D1039" s="9">
        <v>42530.0</v>
      </c>
      <c r="E1039" s="10">
        <f t="shared" si="1"/>
        <v>6</v>
      </c>
      <c r="F1039" s="10" t="str">
        <f t="shared" si="2"/>
        <v>Jun</v>
      </c>
      <c r="G1039" s="11">
        <f t="shared" si="3"/>
        <v>9</v>
      </c>
      <c r="H1039" s="7">
        <f t="shared" si="4"/>
        <v>2016</v>
      </c>
      <c r="I1039" s="9">
        <v>42539.0</v>
      </c>
      <c r="J1039" s="11">
        <f t="shared" si="5"/>
        <v>9</v>
      </c>
      <c r="K1039" s="7" t="s">
        <v>198</v>
      </c>
      <c r="L1039" s="7" t="s">
        <v>222</v>
      </c>
      <c r="M1039" s="7" t="str">
        <f>VLOOKUP(L1039,countries, 2,false)</f>
        <v>Croatia</v>
      </c>
      <c r="N1039" s="7" t="str">
        <f>VLOOKUP(L1039,countries, 4,false)</f>
        <v>Europe</v>
      </c>
      <c r="O1039" s="7" t="str">
        <f>VLOOKUP(L1039,countries, 5,false)</f>
        <v>Southern Europe</v>
      </c>
      <c r="P1039" s="7" t="s">
        <v>129</v>
      </c>
      <c r="Q1039" s="7">
        <v>8841.0</v>
      </c>
      <c r="R1039" s="12">
        <v>109.28</v>
      </c>
      <c r="S1039" s="12">
        <v>35.84</v>
      </c>
      <c r="T1039" s="13">
        <f t="shared" si="6"/>
        <v>966144.48</v>
      </c>
      <c r="U1039" s="13">
        <f t="shared" si="7"/>
        <v>2695059.1</v>
      </c>
      <c r="V1039" s="13">
        <f t="shared" si="8"/>
        <v>-1728914.62</v>
      </c>
      <c r="W1039" s="14">
        <f>Q1039/totals!B$2</f>
        <v>0.001344327186</v>
      </c>
      <c r="X1039" s="14">
        <f t="shared" si="9"/>
        <v>0.7749140731</v>
      </c>
      <c r="Y1039" s="14">
        <f>T1039/totals!B$5</f>
        <v>0.0005676092989</v>
      </c>
      <c r="Z1039" s="14">
        <f t="shared" si="10"/>
        <v>0.7779691094</v>
      </c>
      <c r="AA1039" s="14">
        <f>V1039/totals!B$4</f>
        <v>-0.003447414047</v>
      </c>
      <c r="AB1039" s="14">
        <f t="shared" si="11"/>
        <v>0.778863207</v>
      </c>
    </row>
    <row r="1040">
      <c r="A1040" s="7">
        <v>8875.0</v>
      </c>
      <c r="B1040" s="7" t="str">
        <f>VLOOKUP($A1040,product_category,2, False)</f>
        <v>Meat</v>
      </c>
      <c r="C1040" s="7">
        <v>7.81416594E8</v>
      </c>
      <c r="D1040" s="9">
        <v>42317.0</v>
      </c>
      <c r="E1040" s="10">
        <f t="shared" si="1"/>
        <v>11</v>
      </c>
      <c r="F1040" s="10" t="str">
        <f t="shared" si="2"/>
        <v>Nov</v>
      </c>
      <c r="G1040" s="11">
        <f t="shared" si="3"/>
        <v>9</v>
      </c>
      <c r="H1040" s="7">
        <f t="shared" si="4"/>
        <v>2015</v>
      </c>
      <c r="I1040" s="9">
        <v>42361.0</v>
      </c>
      <c r="J1040" s="11">
        <f t="shared" si="5"/>
        <v>44</v>
      </c>
      <c r="K1040" s="7" t="s">
        <v>110</v>
      </c>
      <c r="L1040" s="7" t="s">
        <v>77</v>
      </c>
      <c r="M1040" s="7" t="str">
        <f>VLOOKUP(L1040,countries, 2,false)</f>
        <v>Armenia</v>
      </c>
      <c r="N1040" s="7" t="str">
        <f>VLOOKUP(L1040,countries, 4,false)</f>
        <v>Asia</v>
      </c>
      <c r="O1040" s="7" t="str">
        <f>VLOOKUP(L1040,countries, 5,false)</f>
        <v>Western Asia</v>
      </c>
      <c r="P1040" s="7" t="s">
        <v>212</v>
      </c>
      <c r="Q1040" s="7">
        <v>7390.0</v>
      </c>
      <c r="R1040" s="12">
        <v>421.89</v>
      </c>
      <c r="S1040" s="12">
        <v>364.69</v>
      </c>
      <c r="T1040" s="13">
        <f t="shared" si="6"/>
        <v>3117767.1</v>
      </c>
      <c r="U1040" s="13">
        <f t="shared" si="7"/>
        <v>19640.32</v>
      </c>
      <c r="V1040" s="13">
        <f t="shared" si="8"/>
        <v>3098126.78</v>
      </c>
      <c r="W1040" s="14">
        <f>Q1040/totals!B$2</f>
        <v>0.001123693915</v>
      </c>
      <c r="X1040" s="14">
        <f t="shared" si="9"/>
        <v>0.7760377671</v>
      </c>
      <c r="Y1040" s="14">
        <f>T1040/totals!B$5</f>
        <v>0.00183168629</v>
      </c>
      <c r="Z1040" s="14">
        <f t="shared" si="10"/>
        <v>0.7798007957</v>
      </c>
      <c r="AA1040" s="14">
        <f>V1040/totals!B$4</f>
        <v>0.006177590066</v>
      </c>
      <c r="AB1040" s="14">
        <f t="shared" si="11"/>
        <v>0.7850407971</v>
      </c>
    </row>
    <row r="1041">
      <c r="A1041" s="7">
        <v>2455.0</v>
      </c>
      <c r="B1041" s="7" t="str">
        <f>VLOOKUP($A1041,product_category,2, False)</f>
        <v>Clothes</v>
      </c>
      <c r="C1041" s="7">
        <v>7.831169E8</v>
      </c>
      <c r="D1041" s="9">
        <v>42792.0</v>
      </c>
      <c r="E1041" s="10">
        <f t="shared" si="1"/>
        <v>2</v>
      </c>
      <c r="F1041" s="10" t="str">
        <f t="shared" si="2"/>
        <v>Feb</v>
      </c>
      <c r="G1041" s="11">
        <f t="shared" si="3"/>
        <v>26</v>
      </c>
      <c r="H1041" s="7">
        <f t="shared" si="4"/>
        <v>2017</v>
      </c>
      <c r="I1041" s="9">
        <v>42808.0</v>
      </c>
      <c r="J1041" s="11">
        <f t="shared" si="5"/>
        <v>16</v>
      </c>
      <c r="K1041" s="7" t="s">
        <v>322</v>
      </c>
      <c r="L1041" s="7" t="s">
        <v>762</v>
      </c>
      <c r="M1041" s="7" t="str">
        <f>VLOOKUP(L1041,countries, 2,false)</f>
        <v>United Kingdom</v>
      </c>
      <c r="N1041" s="7" t="str">
        <f>VLOOKUP(L1041,countries, 4,false)</f>
        <v>Europe</v>
      </c>
      <c r="O1041" s="7" t="str">
        <f>VLOOKUP(L1041,countries, 5,false)</f>
        <v>Northern Europe</v>
      </c>
      <c r="P1041" s="7" t="s">
        <v>129</v>
      </c>
      <c r="Q1041" s="7">
        <v>548.0</v>
      </c>
      <c r="R1041" s="12">
        <v>109.28</v>
      </c>
      <c r="S1041" s="12">
        <v>35.84</v>
      </c>
      <c r="T1041" s="13">
        <f t="shared" si="6"/>
        <v>59885.44</v>
      </c>
      <c r="U1041" s="13">
        <f t="shared" si="7"/>
        <v>737403.18</v>
      </c>
      <c r="V1041" s="13">
        <f t="shared" si="8"/>
        <v>-677517.74</v>
      </c>
      <c r="W1041" s="14">
        <f>Q1041/totals!B$2</f>
        <v>0.00008332669355</v>
      </c>
      <c r="X1041" s="14">
        <f t="shared" si="9"/>
        <v>0.7761210938</v>
      </c>
      <c r="Y1041" s="14">
        <f>T1041/totals!B$5</f>
        <v>0.00003518265986</v>
      </c>
      <c r="Z1041" s="14">
        <f t="shared" si="10"/>
        <v>0.7798359784</v>
      </c>
      <c r="AA1041" s="14">
        <f>V1041/totals!B$4</f>
        <v>-0.00135095403</v>
      </c>
      <c r="AB1041" s="14">
        <f t="shared" si="11"/>
        <v>0.7836898431</v>
      </c>
    </row>
    <row r="1042">
      <c r="A1042" s="7">
        <v>8875.0</v>
      </c>
      <c r="B1042" s="7" t="str">
        <f>VLOOKUP($A1042,product_category,2, False)</f>
        <v>Meat</v>
      </c>
      <c r="C1042" s="7">
        <v>7.83594977E8</v>
      </c>
      <c r="D1042" s="9">
        <v>42850.0</v>
      </c>
      <c r="E1042" s="10">
        <f t="shared" si="1"/>
        <v>4</v>
      </c>
      <c r="F1042" s="10" t="str">
        <f t="shared" si="2"/>
        <v>Apr</v>
      </c>
      <c r="G1042" s="11">
        <f t="shared" si="3"/>
        <v>25</v>
      </c>
      <c r="H1042" s="7">
        <f t="shared" si="4"/>
        <v>2017</v>
      </c>
      <c r="I1042" s="9">
        <v>42856.0</v>
      </c>
      <c r="J1042" s="11">
        <f t="shared" si="5"/>
        <v>6</v>
      </c>
      <c r="K1042" s="7" t="s">
        <v>382</v>
      </c>
      <c r="L1042" s="7" t="s">
        <v>756</v>
      </c>
      <c r="M1042" s="7" t="str">
        <f>VLOOKUP(L1042,countries, 2,false)</f>
        <v>Ukraine</v>
      </c>
      <c r="N1042" s="7" t="str">
        <f>VLOOKUP(L1042,countries, 4,false)</f>
        <v>Europe</v>
      </c>
      <c r="O1042" s="7" t="str">
        <f>VLOOKUP(L1042,countries, 5,false)</f>
        <v>Eastern Europe</v>
      </c>
      <c r="P1042" s="7" t="s">
        <v>212</v>
      </c>
      <c r="Q1042" s="7">
        <v>2022.0</v>
      </c>
      <c r="R1042" s="12">
        <v>421.89</v>
      </c>
      <c r="S1042" s="12">
        <v>364.69</v>
      </c>
      <c r="T1042" s="13">
        <f t="shared" si="6"/>
        <v>853061.58</v>
      </c>
      <c r="U1042" s="13">
        <f t="shared" si="7"/>
        <v>621667.2</v>
      </c>
      <c r="V1042" s="13">
        <f t="shared" si="8"/>
        <v>231394.38</v>
      </c>
      <c r="W1042" s="14">
        <f>Q1042/totals!B$2</f>
        <v>0.0003074572525</v>
      </c>
      <c r="X1042" s="14">
        <f t="shared" si="9"/>
        <v>0.776428551</v>
      </c>
      <c r="Y1042" s="14">
        <f>T1042/totals!B$5</f>
        <v>0.0005011731634</v>
      </c>
      <c r="Z1042" s="14">
        <f t="shared" si="10"/>
        <v>0.7803371515</v>
      </c>
      <c r="AA1042" s="14">
        <f>V1042/totals!B$4</f>
        <v>0.000461394812</v>
      </c>
      <c r="AB1042" s="14">
        <f t="shared" si="11"/>
        <v>0.7841512379</v>
      </c>
    </row>
    <row r="1043">
      <c r="A1043" s="7">
        <v>8969.0</v>
      </c>
      <c r="B1043" s="7" t="str">
        <f>VLOOKUP($A1043,product_category,2, False)</f>
        <v>Snacks</v>
      </c>
      <c r="C1043" s="7">
        <v>7.83913838E8</v>
      </c>
      <c r="D1043" s="9">
        <v>41310.0</v>
      </c>
      <c r="E1043" s="10">
        <f t="shared" si="1"/>
        <v>2</v>
      </c>
      <c r="F1043" s="10" t="str">
        <f t="shared" si="2"/>
        <v>Feb</v>
      </c>
      <c r="G1043" s="11">
        <f t="shared" si="3"/>
        <v>5</v>
      </c>
      <c r="H1043" s="7">
        <f t="shared" si="4"/>
        <v>2013</v>
      </c>
      <c r="I1043" s="9">
        <v>41342.0</v>
      </c>
      <c r="J1043" s="11">
        <f t="shared" si="5"/>
        <v>32</v>
      </c>
      <c r="K1043" s="7" t="s">
        <v>382</v>
      </c>
      <c r="L1043" s="7" t="e">
        <v>#N/A</v>
      </c>
      <c r="M1043" s="7"/>
      <c r="N1043" s="7"/>
      <c r="O1043" s="7"/>
      <c r="P1043" s="7" t="s">
        <v>129</v>
      </c>
      <c r="Q1043" s="7">
        <v>6380.0</v>
      </c>
      <c r="R1043" s="12">
        <v>152.58</v>
      </c>
      <c r="S1043" s="12">
        <v>97.44</v>
      </c>
      <c r="T1043" s="13">
        <f t="shared" si="6"/>
        <v>973460.4</v>
      </c>
      <c r="U1043" s="13">
        <f t="shared" si="7"/>
        <v>938444.64</v>
      </c>
      <c r="V1043" s="13">
        <f t="shared" si="8"/>
        <v>35015.76</v>
      </c>
      <c r="W1043" s="14">
        <f>Q1043/totals!B$2</f>
        <v>0.0009701173447</v>
      </c>
      <c r="X1043" s="14">
        <f t="shared" si="9"/>
        <v>0.7773986684</v>
      </c>
      <c r="Y1043" s="14">
        <f>T1043/totals!B$5</f>
        <v>0.0005719073975</v>
      </c>
      <c r="Z1043" s="14">
        <f t="shared" si="10"/>
        <v>0.7809090589</v>
      </c>
      <c r="AA1043" s="14">
        <f>V1043/totals!B$4</f>
        <v>0.00006982058078</v>
      </c>
      <c r="AB1043" s="14">
        <f t="shared" si="11"/>
        <v>0.7842210584</v>
      </c>
    </row>
    <row r="1044">
      <c r="A1044" s="7">
        <v>8969.0</v>
      </c>
      <c r="B1044" s="7" t="str">
        <f>VLOOKUP($A1044,product_category,2, False)</f>
        <v>Snacks</v>
      </c>
      <c r="C1044" s="7">
        <v>7.84397923E8</v>
      </c>
      <c r="D1044" s="9">
        <v>41428.0</v>
      </c>
      <c r="E1044" s="10">
        <f t="shared" si="1"/>
        <v>6</v>
      </c>
      <c r="F1044" s="10" t="str">
        <f t="shared" si="2"/>
        <v>Jun</v>
      </c>
      <c r="G1044" s="11">
        <f t="shared" si="3"/>
        <v>3</v>
      </c>
      <c r="H1044" s="7">
        <f t="shared" si="4"/>
        <v>2013</v>
      </c>
      <c r="I1044" s="9">
        <v>41440.0</v>
      </c>
      <c r="J1044" s="11">
        <f t="shared" si="5"/>
        <v>12</v>
      </c>
      <c r="K1044" s="7" t="s">
        <v>198</v>
      </c>
      <c r="L1044" s="7" t="s">
        <v>237</v>
      </c>
      <c r="M1044" s="7" t="str">
        <f>VLOOKUP(L1044,countries, 2,false)</f>
        <v>Denmark</v>
      </c>
      <c r="N1044" s="7" t="str">
        <f>VLOOKUP(L1044,countries, 4,false)</f>
        <v>Europe</v>
      </c>
      <c r="O1044" s="7" t="str">
        <f>VLOOKUP(L1044,countries, 5,false)</f>
        <v>Northern Europe</v>
      </c>
      <c r="P1044" s="7" t="s">
        <v>212</v>
      </c>
      <c r="Q1044" s="7">
        <v>9631.0</v>
      </c>
      <c r="R1044" s="12">
        <v>152.58</v>
      </c>
      <c r="S1044" s="12">
        <v>97.44</v>
      </c>
      <c r="T1044" s="13">
        <f t="shared" si="6"/>
        <v>1469497.98</v>
      </c>
      <c r="U1044" s="13">
        <f t="shared" si="7"/>
        <v>2891615.16</v>
      </c>
      <c r="V1044" s="13">
        <f t="shared" si="8"/>
        <v>-1422117.18</v>
      </c>
      <c r="W1044" s="14">
        <f>Q1044/totals!B$2</f>
        <v>0.001464451434</v>
      </c>
      <c r="X1044" s="14">
        <f t="shared" si="9"/>
        <v>0.7788631198</v>
      </c>
      <c r="Y1044" s="14">
        <f>T1044/totals!B$5</f>
        <v>0.0008633291763</v>
      </c>
      <c r="Z1044" s="14">
        <f t="shared" si="10"/>
        <v>0.7817723881</v>
      </c>
      <c r="AA1044" s="14">
        <f>V1044/totals!B$4</f>
        <v>-0.002835667352</v>
      </c>
      <c r="AB1044" s="14">
        <f t="shared" si="11"/>
        <v>0.7813853911</v>
      </c>
    </row>
    <row r="1045">
      <c r="A1045" s="7">
        <v>7940.0</v>
      </c>
      <c r="B1045" s="7" t="str">
        <f>VLOOKUP($A1045,product_category,2, False)</f>
        <v>Household</v>
      </c>
      <c r="C1045" s="7">
        <v>7.85364806E8</v>
      </c>
      <c r="D1045" s="9">
        <v>42047.0</v>
      </c>
      <c r="E1045" s="10">
        <f t="shared" si="1"/>
        <v>2</v>
      </c>
      <c r="F1045" s="10" t="str">
        <f t="shared" si="2"/>
        <v>Feb</v>
      </c>
      <c r="G1045" s="11">
        <f t="shared" si="3"/>
        <v>12</v>
      </c>
      <c r="H1045" s="7">
        <f t="shared" si="4"/>
        <v>2015</v>
      </c>
      <c r="I1045" s="9">
        <v>42084.0</v>
      </c>
      <c r="J1045" s="11">
        <f t="shared" si="5"/>
        <v>37</v>
      </c>
      <c r="K1045" s="7" t="s">
        <v>110</v>
      </c>
      <c r="L1045" s="7" t="s">
        <v>107</v>
      </c>
      <c r="M1045" s="7" t="str">
        <f>VLOOKUP(L1045,countries, 2,false)</f>
        <v>Belarus</v>
      </c>
      <c r="N1045" s="7" t="str">
        <f>VLOOKUP(L1045,countries, 4,false)</f>
        <v>Europe</v>
      </c>
      <c r="O1045" s="7" t="str">
        <f>VLOOKUP(L1045,countries, 5,false)</f>
        <v>Eastern Europe</v>
      </c>
      <c r="P1045" s="7" t="s">
        <v>212</v>
      </c>
      <c r="Q1045" s="7">
        <v>5754.0</v>
      </c>
      <c r="R1045" s="12">
        <v>668.27</v>
      </c>
      <c r="S1045" s="12">
        <v>502.54</v>
      </c>
      <c r="T1045" s="13">
        <f t="shared" si="6"/>
        <v>3845225.58</v>
      </c>
      <c r="U1045" s="13">
        <f t="shared" si="7"/>
        <v>252380.81</v>
      </c>
      <c r="V1045" s="13">
        <f t="shared" si="8"/>
        <v>3592844.77</v>
      </c>
      <c r="W1045" s="14">
        <f>Q1045/totals!B$2</f>
        <v>0.0008749302823</v>
      </c>
      <c r="X1045" s="14">
        <f t="shared" si="9"/>
        <v>0.7797380501</v>
      </c>
      <c r="Y1045" s="14">
        <f>T1045/totals!B$5</f>
        <v>0.002259067707</v>
      </c>
      <c r="Z1045" s="14">
        <f t="shared" si="10"/>
        <v>0.7840314558</v>
      </c>
      <c r="AA1045" s="14">
        <f>V1045/totals!B$4</f>
        <v>0.007164045804</v>
      </c>
      <c r="AB1045" s="14">
        <f t="shared" si="11"/>
        <v>0.7885494369</v>
      </c>
    </row>
    <row r="1046">
      <c r="A1046" s="7">
        <v>1270.0</v>
      </c>
      <c r="B1046" s="7" t="str">
        <f>VLOOKUP($A1046,product_category,2, False)</f>
        <v>Beverages</v>
      </c>
      <c r="C1046" s="7">
        <v>7.86318385E8</v>
      </c>
      <c r="D1046" s="9">
        <v>42927.0</v>
      </c>
      <c r="E1046" s="10">
        <f t="shared" si="1"/>
        <v>7</v>
      </c>
      <c r="F1046" s="10" t="str">
        <f t="shared" si="2"/>
        <v>Jul</v>
      </c>
      <c r="G1046" s="11">
        <f t="shared" si="3"/>
        <v>11</v>
      </c>
      <c r="H1046" s="7">
        <f t="shared" si="4"/>
        <v>2017</v>
      </c>
      <c r="I1046" s="9">
        <v>42970.0</v>
      </c>
      <c r="J1046" s="11">
        <f t="shared" si="5"/>
        <v>43</v>
      </c>
      <c r="K1046" s="7" t="s">
        <v>110</v>
      </c>
      <c r="L1046" s="7" t="s">
        <v>534</v>
      </c>
      <c r="M1046" s="7" t="str">
        <f>VLOOKUP(L1046,countries, 2,false)</f>
        <v>Netherlands</v>
      </c>
      <c r="N1046" s="7" t="str">
        <f>VLOOKUP(L1046,countries, 4,false)</f>
        <v>Europe</v>
      </c>
      <c r="O1046" s="7" t="str">
        <f>VLOOKUP(L1046,countries, 5,false)</f>
        <v>Western Europe</v>
      </c>
      <c r="P1046" s="7" t="s">
        <v>212</v>
      </c>
      <c r="Q1046" s="7">
        <v>7939.0</v>
      </c>
      <c r="R1046" s="12">
        <v>47.45</v>
      </c>
      <c r="S1046" s="12">
        <v>31.79</v>
      </c>
      <c r="T1046" s="13">
        <f t="shared" si="6"/>
        <v>376705.55</v>
      </c>
      <c r="U1046" s="13">
        <f t="shared" si="7"/>
        <v>466640.16</v>
      </c>
      <c r="V1046" s="13">
        <f t="shared" si="8"/>
        <v>-89934.61</v>
      </c>
      <c r="W1046" s="14">
        <f>Q1046/totals!B$2</f>
        <v>0.001207172664</v>
      </c>
      <c r="X1046" s="14">
        <f t="shared" si="9"/>
        <v>0.7809452227</v>
      </c>
      <c r="Y1046" s="14">
        <f>T1046/totals!B$5</f>
        <v>0.0002213142833</v>
      </c>
      <c r="Z1046" s="14">
        <f t="shared" si="10"/>
        <v>0.7842527701</v>
      </c>
      <c r="AA1046" s="14">
        <f>V1046/totals!B$4</f>
        <v>-0.0001793274429</v>
      </c>
      <c r="AB1046" s="14">
        <f t="shared" si="11"/>
        <v>0.7883701095</v>
      </c>
    </row>
    <row r="1047">
      <c r="A1047" s="7">
        <v>8969.0</v>
      </c>
      <c r="B1047" s="7" t="str">
        <f>VLOOKUP($A1047,product_category,2, False)</f>
        <v>Snacks</v>
      </c>
      <c r="C1047" s="7">
        <v>7.8948425E8</v>
      </c>
      <c r="D1047" s="9">
        <v>40729.0</v>
      </c>
      <c r="E1047" s="10">
        <f t="shared" si="1"/>
        <v>7</v>
      </c>
      <c r="F1047" s="10" t="str">
        <f t="shared" si="2"/>
        <v>Jul</v>
      </c>
      <c r="G1047" s="11">
        <f t="shared" si="3"/>
        <v>5</v>
      </c>
      <c r="H1047" s="7">
        <f t="shared" si="4"/>
        <v>2011</v>
      </c>
      <c r="I1047" s="9">
        <v>40754.0</v>
      </c>
      <c r="J1047" s="11">
        <f t="shared" si="5"/>
        <v>25</v>
      </c>
      <c r="K1047" s="7" t="s">
        <v>110</v>
      </c>
      <c r="L1047" s="7" t="s">
        <v>234</v>
      </c>
      <c r="M1047" s="7" t="str">
        <f>VLOOKUP(L1047,countries, 2,false)</f>
        <v>Czech Republic</v>
      </c>
      <c r="N1047" s="7" t="str">
        <f>VLOOKUP(L1047,countries, 4,false)</f>
        <v>Europe</v>
      </c>
      <c r="O1047" s="7" t="str">
        <f>VLOOKUP(L1047,countries, 5,false)</f>
        <v>Eastern Europe</v>
      </c>
      <c r="P1047" s="7" t="s">
        <v>129</v>
      </c>
      <c r="Q1047" s="7">
        <v>4789.0</v>
      </c>
      <c r="R1047" s="12">
        <v>152.58</v>
      </c>
      <c r="S1047" s="12">
        <v>97.44</v>
      </c>
      <c r="T1047" s="13">
        <f t="shared" si="6"/>
        <v>730705.62</v>
      </c>
      <c r="U1047" s="13">
        <f t="shared" si="7"/>
        <v>365351.49</v>
      </c>
      <c r="V1047" s="13">
        <f t="shared" si="8"/>
        <v>365354.13</v>
      </c>
      <c r="W1047" s="14">
        <f>Q1047/totals!B$2</f>
        <v>0.0007281962325</v>
      </c>
      <c r="X1047" s="14">
        <f t="shared" si="9"/>
        <v>0.781673419</v>
      </c>
      <c r="Y1047" s="14">
        <f>T1047/totals!B$5</f>
        <v>0.0004292891107</v>
      </c>
      <c r="Z1047" s="14">
        <f t="shared" si="10"/>
        <v>0.7846820592</v>
      </c>
      <c r="AA1047" s="14">
        <f>V1047/totals!B$4</f>
        <v>0.0007285073221</v>
      </c>
      <c r="AB1047" s="14">
        <f t="shared" si="11"/>
        <v>0.7890986168</v>
      </c>
    </row>
    <row r="1048">
      <c r="A1048" s="7">
        <v>3127.0</v>
      </c>
      <c r="B1048" s="7" t="str">
        <f>VLOOKUP($A1048,product_category,2, False)</f>
        <v>Personal Care</v>
      </c>
      <c r="C1048" s="7">
        <v>7.89760196E8</v>
      </c>
      <c r="D1048" s="9">
        <v>42710.0</v>
      </c>
      <c r="E1048" s="10">
        <f t="shared" si="1"/>
        <v>12</v>
      </c>
      <c r="F1048" s="10" t="str">
        <f t="shared" si="2"/>
        <v>Dec</v>
      </c>
      <c r="G1048" s="11">
        <f t="shared" si="3"/>
        <v>6</v>
      </c>
      <c r="H1048" s="7">
        <f t="shared" si="4"/>
        <v>2016</v>
      </c>
      <c r="I1048" s="9">
        <v>42737.0</v>
      </c>
      <c r="J1048" s="11">
        <f t="shared" si="5"/>
        <v>27</v>
      </c>
      <c r="K1048" s="7" t="s">
        <v>198</v>
      </c>
      <c r="L1048" s="7" t="s">
        <v>77</v>
      </c>
      <c r="M1048" s="7" t="str">
        <f>VLOOKUP(L1048,countries, 2,false)</f>
        <v>Armenia</v>
      </c>
      <c r="N1048" s="7" t="str">
        <f>VLOOKUP(L1048,countries, 4,false)</f>
        <v>Asia</v>
      </c>
      <c r="O1048" s="7" t="str">
        <f>VLOOKUP(L1048,countries, 5,false)</f>
        <v>Western Asia</v>
      </c>
      <c r="P1048" s="7" t="s">
        <v>129</v>
      </c>
      <c r="Q1048" s="7">
        <v>6447.0</v>
      </c>
      <c r="R1048" s="12">
        <v>81.73</v>
      </c>
      <c r="S1048" s="12">
        <v>56.67</v>
      </c>
      <c r="T1048" s="13">
        <f t="shared" si="6"/>
        <v>526913.31</v>
      </c>
      <c r="U1048" s="13">
        <f t="shared" si="7"/>
        <v>396311.65</v>
      </c>
      <c r="V1048" s="13">
        <f t="shared" si="8"/>
        <v>130601.66</v>
      </c>
      <c r="W1048" s="14">
        <f>Q1048/totals!B$2</f>
        <v>0.0009803050973</v>
      </c>
      <c r="X1048" s="14">
        <f t="shared" si="9"/>
        <v>0.7826537241</v>
      </c>
      <c r="Y1048" s="14">
        <f>T1048/totals!B$5</f>
        <v>0.0003095612516</v>
      </c>
      <c r="Z1048" s="14">
        <f t="shared" si="10"/>
        <v>0.7849916205</v>
      </c>
      <c r="AA1048" s="14">
        <f>V1048/totals!B$4</f>
        <v>0.0002604165596</v>
      </c>
      <c r="AB1048" s="14">
        <f t="shared" si="11"/>
        <v>0.7893590333</v>
      </c>
    </row>
    <row r="1049">
      <c r="A1049" s="7">
        <v>8293.0</v>
      </c>
      <c r="B1049" s="7" t="str">
        <f>VLOOKUP($A1049,product_category,2, False)</f>
        <v>Cosmetics</v>
      </c>
      <c r="C1049" s="7">
        <v>7.90149009E8</v>
      </c>
      <c r="D1049" s="9">
        <v>40686.0</v>
      </c>
      <c r="E1049" s="10">
        <f t="shared" si="1"/>
        <v>5</v>
      </c>
      <c r="F1049" s="10" t="str">
        <f t="shared" si="2"/>
        <v>May</v>
      </c>
      <c r="G1049" s="11">
        <f t="shared" si="3"/>
        <v>23</v>
      </c>
      <c r="H1049" s="7">
        <f t="shared" si="4"/>
        <v>2011</v>
      </c>
      <c r="I1049" s="9">
        <v>40692.0</v>
      </c>
      <c r="J1049" s="11">
        <f t="shared" si="5"/>
        <v>6</v>
      </c>
      <c r="K1049" s="7" t="s">
        <v>198</v>
      </c>
      <c r="L1049" s="7" t="s">
        <v>264</v>
      </c>
      <c r="M1049" s="7" t="str">
        <f>VLOOKUP(L1049,countries, 2,false)</f>
        <v>Estonia</v>
      </c>
      <c r="N1049" s="7" t="str">
        <f>VLOOKUP(L1049,countries, 4,false)</f>
        <v>Europe</v>
      </c>
      <c r="O1049" s="7" t="str">
        <f>VLOOKUP(L1049,countries, 5,false)</f>
        <v>Northern Europe</v>
      </c>
      <c r="P1049" s="7" t="s">
        <v>129</v>
      </c>
      <c r="Q1049" s="7">
        <v>1505.0</v>
      </c>
      <c r="R1049" s="12">
        <v>437.2</v>
      </c>
      <c r="S1049" s="12">
        <v>263.33</v>
      </c>
      <c r="T1049" s="13">
        <f t="shared" si="6"/>
        <v>657986</v>
      </c>
      <c r="U1049" s="13">
        <f t="shared" si="7"/>
        <v>57505.2</v>
      </c>
      <c r="V1049" s="13">
        <f t="shared" si="8"/>
        <v>600480.8</v>
      </c>
      <c r="W1049" s="14">
        <f>Q1049/totals!B$2</f>
        <v>0.0002288442953</v>
      </c>
      <c r="X1049" s="14">
        <f t="shared" si="9"/>
        <v>0.7828825684</v>
      </c>
      <c r="Y1049" s="14">
        <f>T1049/totals!B$5</f>
        <v>0.0003865663779</v>
      </c>
      <c r="Z1049" s="14">
        <f t="shared" si="10"/>
        <v>0.7853781868</v>
      </c>
      <c r="AA1049" s="14">
        <f>V1049/totals!B$4</f>
        <v>0.00119734423</v>
      </c>
      <c r="AB1049" s="14">
        <f t="shared" si="11"/>
        <v>0.7905563776</v>
      </c>
    </row>
    <row r="1050">
      <c r="A1050" s="7">
        <v>4594.0</v>
      </c>
      <c r="B1050" s="7" t="str">
        <f>VLOOKUP($A1050,product_category,2, False)</f>
        <v>Fruits</v>
      </c>
      <c r="C1050" s="7">
        <v>7.91692674E8</v>
      </c>
      <c r="D1050" s="9">
        <v>41564.0</v>
      </c>
      <c r="E1050" s="10">
        <f t="shared" si="1"/>
        <v>10</v>
      </c>
      <c r="F1050" s="10" t="str">
        <f t="shared" si="2"/>
        <v>Oct</v>
      </c>
      <c r="G1050" s="11">
        <f t="shared" si="3"/>
        <v>17</v>
      </c>
      <c r="H1050" s="7">
        <f t="shared" si="4"/>
        <v>2013</v>
      </c>
      <c r="I1050" s="9">
        <v>41602.0</v>
      </c>
      <c r="J1050" s="11">
        <f t="shared" si="5"/>
        <v>38</v>
      </c>
      <c r="K1050" s="7" t="s">
        <v>322</v>
      </c>
      <c r="L1050" s="7" t="s">
        <v>113</v>
      </c>
      <c r="M1050" s="7" t="str">
        <f>VLOOKUP(L1050,countries, 2,false)</f>
        <v>Belgium</v>
      </c>
      <c r="N1050" s="7" t="str">
        <f>VLOOKUP(L1050,countries, 4,false)</f>
        <v>Europe</v>
      </c>
      <c r="O1050" s="7" t="str">
        <f>VLOOKUP(L1050,countries, 5,false)</f>
        <v>Western Europe</v>
      </c>
      <c r="P1050" s="7" t="s">
        <v>129</v>
      </c>
      <c r="Q1050" s="7">
        <v>8310.0</v>
      </c>
      <c r="R1050" s="12">
        <v>9.33</v>
      </c>
      <c r="S1050" s="12">
        <v>6.92</v>
      </c>
      <c r="T1050" s="13">
        <f t="shared" si="6"/>
        <v>77532.3</v>
      </c>
      <c r="U1050" s="13">
        <f t="shared" si="7"/>
        <v>787916.08</v>
      </c>
      <c r="V1050" s="13">
        <f t="shared" si="8"/>
        <v>-710383.78</v>
      </c>
      <c r="W1050" s="14">
        <f>Q1050/totals!B$2</f>
        <v>0.001263585444</v>
      </c>
      <c r="X1050" s="14">
        <f t="shared" si="9"/>
        <v>0.7841461538</v>
      </c>
      <c r="Y1050" s="14">
        <f>T1050/totals!B$5</f>
        <v>0.00004555017946</v>
      </c>
      <c r="Z1050" s="14">
        <f t="shared" si="10"/>
        <v>0.785423737</v>
      </c>
      <c r="AA1050" s="14">
        <f>V1050/totals!B$4</f>
        <v>-0.001416488121</v>
      </c>
      <c r="AB1050" s="14">
        <f t="shared" si="11"/>
        <v>0.7891398894</v>
      </c>
    </row>
    <row r="1051">
      <c r="A1051" s="7">
        <v>2103.0</v>
      </c>
      <c r="B1051" s="7" t="str">
        <f>VLOOKUP($A1051,product_category,2, False)</f>
        <v>Cereal</v>
      </c>
      <c r="C1051" s="7">
        <v>7.91890084E8</v>
      </c>
      <c r="D1051" s="9">
        <v>41965.0</v>
      </c>
      <c r="E1051" s="10">
        <f t="shared" si="1"/>
        <v>11</v>
      </c>
      <c r="F1051" s="10" t="str">
        <f t="shared" si="2"/>
        <v>Nov</v>
      </c>
      <c r="G1051" s="11">
        <f t="shared" si="3"/>
        <v>22</v>
      </c>
      <c r="H1051" s="7">
        <f t="shared" si="4"/>
        <v>2014</v>
      </c>
      <c r="I1051" s="9">
        <v>41988.0</v>
      </c>
      <c r="J1051" s="11">
        <f t="shared" si="5"/>
        <v>23</v>
      </c>
      <c r="K1051" s="7" t="s">
        <v>382</v>
      </c>
      <c r="L1051" s="7" t="s">
        <v>113</v>
      </c>
      <c r="M1051" s="7" t="str">
        <f>VLOOKUP(L1051,countries, 2,false)</f>
        <v>Belgium</v>
      </c>
      <c r="N1051" s="7" t="str">
        <f>VLOOKUP(L1051,countries, 4,false)</f>
        <v>Europe</v>
      </c>
      <c r="O1051" s="7" t="str">
        <f>VLOOKUP(L1051,countries, 5,false)</f>
        <v>Western Europe</v>
      </c>
      <c r="P1051" s="7" t="s">
        <v>212</v>
      </c>
      <c r="Q1051" s="7">
        <v>6728.0</v>
      </c>
      <c r="R1051" s="12">
        <v>205.7</v>
      </c>
      <c r="S1051" s="12">
        <v>117.11</v>
      </c>
      <c r="T1051" s="13">
        <f t="shared" si="6"/>
        <v>1383949.6</v>
      </c>
      <c r="U1051" s="13">
        <f t="shared" si="7"/>
        <v>257290.67</v>
      </c>
      <c r="V1051" s="13">
        <f t="shared" si="8"/>
        <v>1126658.93</v>
      </c>
      <c r="W1051" s="14">
        <f>Q1051/totals!B$2</f>
        <v>0.001023032836</v>
      </c>
      <c r="X1051" s="14">
        <f t="shared" si="9"/>
        <v>0.7851691866</v>
      </c>
      <c r="Y1051" s="14">
        <f>T1051/totals!B$5</f>
        <v>0.0008130695547</v>
      </c>
      <c r="Z1051" s="14">
        <f t="shared" si="10"/>
        <v>0.7862368066</v>
      </c>
      <c r="AA1051" s="14">
        <f>V1051/totals!B$4</f>
        <v>0.002246530729</v>
      </c>
      <c r="AB1051" s="14">
        <f t="shared" si="11"/>
        <v>0.7913864202</v>
      </c>
    </row>
    <row r="1052">
      <c r="A1052" s="7">
        <v>2103.0</v>
      </c>
      <c r="B1052" s="7" t="str">
        <f>VLOOKUP($A1052,product_category,2, False)</f>
        <v>Cereal</v>
      </c>
      <c r="C1052" s="7">
        <v>7.92178905E8</v>
      </c>
      <c r="D1052" s="9">
        <v>42889.0</v>
      </c>
      <c r="E1052" s="10">
        <f t="shared" si="1"/>
        <v>6</v>
      </c>
      <c r="F1052" s="10" t="str">
        <f t="shared" si="2"/>
        <v>Jun</v>
      </c>
      <c r="G1052" s="11">
        <f t="shared" si="3"/>
        <v>3</v>
      </c>
      <c r="H1052" s="7">
        <f t="shared" si="4"/>
        <v>2017</v>
      </c>
      <c r="I1052" s="9">
        <v>42937.0</v>
      </c>
      <c r="J1052" s="11">
        <f t="shared" si="5"/>
        <v>48</v>
      </c>
      <c r="K1052" s="7" t="s">
        <v>322</v>
      </c>
      <c r="L1052" s="7" t="s">
        <v>505</v>
      </c>
      <c r="M1052" s="7" t="str">
        <f>VLOOKUP(L1052,countries, 2,false)</f>
        <v>Monaco</v>
      </c>
      <c r="N1052" s="7" t="str">
        <f>VLOOKUP(L1052,countries, 4,false)</f>
        <v>Europe</v>
      </c>
      <c r="O1052" s="7" t="str">
        <f>VLOOKUP(L1052,countries, 5,false)</f>
        <v>Western Europe</v>
      </c>
      <c r="P1052" s="7" t="s">
        <v>129</v>
      </c>
      <c r="Q1052" s="7">
        <v>2197.0</v>
      </c>
      <c r="R1052" s="12">
        <v>205.7</v>
      </c>
      <c r="S1052" s="12">
        <v>117.11</v>
      </c>
      <c r="T1052" s="13">
        <f t="shared" si="6"/>
        <v>451922.9</v>
      </c>
      <c r="U1052" s="13">
        <f t="shared" si="7"/>
        <v>1910154.54</v>
      </c>
      <c r="V1052" s="13">
        <f t="shared" si="8"/>
        <v>-1458231.64</v>
      </c>
      <c r="W1052" s="14">
        <f>Q1052/totals!B$2</f>
        <v>0.0003340670543</v>
      </c>
      <c r="X1052" s="14">
        <f t="shared" si="9"/>
        <v>0.7855032537</v>
      </c>
      <c r="Y1052" s="14">
        <f>T1052/totals!B$5</f>
        <v>0.000265504431</v>
      </c>
      <c r="Z1052" s="14">
        <f t="shared" si="10"/>
        <v>0.786502311</v>
      </c>
      <c r="AA1052" s="14">
        <f>V1052/totals!B$4</f>
        <v>-0.002907678714</v>
      </c>
      <c r="AB1052" s="14">
        <f t="shared" si="11"/>
        <v>0.7884787415</v>
      </c>
    </row>
    <row r="1053">
      <c r="A1053" s="7">
        <v>7940.0</v>
      </c>
      <c r="B1053" s="7" t="str">
        <f>VLOOKUP($A1053,product_category,2, False)</f>
        <v>Household</v>
      </c>
      <c r="C1053" s="7">
        <v>7.92792594E8</v>
      </c>
      <c r="D1053" s="9">
        <v>42333.0</v>
      </c>
      <c r="E1053" s="10">
        <f t="shared" si="1"/>
        <v>11</v>
      </c>
      <c r="F1053" s="10" t="str">
        <f t="shared" si="2"/>
        <v>Nov</v>
      </c>
      <c r="G1053" s="11">
        <f t="shared" si="3"/>
        <v>25</v>
      </c>
      <c r="H1053" s="7">
        <f t="shared" si="4"/>
        <v>2015</v>
      </c>
      <c r="I1053" s="9">
        <v>42371.0</v>
      </c>
      <c r="J1053" s="11">
        <f t="shared" si="5"/>
        <v>38</v>
      </c>
      <c r="K1053" s="7" t="s">
        <v>110</v>
      </c>
      <c r="L1053" s="7" t="e">
        <v>#N/A</v>
      </c>
      <c r="M1053" s="7"/>
      <c r="N1053" s="7"/>
      <c r="O1053" s="7"/>
      <c r="P1053" s="7" t="s">
        <v>212</v>
      </c>
      <c r="Q1053" s="7">
        <v>3801.0</v>
      </c>
      <c r="R1053" s="12">
        <v>668.27</v>
      </c>
      <c r="S1053" s="12">
        <v>502.54</v>
      </c>
      <c r="T1053" s="13">
        <f t="shared" si="6"/>
        <v>2540094.27</v>
      </c>
      <c r="U1053" s="13">
        <f t="shared" si="7"/>
        <v>281341.5</v>
      </c>
      <c r="V1053" s="13">
        <f t="shared" si="8"/>
        <v>2258752.77</v>
      </c>
      <c r="W1053" s="14">
        <f>Q1053/totals!B$2</f>
        <v>0.0005779648945</v>
      </c>
      <c r="X1053" s="14">
        <f t="shared" si="9"/>
        <v>0.7860812186</v>
      </c>
      <c r="Y1053" s="14">
        <f>T1053/totals!B$5</f>
        <v>0.001492303851</v>
      </c>
      <c r="Z1053" s="14">
        <f t="shared" si="10"/>
        <v>0.7879946149</v>
      </c>
      <c r="AA1053" s="14">
        <f>V1053/totals!B$4</f>
        <v>0.004503898537</v>
      </c>
      <c r="AB1053" s="14">
        <f t="shared" si="11"/>
        <v>0.79298264</v>
      </c>
    </row>
    <row r="1054">
      <c r="A1054" s="7">
        <v>1270.0</v>
      </c>
      <c r="B1054" s="7" t="str">
        <f>VLOOKUP($A1054,product_category,2, False)</f>
        <v>Beverages</v>
      </c>
      <c r="C1054" s="7">
        <v>7.95141351E8</v>
      </c>
      <c r="D1054" s="9">
        <v>40229.0</v>
      </c>
      <c r="E1054" s="10">
        <f t="shared" si="1"/>
        <v>2</v>
      </c>
      <c r="F1054" s="10" t="str">
        <f t="shared" si="2"/>
        <v>Feb</v>
      </c>
      <c r="G1054" s="11">
        <f t="shared" si="3"/>
        <v>20</v>
      </c>
      <c r="H1054" s="7">
        <f t="shared" si="4"/>
        <v>2010</v>
      </c>
      <c r="I1054" s="9">
        <v>40233.0</v>
      </c>
      <c r="J1054" s="11">
        <f t="shared" si="5"/>
        <v>4</v>
      </c>
      <c r="K1054" s="7" t="s">
        <v>382</v>
      </c>
      <c r="L1054" s="7" t="s">
        <v>316</v>
      </c>
      <c r="M1054" s="7" t="str">
        <f>VLOOKUP(L1054,countries, 2,false)</f>
        <v>Greece</v>
      </c>
      <c r="N1054" s="7" t="str">
        <f>VLOOKUP(L1054,countries, 4,false)</f>
        <v>Europe</v>
      </c>
      <c r="O1054" s="7" t="str">
        <f>VLOOKUP(L1054,countries, 5,false)</f>
        <v>Southern Europe</v>
      </c>
      <c r="P1054" s="7" t="s">
        <v>212</v>
      </c>
      <c r="Q1054" s="7">
        <v>8850.0</v>
      </c>
      <c r="R1054" s="12">
        <v>47.45</v>
      </c>
      <c r="S1054" s="12">
        <v>31.79</v>
      </c>
      <c r="T1054" s="13">
        <f t="shared" si="6"/>
        <v>419932.5</v>
      </c>
      <c r="U1054" s="13">
        <f t="shared" si="7"/>
        <v>2476609.79</v>
      </c>
      <c r="V1054" s="13">
        <f t="shared" si="8"/>
        <v>-2056677.29</v>
      </c>
      <c r="W1054" s="14">
        <f>Q1054/totals!B$2</f>
        <v>0.00134569569</v>
      </c>
      <c r="X1054" s="14">
        <f t="shared" si="9"/>
        <v>0.7874269143</v>
      </c>
      <c r="Y1054" s="14">
        <f>T1054/totals!B$5</f>
        <v>0.0002467100903</v>
      </c>
      <c r="Z1054" s="14">
        <f t="shared" si="10"/>
        <v>0.7882413249</v>
      </c>
      <c r="AA1054" s="14">
        <f>V1054/totals!B$4</f>
        <v>-0.004100964905</v>
      </c>
      <c r="AB1054" s="14">
        <f t="shared" si="11"/>
        <v>0.7888816751</v>
      </c>
    </row>
    <row r="1055">
      <c r="A1055" s="7">
        <v>8875.0</v>
      </c>
      <c r="B1055" s="7" t="str">
        <f>VLOOKUP($A1055,product_category,2, False)</f>
        <v>Meat</v>
      </c>
      <c r="C1055" s="7">
        <v>7.96418511E8</v>
      </c>
      <c r="D1055" s="9">
        <v>42778.0</v>
      </c>
      <c r="E1055" s="10">
        <f t="shared" si="1"/>
        <v>2</v>
      </c>
      <c r="F1055" s="10" t="str">
        <f t="shared" si="2"/>
        <v>Feb</v>
      </c>
      <c r="G1055" s="11">
        <f t="shared" si="3"/>
        <v>12</v>
      </c>
      <c r="H1055" s="7">
        <f t="shared" si="4"/>
        <v>2017</v>
      </c>
      <c r="I1055" s="9">
        <v>42817.0</v>
      </c>
      <c r="J1055" s="11">
        <f t="shared" si="5"/>
        <v>39</v>
      </c>
      <c r="K1055" s="7" t="s">
        <v>322</v>
      </c>
      <c r="L1055" s="7" t="s">
        <v>460</v>
      </c>
      <c r="M1055" s="7" t="str">
        <f>VLOOKUP(L1055,countries, 2,false)</f>
        <v>Macedonia</v>
      </c>
      <c r="N1055" s="7" t="str">
        <f>VLOOKUP(L1055,countries, 4,false)</f>
        <v>Europe</v>
      </c>
      <c r="O1055" s="7" t="str">
        <f>VLOOKUP(L1055,countries, 5,false)</f>
        <v>Southern Europe</v>
      </c>
      <c r="P1055" s="7" t="s">
        <v>129</v>
      </c>
      <c r="Q1055" s="7">
        <v>6791.0</v>
      </c>
      <c r="R1055" s="12">
        <v>421.89</v>
      </c>
      <c r="S1055" s="12">
        <v>364.69</v>
      </c>
      <c r="T1055" s="13">
        <f t="shared" si="6"/>
        <v>2865054.99</v>
      </c>
      <c r="U1055" s="13">
        <f t="shared" si="7"/>
        <v>276096.15</v>
      </c>
      <c r="V1055" s="13">
        <f t="shared" si="8"/>
        <v>2588958.84</v>
      </c>
      <c r="W1055" s="14">
        <f>Q1055/totals!B$2</f>
        <v>0.001032612365</v>
      </c>
      <c r="X1055" s="14">
        <f t="shared" si="9"/>
        <v>0.7884595266</v>
      </c>
      <c r="Y1055" s="14">
        <f>T1055/totals!B$5</f>
        <v>0.001683218077</v>
      </c>
      <c r="Z1055" s="14">
        <f t="shared" si="10"/>
        <v>0.789924543</v>
      </c>
      <c r="AA1055" s="14">
        <f>V1055/totals!B$4</f>
        <v>0.005162321476</v>
      </c>
      <c r="AB1055" s="14">
        <f t="shared" si="11"/>
        <v>0.7940439966</v>
      </c>
    </row>
    <row r="1056">
      <c r="A1056" s="7">
        <v>1270.0</v>
      </c>
      <c r="B1056" s="7" t="str">
        <f>VLOOKUP($A1056,product_category,2, False)</f>
        <v>Beverages</v>
      </c>
      <c r="C1056" s="7">
        <v>7.97202146E8</v>
      </c>
      <c r="D1056" s="9">
        <v>41557.0</v>
      </c>
      <c r="E1056" s="10">
        <f t="shared" si="1"/>
        <v>10</v>
      </c>
      <c r="F1056" s="10" t="str">
        <f t="shared" si="2"/>
        <v>Oct</v>
      </c>
      <c r="G1056" s="11">
        <f t="shared" si="3"/>
        <v>10</v>
      </c>
      <c r="H1056" s="7">
        <f t="shared" si="4"/>
        <v>2013</v>
      </c>
      <c r="I1056" s="9">
        <v>41595.0</v>
      </c>
      <c r="J1056" s="11">
        <f t="shared" si="5"/>
        <v>38</v>
      </c>
      <c r="K1056" s="7" t="s">
        <v>110</v>
      </c>
      <c r="L1056" s="7" t="s">
        <v>612</v>
      </c>
      <c r="M1056" s="7" t="str">
        <f>VLOOKUP(L1056,countries, 2,false)</f>
        <v>Russia</v>
      </c>
      <c r="N1056" s="7" t="str">
        <f>VLOOKUP(L1056,countries, 4,false)</f>
        <v>Europe</v>
      </c>
      <c r="O1056" s="7" t="str">
        <f>VLOOKUP(L1056,countries, 5,false)</f>
        <v>Eastern Europe</v>
      </c>
      <c r="P1056" s="7" t="s">
        <v>129</v>
      </c>
      <c r="Q1056" s="7">
        <v>8685.0</v>
      </c>
      <c r="R1056" s="12">
        <v>47.45</v>
      </c>
      <c r="S1056" s="12">
        <v>31.79</v>
      </c>
      <c r="T1056" s="13">
        <f t="shared" si="6"/>
        <v>412103.25</v>
      </c>
      <c r="U1056" s="13">
        <f t="shared" si="7"/>
        <v>78394.14</v>
      </c>
      <c r="V1056" s="13">
        <f t="shared" si="8"/>
        <v>333709.11</v>
      </c>
      <c r="W1056" s="14">
        <f>Q1056/totals!B$2</f>
        <v>0.001320606448</v>
      </c>
      <c r="X1056" s="14">
        <f t="shared" si="9"/>
        <v>0.7897801331</v>
      </c>
      <c r="Y1056" s="14">
        <f>T1056/totals!B$5</f>
        <v>0.0002421104106</v>
      </c>
      <c r="Z1056" s="14">
        <f t="shared" si="10"/>
        <v>0.7901666534</v>
      </c>
      <c r="AA1056" s="14">
        <f>V1056/totals!B$4</f>
        <v>0.0006654079156</v>
      </c>
      <c r="AB1056" s="14">
        <f t="shared" si="11"/>
        <v>0.7947094045</v>
      </c>
    </row>
    <row r="1057">
      <c r="A1057" s="7">
        <v>1270.0</v>
      </c>
      <c r="B1057" s="7" t="str">
        <f>VLOOKUP($A1057,product_category,2, False)</f>
        <v>Beverages</v>
      </c>
      <c r="C1057" s="7">
        <v>7.973163E8</v>
      </c>
      <c r="D1057" s="9">
        <v>42703.0</v>
      </c>
      <c r="E1057" s="10">
        <f t="shared" si="1"/>
        <v>11</v>
      </c>
      <c r="F1057" s="10" t="str">
        <f t="shared" si="2"/>
        <v>Nov</v>
      </c>
      <c r="G1057" s="11">
        <f t="shared" si="3"/>
        <v>29</v>
      </c>
      <c r="H1057" s="7">
        <f t="shared" si="4"/>
        <v>2016</v>
      </c>
      <c r="I1057" s="9">
        <v>42703.0</v>
      </c>
      <c r="J1057" s="11">
        <f t="shared" si="5"/>
        <v>0</v>
      </c>
      <c r="K1057" s="7" t="s">
        <v>382</v>
      </c>
      <c r="L1057" s="7" t="s">
        <v>200</v>
      </c>
      <c r="M1057" s="7" t="str">
        <f>VLOOKUP(L1057,countries, 2,false)</f>
        <v>Serbia</v>
      </c>
      <c r="N1057" s="7" t="str">
        <f>VLOOKUP(L1057,countries, 4,false)</f>
        <v>Europe</v>
      </c>
      <c r="O1057" s="7" t="str">
        <f>VLOOKUP(L1057,countries, 5,false)</f>
        <v>Southern Europe</v>
      </c>
      <c r="P1057" s="7" t="s">
        <v>212</v>
      </c>
      <c r="Q1057" s="7">
        <v>2466.0</v>
      </c>
      <c r="R1057" s="12">
        <v>47.45</v>
      </c>
      <c r="S1057" s="12">
        <v>31.79</v>
      </c>
      <c r="T1057" s="13">
        <f t="shared" si="6"/>
        <v>117011.7</v>
      </c>
      <c r="U1057" s="13">
        <f t="shared" si="7"/>
        <v>171379.89</v>
      </c>
      <c r="V1057" s="13">
        <f t="shared" si="8"/>
        <v>-54368.19</v>
      </c>
      <c r="W1057" s="14">
        <f>Q1057/totals!B$2</f>
        <v>0.000374970121</v>
      </c>
      <c r="X1057" s="14">
        <f t="shared" si="9"/>
        <v>0.7901551032</v>
      </c>
      <c r="Y1057" s="14">
        <f>T1057/totals!B$5</f>
        <v>0.00006874430313</v>
      </c>
      <c r="Z1057" s="14">
        <f t="shared" si="10"/>
        <v>0.7902353977</v>
      </c>
      <c r="AA1057" s="14">
        <f>V1057/totals!B$4</f>
        <v>-0.0001084088594</v>
      </c>
      <c r="AB1057" s="14">
        <f t="shared" si="11"/>
        <v>0.7946009956</v>
      </c>
    </row>
    <row r="1058">
      <c r="A1058" s="7">
        <v>1270.0</v>
      </c>
      <c r="B1058" s="7" t="str">
        <f>VLOOKUP($A1058,product_category,2, False)</f>
        <v>Beverages</v>
      </c>
      <c r="C1058" s="7">
        <v>7.97461354E8</v>
      </c>
      <c r="D1058" s="9">
        <v>40208.0</v>
      </c>
      <c r="E1058" s="10">
        <f t="shared" si="1"/>
        <v>1</v>
      </c>
      <c r="F1058" s="10" t="str">
        <f t="shared" si="2"/>
        <v>Jan</v>
      </c>
      <c r="G1058" s="11">
        <f t="shared" si="3"/>
        <v>30</v>
      </c>
      <c r="H1058" s="7">
        <f t="shared" si="4"/>
        <v>2010</v>
      </c>
      <c r="I1058" s="9">
        <v>40214.0</v>
      </c>
      <c r="J1058" s="11">
        <f t="shared" si="5"/>
        <v>6</v>
      </c>
      <c r="K1058" s="7" t="s">
        <v>382</v>
      </c>
      <c r="L1058" s="7" t="s">
        <v>705</v>
      </c>
      <c r="M1058" s="7" t="str">
        <f>VLOOKUP(L1058,countries, 2,false)</f>
        <v>Switzerland</v>
      </c>
      <c r="N1058" s="7" t="str">
        <f>VLOOKUP(L1058,countries, 4,false)</f>
        <v>Europe</v>
      </c>
      <c r="O1058" s="7" t="str">
        <f>VLOOKUP(L1058,countries, 5,false)</f>
        <v>Western Europe</v>
      </c>
      <c r="P1058" s="7" t="s">
        <v>129</v>
      </c>
      <c r="Q1058" s="7">
        <v>5391.0</v>
      </c>
      <c r="R1058" s="12">
        <v>47.45</v>
      </c>
      <c r="S1058" s="12">
        <v>31.79</v>
      </c>
      <c r="T1058" s="13">
        <f t="shared" si="6"/>
        <v>255802.95</v>
      </c>
      <c r="U1058" s="13">
        <f t="shared" si="7"/>
        <v>171214.82</v>
      </c>
      <c r="V1058" s="13">
        <f t="shared" si="8"/>
        <v>84588.13</v>
      </c>
      <c r="W1058" s="14">
        <f>Q1058/totals!B$2</f>
        <v>0.0008197339506</v>
      </c>
      <c r="X1058" s="14">
        <f t="shared" si="9"/>
        <v>0.7909748372</v>
      </c>
      <c r="Y1058" s="14">
        <f>T1058/totals!B$5</f>
        <v>0.0001502840787</v>
      </c>
      <c r="Z1058" s="14">
        <f t="shared" si="10"/>
        <v>0.7903856818</v>
      </c>
      <c r="AA1058" s="14">
        <f>V1058/totals!B$4</f>
        <v>0.0001686666908</v>
      </c>
      <c r="AB1058" s="14">
        <f t="shared" si="11"/>
        <v>0.7947696623</v>
      </c>
    </row>
    <row r="1059">
      <c r="A1059" s="7">
        <v>2103.0</v>
      </c>
      <c r="B1059" s="7" t="str">
        <f>VLOOKUP($A1059,product_category,2, False)</f>
        <v>Cereal</v>
      </c>
      <c r="C1059" s="7">
        <v>7.97718417E8</v>
      </c>
      <c r="D1059" s="9">
        <v>40418.0</v>
      </c>
      <c r="E1059" s="10">
        <f t="shared" si="1"/>
        <v>8</v>
      </c>
      <c r="F1059" s="10" t="str">
        <f t="shared" si="2"/>
        <v>Aug</v>
      </c>
      <c r="G1059" s="11">
        <f t="shared" si="3"/>
        <v>28</v>
      </c>
      <c r="H1059" s="7">
        <f t="shared" si="4"/>
        <v>2010</v>
      </c>
      <c r="I1059" s="9">
        <v>40466.0</v>
      </c>
      <c r="J1059" s="11">
        <f t="shared" si="5"/>
        <v>48</v>
      </c>
      <c r="K1059" s="7" t="s">
        <v>322</v>
      </c>
      <c r="L1059" s="7" t="s">
        <v>286</v>
      </c>
      <c r="M1059" s="7" t="str">
        <f>VLOOKUP(L1059,countries, 2,false)</f>
        <v>France</v>
      </c>
      <c r="N1059" s="7" t="str">
        <f>VLOOKUP(L1059,countries, 4,false)</f>
        <v>Europe</v>
      </c>
      <c r="O1059" s="7" t="str">
        <f>VLOOKUP(L1059,countries, 5,false)</f>
        <v>Western Europe</v>
      </c>
      <c r="P1059" s="7" t="s">
        <v>212</v>
      </c>
      <c r="Q1059" s="7">
        <v>1462.0</v>
      </c>
      <c r="R1059" s="12">
        <v>205.7</v>
      </c>
      <c r="S1059" s="12">
        <v>117.11</v>
      </c>
      <c r="T1059" s="13">
        <f t="shared" si="6"/>
        <v>300733.4</v>
      </c>
      <c r="U1059" s="13">
        <f t="shared" si="7"/>
        <v>1134963.52</v>
      </c>
      <c r="V1059" s="13">
        <f t="shared" si="8"/>
        <v>-834230.12</v>
      </c>
      <c r="W1059" s="14">
        <f>Q1059/totals!B$2</f>
        <v>0.0002223058868</v>
      </c>
      <c r="X1059" s="14">
        <f t="shared" si="9"/>
        <v>0.7911971431</v>
      </c>
      <c r="Y1059" s="14">
        <f>T1059/totals!B$5</f>
        <v>0.000176680691</v>
      </c>
      <c r="Z1059" s="14">
        <f t="shared" si="10"/>
        <v>0.7905623625</v>
      </c>
      <c r="AA1059" s="14">
        <f>V1059/totals!B$4</f>
        <v>-0.001663434736</v>
      </c>
      <c r="AB1059" s="14">
        <f t="shared" si="11"/>
        <v>0.7931062276</v>
      </c>
    </row>
    <row r="1060">
      <c r="A1060" s="7">
        <v>8681.0</v>
      </c>
      <c r="B1060" s="7" t="str">
        <f>VLOOKUP($A1060,product_category,2, False)</f>
        <v>Office Supplies</v>
      </c>
      <c r="C1060" s="7">
        <v>7.97788369E8</v>
      </c>
      <c r="D1060" s="9">
        <v>42701.0</v>
      </c>
      <c r="E1060" s="10">
        <f t="shared" si="1"/>
        <v>11</v>
      </c>
      <c r="F1060" s="10" t="str">
        <f t="shared" si="2"/>
        <v>Nov</v>
      </c>
      <c r="G1060" s="11">
        <f t="shared" si="3"/>
        <v>27</v>
      </c>
      <c r="H1060" s="7">
        <f t="shared" si="4"/>
        <v>2016</v>
      </c>
      <c r="I1060" s="9">
        <v>42702.0</v>
      </c>
      <c r="J1060" s="11">
        <f t="shared" si="5"/>
        <v>1</v>
      </c>
      <c r="K1060" s="7" t="s">
        <v>322</v>
      </c>
      <c r="L1060" s="7" t="e">
        <v>#N/A</v>
      </c>
      <c r="M1060" s="7"/>
      <c r="N1060" s="7"/>
      <c r="O1060" s="7"/>
      <c r="P1060" s="7" t="s">
        <v>129</v>
      </c>
      <c r="Q1060" s="7">
        <v>2162.0</v>
      </c>
      <c r="R1060" s="12">
        <v>651.21</v>
      </c>
      <c r="S1060" s="12">
        <v>524.96</v>
      </c>
      <c r="T1060" s="13">
        <f t="shared" si="6"/>
        <v>1407916.02</v>
      </c>
      <c r="U1060" s="13">
        <f t="shared" si="7"/>
        <v>114078.72</v>
      </c>
      <c r="V1060" s="13">
        <f t="shared" si="8"/>
        <v>1293837.3</v>
      </c>
      <c r="W1060" s="14">
        <f>Q1060/totals!B$2</f>
        <v>0.0003287450939</v>
      </c>
      <c r="X1060" s="14">
        <f t="shared" si="9"/>
        <v>0.7915258881</v>
      </c>
      <c r="Y1060" s="14">
        <f>T1060/totals!B$5</f>
        <v>0.000827149812</v>
      </c>
      <c r="Z1060" s="14">
        <f t="shared" si="10"/>
        <v>0.7913895123</v>
      </c>
      <c r="AA1060" s="14">
        <f>V1060/totals!B$4</f>
        <v>0.002579880366</v>
      </c>
      <c r="AB1060" s="14">
        <f t="shared" si="11"/>
        <v>0.7956861079</v>
      </c>
    </row>
    <row r="1061">
      <c r="A1061" s="7">
        <v>2455.0</v>
      </c>
      <c r="B1061" s="7" t="str">
        <f>VLOOKUP($A1061,product_category,2, False)</f>
        <v>Clothes</v>
      </c>
      <c r="C1061" s="7">
        <v>7.99109733E8</v>
      </c>
      <c r="D1061" s="9">
        <v>41347.0</v>
      </c>
      <c r="E1061" s="10">
        <f t="shared" si="1"/>
        <v>3</v>
      </c>
      <c r="F1061" s="10" t="str">
        <f t="shared" si="2"/>
        <v>Mar</v>
      </c>
      <c r="G1061" s="11">
        <f t="shared" si="3"/>
        <v>14</v>
      </c>
      <c r="H1061" s="7">
        <f t="shared" si="4"/>
        <v>2013</v>
      </c>
      <c r="I1061" s="9">
        <v>41393.0</v>
      </c>
      <c r="J1061" s="11">
        <f t="shared" si="5"/>
        <v>46</v>
      </c>
      <c r="K1061" s="7" t="s">
        <v>198</v>
      </c>
      <c r="L1061" s="7" t="s">
        <v>460</v>
      </c>
      <c r="M1061" s="7" t="str">
        <f>VLOOKUP(L1061,countries, 2,false)</f>
        <v>Macedonia</v>
      </c>
      <c r="N1061" s="7" t="str">
        <f>VLOOKUP(L1061,countries, 4,false)</f>
        <v>Europe</v>
      </c>
      <c r="O1061" s="7" t="str">
        <f>VLOOKUP(L1061,countries, 5,false)</f>
        <v>Southern Europe</v>
      </c>
      <c r="P1061" s="7" t="s">
        <v>129</v>
      </c>
      <c r="Q1061" s="7">
        <v>3183.0</v>
      </c>
      <c r="R1061" s="12">
        <v>109.28</v>
      </c>
      <c r="S1061" s="12">
        <v>35.84</v>
      </c>
      <c r="T1061" s="13">
        <f t="shared" si="6"/>
        <v>347838.24</v>
      </c>
      <c r="U1061" s="13">
        <f t="shared" si="7"/>
        <v>875927.22</v>
      </c>
      <c r="V1061" s="13">
        <f t="shared" si="8"/>
        <v>-528088.98</v>
      </c>
      <c r="W1061" s="14">
        <f>Q1061/totals!B$2</f>
        <v>0.0004839942803</v>
      </c>
      <c r="X1061" s="14">
        <f t="shared" si="9"/>
        <v>0.7920098824</v>
      </c>
      <c r="Y1061" s="14">
        <f>T1061/totals!B$5</f>
        <v>0.0002043547561</v>
      </c>
      <c r="Z1061" s="14">
        <f t="shared" si="10"/>
        <v>0.7915938671</v>
      </c>
      <c r="AA1061" s="14">
        <f>V1061/totals!B$4</f>
        <v>-0.001052996687</v>
      </c>
      <c r="AB1061" s="14">
        <f t="shared" si="11"/>
        <v>0.7946331113</v>
      </c>
    </row>
    <row r="1062">
      <c r="A1062" s="7">
        <v>7940.0</v>
      </c>
      <c r="B1062" s="7" t="str">
        <f>VLOOKUP($A1062,product_category,2, False)</f>
        <v>Household</v>
      </c>
      <c r="C1062" s="7">
        <v>7.99848306E8</v>
      </c>
      <c r="D1062" s="9">
        <v>42440.0</v>
      </c>
      <c r="E1062" s="10">
        <f t="shared" si="1"/>
        <v>3</v>
      </c>
      <c r="F1062" s="10" t="str">
        <f t="shared" si="2"/>
        <v>Mar</v>
      </c>
      <c r="G1062" s="11">
        <f t="shared" si="3"/>
        <v>11</v>
      </c>
      <c r="H1062" s="7">
        <f t="shared" si="4"/>
        <v>2016</v>
      </c>
      <c r="I1062" s="9">
        <v>42483.0</v>
      </c>
      <c r="J1062" s="11">
        <f t="shared" si="5"/>
        <v>43</v>
      </c>
      <c r="K1062" s="7" t="s">
        <v>198</v>
      </c>
      <c r="L1062" s="7" t="s">
        <v>316</v>
      </c>
      <c r="M1062" s="7" t="str">
        <f>VLOOKUP(L1062,countries, 2,false)</f>
        <v>Greece</v>
      </c>
      <c r="N1062" s="7" t="str">
        <f>VLOOKUP(L1062,countries, 4,false)</f>
        <v>Europe</v>
      </c>
      <c r="O1062" s="7" t="str">
        <f>VLOOKUP(L1062,countries, 5,false)</f>
        <v>Southern Europe</v>
      </c>
      <c r="P1062" s="7" t="s">
        <v>212</v>
      </c>
      <c r="Q1062" s="7">
        <v>1743.0</v>
      </c>
      <c r="R1062" s="12">
        <v>668.27</v>
      </c>
      <c r="S1062" s="12">
        <v>502.54</v>
      </c>
      <c r="T1062" s="13">
        <f t="shared" si="6"/>
        <v>1164794.61</v>
      </c>
      <c r="U1062" s="13">
        <f t="shared" si="7"/>
        <v>9123.87</v>
      </c>
      <c r="V1062" s="13">
        <f t="shared" si="8"/>
        <v>1155670.74</v>
      </c>
      <c r="W1062" s="14">
        <f>Q1062/totals!B$2</f>
        <v>0.0002650336257</v>
      </c>
      <c r="X1062" s="14">
        <f t="shared" si="9"/>
        <v>0.792274916</v>
      </c>
      <c r="Y1062" s="14">
        <f>T1062/totals!B$5</f>
        <v>0.0006843161304</v>
      </c>
      <c r="Z1062" s="14">
        <f t="shared" si="10"/>
        <v>0.7922781832</v>
      </c>
      <c r="AA1062" s="14">
        <f>V1062/totals!B$4</f>
        <v>0.002304379578</v>
      </c>
      <c r="AB1062" s="14">
        <f t="shared" si="11"/>
        <v>0.7969374908</v>
      </c>
    </row>
    <row r="1063">
      <c r="A1063" s="7">
        <v>3127.0</v>
      </c>
      <c r="B1063" s="7" t="str">
        <f>VLOOKUP($A1063,product_category,2, False)</f>
        <v>Personal Care</v>
      </c>
      <c r="C1063" s="7">
        <v>8.00045716E8</v>
      </c>
      <c r="D1063" s="9">
        <v>42841.0</v>
      </c>
      <c r="E1063" s="10">
        <f t="shared" si="1"/>
        <v>4</v>
      </c>
      <c r="F1063" s="10" t="str">
        <f t="shared" si="2"/>
        <v>Apr</v>
      </c>
      <c r="G1063" s="11">
        <f t="shared" si="3"/>
        <v>16</v>
      </c>
      <c r="H1063" s="7">
        <f t="shared" si="4"/>
        <v>2017</v>
      </c>
      <c r="I1063" s="9">
        <v>42869.0</v>
      </c>
      <c r="J1063" s="11">
        <f t="shared" si="5"/>
        <v>28</v>
      </c>
      <c r="K1063" s="7" t="s">
        <v>110</v>
      </c>
      <c r="L1063" s="7" t="s">
        <v>316</v>
      </c>
      <c r="M1063" s="7" t="str">
        <f>VLOOKUP(L1063,countries, 2,false)</f>
        <v>Greece</v>
      </c>
      <c r="N1063" s="7" t="str">
        <f>VLOOKUP(L1063,countries, 4,false)</f>
        <v>Europe</v>
      </c>
      <c r="O1063" s="7" t="str">
        <f>VLOOKUP(L1063,countries, 5,false)</f>
        <v>Southern Europe</v>
      </c>
      <c r="P1063" s="7" t="s">
        <v>129</v>
      </c>
      <c r="Q1063" s="7">
        <v>161.0</v>
      </c>
      <c r="R1063" s="12">
        <v>81.73</v>
      </c>
      <c r="S1063" s="12">
        <v>56.67</v>
      </c>
      <c r="T1063" s="13">
        <f t="shared" si="6"/>
        <v>13158.53</v>
      </c>
      <c r="U1063" s="13">
        <f t="shared" si="7"/>
        <v>87565.59</v>
      </c>
      <c r="V1063" s="13">
        <f t="shared" si="8"/>
        <v>-74407.06</v>
      </c>
      <c r="W1063" s="14">
        <f>Q1063/totals!B$2</f>
        <v>0.00002448101763</v>
      </c>
      <c r="X1063" s="14">
        <f t="shared" si="9"/>
        <v>0.7922993971</v>
      </c>
      <c r="Y1063" s="14">
        <f>T1063/totals!B$5</f>
        <v>0.000007730628433</v>
      </c>
      <c r="Z1063" s="14">
        <f t="shared" si="10"/>
        <v>0.7922859138</v>
      </c>
      <c r="AA1063" s="14">
        <f>V1063/totals!B$4</f>
        <v>-0.0001483658828</v>
      </c>
      <c r="AB1063" s="14">
        <f t="shared" si="11"/>
        <v>0.796789125</v>
      </c>
    </row>
    <row r="1064">
      <c r="A1064" s="7">
        <v>5988.0</v>
      </c>
      <c r="B1064" s="7" t="str">
        <f>VLOOKUP($A1064,product_category,2, False)</f>
        <v>Vegetables</v>
      </c>
      <c r="C1064" s="7">
        <v>8.00352561E8</v>
      </c>
      <c r="D1064" s="9">
        <v>41180.0</v>
      </c>
      <c r="E1064" s="10">
        <f t="shared" si="1"/>
        <v>9</v>
      </c>
      <c r="F1064" s="10" t="str">
        <f t="shared" si="2"/>
        <v>Sep</v>
      </c>
      <c r="G1064" s="11">
        <f t="shared" si="3"/>
        <v>28</v>
      </c>
      <c r="H1064" s="7">
        <f t="shared" si="4"/>
        <v>2012</v>
      </c>
      <c r="I1064" s="9">
        <v>41203.0</v>
      </c>
      <c r="J1064" s="11">
        <f t="shared" si="5"/>
        <v>23</v>
      </c>
      <c r="K1064" s="7" t="s">
        <v>382</v>
      </c>
      <c r="L1064" s="7" t="s">
        <v>283</v>
      </c>
      <c r="M1064" s="7" t="str">
        <f>VLOOKUP(L1064,countries, 2,false)</f>
        <v>Finland</v>
      </c>
      <c r="N1064" s="7" t="str">
        <f>VLOOKUP(L1064,countries, 4,false)</f>
        <v>Europe</v>
      </c>
      <c r="O1064" s="7" t="str">
        <f>VLOOKUP(L1064,countries, 5,false)</f>
        <v>Northern Europe</v>
      </c>
      <c r="P1064" s="7" t="s">
        <v>129</v>
      </c>
      <c r="Q1064" s="7">
        <v>963.0</v>
      </c>
      <c r="R1064" s="12">
        <v>154.06</v>
      </c>
      <c r="S1064" s="12">
        <v>90.93</v>
      </c>
      <c r="T1064" s="13">
        <f t="shared" si="6"/>
        <v>148359.78</v>
      </c>
      <c r="U1064" s="13">
        <f t="shared" si="7"/>
        <v>1807497.12</v>
      </c>
      <c r="V1064" s="13">
        <f t="shared" si="8"/>
        <v>-1659137.34</v>
      </c>
      <c r="W1064" s="14">
        <f>Q1064/totals!B$2</f>
        <v>0.0001464299378</v>
      </c>
      <c r="X1064" s="14">
        <f t="shared" si="9"/>
        <v>0.792445827</v>
      </c>
      <c r="Y1064" s="14">
        <f>T1064/totals!B$5</f>
        <v>0.00008716128121</v>
      </c>
      <c r="Z1064" s="14">
        <f t="shared" si="10"/>
        <v>0.7923730751</v>
      </c>
      <c r="AA1064" s="14">
        <f>V1064/totals!B$4</f>
        <v>-0.003308279834</v>
      </c>
      <c r="AB1064" s="14">
        <f t="shared" si="11"/>
        <v>0.7934808451</v>
      </c>
    </row>
    <row r="1065">
      <c r="A1065" s="7">
        <v>8293.0</v>
      </c>
      <c r="B1065" s="7" t="str">
        <f>VLOOKUP($A1065,product_category,2, False)</f>
        <v>Cosmetics</v>
      </c>
      <c r="C1065" s="7">
        <v>8.01352488E8</v>
      </c>
      <c r="D1065" s="9">
        <v>42130.0</v>
      </c>
      <c r="E1065" s="10">
        <f t="shared" si="1"/>
        <v>5</v>
      </c>
      <c r="F1065" s="10" t="str">
        <f t="shared" si="2"/>
        <v>May</v>
      </c>
      <c r="G1065" s="11">
        <f t="shared" si="3"/>
        <v>6</v>
      </c>
      <c r="H1065" s="7">
        <f t="shared" si="4"/>
        <v>2015</v>
      </c>
      <c r="I1065" s="9">
        <v>42147.0</v>
      </c>
      <c r="J1065" s="11">
        <f t="shared" si="5"/>
        <v>17</v>
      </c>
      <c r="K1065" s="7" t="s">
        <v>110</v>
      </c>
      <c r="L1065" s="7" t="s">
        <v>762</v>
      </c>
      <c r="M1065" s="7" t="str">
        <f>VLOOKUP(L1065,countries, 2,false)</f>
        <v>United Kingdom</v>
      </c>
      <c r="N1065" s="7" t="str">
        <f>VLOOKUP(L1065,countries, 4,false)</f>
        <v>Europe</v>
      </c>
      <c r="O1065" s="7" t="str">
        <f>VLOOKUP(L1065,countries, 5,false)</f>
        <v>Northern Europe</v>
      </c>
      <c r="P1065" s="7" t="s">
        <v>212</v>
      </c>
      <c r="Q1065" s="7">
        <v>6864.0</v>
      </c>
      <c r="R1065" s="12">
        <v>437.2</v>
      </c>
      <c r="S1065" s="12">
        <v>263.33</v>
      </c>
      <c r="T1065" s="13">
        <f t="shared" si="6"/>
        <v>3000940.8</v>
      </c>
      <c r="U1065" s="13">
        <f t="shared" si="7"/>
        <v>593863.83</v>
      </c>
      <c r="V1065" s="13">
        <f t="shared" si="8"/>
        <v>2407076.97</v>
      </c>
      <c r="W1065" s="14">
        <f>Q1065/totals!B$2</f>
        <v>0.001043712454</v>
      </c>
      <c r="X1065" s="14">
        <f t="shared" si="9"/>
        <v>0.7934895395</v>
      </c>
      <c r="Y1065" s="14">
        <f>T1065/totals!B$5</f>
        <v>0.001763050909</v>
      </c>
      <c r="Z1065" s="14">
        <f t="shared" si="10"/>
        <v>0.794136126</v>
      </c>
      <c r="AA1065" s="14">
        <f>V1065/totals!B$4</f>
        <v>0.004799653414</v>
      </c>
      <c r="AB1065" s="14">
        <f t="shared" si="11"/>
        <v>0.7982804985</v>
      </c>
    </row>
    <row r="1066">
      <c r="A1066" s="7">
        <v>5988.0</v>
      </c>
      <c r="B1066" s="7" t="str">
        <f>VLOOKUP($A1066,product_category,2, False)</f>
        <v>Vegetables</v>
      </c>
      <c r="C1066" s="7">
        <v>8.01925837E8</v>
      </c>
      <c r="D1066" s="9">
        <v>41564.0</v>
      </c>
      <c r="E1066" s="10">
        <f t="shared" si="1"/>
        <v>10</v>
      </c>
      <c r="F1066" s="10" t="str">
        <f t="shared" si="2"/>
        <v>Oct</v>
      </c>
      <c r="G1066" s="11">
        <f t="shared" si="3"/>
        <v>17</v>
      </c>
      <c r="H1066" s="7">
        <f t="shared" si="4"/>
        <v>2013</v>
      </c>
      <c r="I1066" s="9">
        <v>41573.0</v>
      </c>
      <c r="J1066" s="11">
        <f t="shared" si="5"/>
        <v>9</v>
      </c>
      <c r="K1066" s="7" t="s">
        <v>198</v>
      </c>
      <c r="L1066" s="7" t="s">
        <v>448</v>
      </c>
      <c r="M1066" s="7" t="str">
        <f>VLOOKUP(L1066,countries, 2,false)</f>
        <v>Liechtenstein</v>
      </c>
      <c r="N1066" s="7" t="str">
        <f>VLOOKUP(L1066,countries, 4,false)</f>
        <v>Europe</v>
      </c>
      <c r="O1066" s="7" t="str">
        <f>VLOOKUP(L1066,countries, 5,false)</f>
        <v>Western Europe</v>
      </c>
      <c r="P1066" s="7" t="s">
        <v>212</v>
      </c>
      <c r="Q1066" s="7">
        <v>6531.0</v>
      </c>
      <c r="R1066" s="12">
        <v>154.06</v>
      </c>
      <c r="S1066" s="12">
        <v>90.93</v>
      </c>
      <c r="T1066" s="13">
        <f t="shared" si="6"/>
        <v>1006165.86</v>
      </c>
      <c r="U1066" s="13">
        <f t="shared" si="7"/>
        <v>399728.28</v>
      </c>
      <c r="V1066" s="13">
        <f t="shared" si="8"/>
        <v>606437.58</v>
      </c>
      <c r="W1066" s="14">
        <f>Q1066/totals!B$2</f>
        <v>0.0009930778022</v>
      </c>
      <c r="X1066" s="14">
        <f t="shared" si="9"/>
        <v>0.7944826173</v>
      </c>
      <c r="Y1066" s="14">
        <f>T1066/totals!B$5</f>
        <v>0.0005911218355</v>
      </c>
      <c r="Z1066" s="14">
        <f t="shared" si="10"/>
        <v>0.7947272479</v>
      </c>
      <c r="AA1066" s="14">
        <f>V1066/totals!B$4</f>
        <v>0.001209221906</v>
      </c>
      <c r="AB1066" s="14">
        <f t="shared" si="11"/>
        <v>0.7994897204</v>
      </c>
    </row>
    <row r="1067">
      <c r="A1067" s="7">
        <v>5988.0</v>
      </c>
      <c r="B1067" s="7" t="str">
        <f>VLOOKUP($A1067,product_category,2, False)</f>
        <v>Vegetables</v>
      </c>
      <c r="C1067" s="7">
        <v>8.05095136E8</v>
      </c>
      <c r="D1067" s="9">
        <v>40191.0</v>
      </c>
      <c r="E1067" s="10">
        <f t="shared" si="1"/>
        <v>1</v>
      </c>
      <c r="F1067" s="10" t="str">
        <f t="shared" si="2"/>
        <v>Jan</v>
      </c>
      <c r="G1067" s="11">
        <f t="shared" si="3"/>
        <v>13</v>
      </c>
      <c r="H1067" s="7">
        <f t="shared" si="4"/>
        <v>2010</v>
      </c>
      <c r="I1067" s="9">
        <v>40198.0</v>
      </c>
      <c r="J1067" s="11">
        <f t="shared" si="5"/>
        <v>7</v>
      </c>
      <c r="K1067" s="7" t="s">
        <v>322</v>
      </c>
      <c r="L1067" s="7" t="e">
        <v>#N/A</v>
      </c>
      <c r="M1067" s="7"/>
      <c r="N1067" s="7"/>
      <c r="O1067" s="7"/>
      <c r="P1067" s="7" t="s">
        <v>129</v>
      </c>
      <c r="Q1067" s="7">
        <v>4396.0</v>
      </c>
      <c r="R1067" s="12">
        <v>154.06</v>
      </c>
      <c r="S1067" s="12">
        <v>90.93</v>
      </c>
      <c r="T1067" s="13">
        <f t="shared" si="6"/>
        <v>677247.76</v>
      </c>
      <c r="U1067" s="13">
        <f t="shared" si="7"/>
        <v>1180771.72</v>
      </c>
      <c r="V1067" s="13">
        <f t="shared" si="8"/>
        <v>-503523.96</v>
      </c>
      <c r="W1067" s="14">
        <f>Q1067/totals!B$2</f>
        <v>0.0006684382206</v>
      </c>
      <c r="X1067" s="14">
        <f t="shared" si="9"/>
        <v>0.7951510555</v>
      </c>
      <c r="Y1067" s="14">
        <f>T1067/totals!B$5</f>
        <v>0.0003978826502</v>
      </c>
      <c r="Z1067" s="14">
        <f t="shared" si="10"/>
        <v>0.7951251305</v>
      </c>
      <c r="AA1067" s="14">
        <f>V1067/totals!B$4</f>
        <v>-0.00100401463</v>
      </c>
      <c r="AB1067" s="14">
        <f t="shared" si="11"/>
        <v>0.7984857058</v>
      </c>
    </row>
    <row r="1068">
      <c r="A1068" s="7">
        <v>8293.0</v>
      </c>
      <c r="B1068" s="7" t="str">
        <f>VLOOKUP($A1068,product_category,2, False)</f>
        <v>Cosmetics</v>
      </c>
      <c r="C1068" s="7">
        <v>8.05974042E8</v>
      </c>
      <c r="D1068" s="9">
        <v>41112.0</v>
      </c>
      <c r="E1068" s="10">
        <f t="shared" si="1"/>
        <v>7</v>
      </c>
      <c r="F1068" s="10" t="str">
        <f t="shared" si="2"/>
        <v>Jul</v>
      </c>
      <c r="G1068" s="11">
        <f t="shared" si="3"/>
        <v>22</v>
      </c>
      <c r="H1068" s="7">
        <f t="shared" si="4"/>
        <v>2012</v>
      </c>
      <c r="I1068" s="9">
        <v>41118.0</v>
      </c>
      <c r="J1068" s="11">
        <f t="shared" si="5"/>
        <v>6</v>
      </c>
      <c r="K1068" s="7" t="s">
        <v>110</v>
      </c>
      <c r="L1068" s="7" t="s">
        <v>237</v>
      </c>
      <c r="M1068" s="7" t="str">
        <f>VLOOKUP(L1068,countries, 2,false)</f>
        <v>Denmark</v>
      </c>
      <c r="N1068" s="7" t="str">
        <f>VLOOKUP(L1068,countries, 4,false)</f>
        <v>Europe</v>
      </c>
      <c r="O1068" s="7" t="str">
        <f>VLOOKUP(L1068,countries, 5,false)</f>
        <v>Northern Europe</v>
      </c>
      <c r="P1068" s="7" t="s">
        <v>212</v>
      </c>
      <c r="Q1068" s="7">
        <v>4484.0</v>
      </c>
      <c r="R1068" s="12">
        <v>437.2</v>
      </c>
      <c r="S1068" s="12">
        <v>263.33</v>
      </c>
      <c r="T1068" s="13">
        <f t="shared" si="6"/>
        <v>1960404.8</v>
      </c>
      <c r="U1068" s="13">
        <f t="shared" si="7"/>
        <v>103463.58</v>
      </c>
      <c r="V1068" s="13">
        <f t="shared" si="8"/>
        <v>1856941.22</v>
      </c>
      <c r="W1068" s="14">
        <f>Q1068/totals!B$2</f>
        <v>0.0006818191494</v>
      </c>
      <c r="X1068" s="14">
        <f t="shared" si="9"/>
        <v>0.7958328746</v>
      </c>
      <c r="Y1068" s="14">
        <f>T1068/totals!B$5</f>
        <v>0.001151736637</v>
      </c>
      <c r="Z1068" s="14">
        <f t="shared" si="10"/>
        <v>0.7962768671</v>
      </c>
      <c r="AA1068" s="14">
        <f>V1068/totals!B$4</f>
        <v>0.003702695999</v>
      </c>
      <c r="AB1068" s="14">
        <f t="shared" si="11"/>
        <v>0.8021884018</v>
      </c>
    </row>
    <row r="1069">
      <c r="A1069" s="7">
        <v>7331.0</v>
      </c>
      <c r="B1069" s="7" t="str">
        <f>VLOOKUP($A1069,product_category,2, False)</f>
        <v>Baby Food</v>
      </c>
      <c r="C1069" s="7">
        <v>8.06197631E8</v>
      </c>
      <c r="D1069" s="9">
        <v>40196.0</v>
      </c>
      <c r="E1069" s="10">
        <f t="shared" si="1"/>
        <v>1</v>
      </c>
      <c r="F1069" s="10" t="str">
        <f t="shared" si="2"/>
        <v>Jan</v>
      </c>
      <c r="G1069" s="11">
        <f t="shared" si="3"/>
        <v>18</v>
      </c>
      <c r="H1069" s="7">
        <f t="shared" si="4"/>
        <v>2010</v>
      </c>
      <c r="I1069" s="9">
        <v>40227.0</v>
      </c>
      <c r="J1069" s="11">
        <f t="shared" si="5"/>
        <v>31</v>
      </c>
      <c r="K1069" s="7" t="s">
        <v>110</v>
      </c>
      <c r="L1069" s="7" t="s">
        <v>231</v>
      </c>
      <c r="M1069" s="7" t="str">
        <f>VLOOKUP(L1069,countries, 2,false)</f>
        <v>Cyprus</v>
      </c>
      <c r="N1069" s="7" t="str">
        <f>VLOOKUP(L1069,countries, 4,false)</f>
        <v>Asia</v>
      </c>
      <c r="O1069" s="7" t="str">
        <f>VLOOKUP(L1069,countries, 5,false)</f>
        <v>Western Asia</v>
      </c>
      <c r="P1069" s="7" t="s">
        <v>129</v>
      </c>
      <c r="Q1069" s="7">
        <v>649.0</v>
      </c>
      <c r="R1069" s="12">
        <v>255.28</v>
      </c>
      <c r="S1069" s="12">
        <v>159.42</v>
      </c>
      <c r="T1069" s="13">
        <f t="shared" si="6"/>
        <v>165676.72</v>
      </c>
      <c r="U1069" s="13">
        <f t="shared" si="7"/>
        <v>958662.46</v>
      </c>
      <c r="V1069" s="13">
        <f t="shared" si="8"/>
        <v>-792985.74</v>
      </c>
      <c r="W1069" s="14">
        <f>Q1069/totals!B$2</f>
        <v>0.00009868435058</v>
      </c>
      <c r="X1069" s="14">
        <f t="shared" si="9"/>
        <v>0.795931559</v>
      </c>
      <c r="Y1069" s="14">
        <f>T1069/totals!B$5</f>
        <v>0.00009733497301</v>
      </c>
      <c r="Z1069" s="14">
        <f t="shared" si="10"/>
        <v>0.7963742021</v>
      </c>
      <c r="AA1069" s="14">
        <f>V1069/totals!B$4</f>
        <v>-0.001581194437</v>
      </c>
      <c r="AB1069" s="14">
        <f t="shared" si="11"/>
        <v>0.8006072074</v>
      </c>
    </row>
    <row r="1070">
      <c r="A1070" s="7">
        <v>2103.0</v>
      </c>
      <c r="B1070" s="7" t="str">
        <f>VLOOKUP($A1070,product_category,2, False)</f>
        <v>Cereal</v>
      </c>
      <c r="C1070" s="7">
        <v>8.06662404E8</v>
      </c>
      <c r="D1070" s="9">
        <v>40516.0</v>
      </c>
      <c r="E1070" s="10">
        <f t="shared" si="1"/>
        <v>12</v>
      </c>
      <c r="F1070" s="10" t="str">
        <f t="shared" si="2"/>
        <v>Dec</v>
      </c>
      <c r="G1070" s="11">
        <f t="shared" si="3"/>
        <v>4</v>
      </c>
      <c r="H1070" s="7">
        <f t="shared" si="4"/>
        <v>2010</v>
      </c>
      <c r="I1070" s="9">
        <v>40519.0</v>
      </c>
      <c r="J1070" s="11">
        <f t="shared" si="5"/>
        <v>3</v>
      </c>
      <c r="K1070" s="7" t="s">
        <v>382</v>
      </c>
      <c r="L1070" s="7" t="s">
        <v>540</v>
      </c>
      <c r="M1070" s="7" t="str">
        <f>VLOOKUP(L1070,countries, 2,false)</f>
        <v>Spain</v>
      </c>
      <c r="N1070" s="7" t="str">
        <f>VLOOKUP(L1070,countries, 4,false)</f>
        <v>Europe</v>
      </c>
      <c r="O1070" s="7" t="str">
        <f>VLOOKUP(L1070,countries, 5,false)</f>
        <v>Southern Europe</v>
      </c>
      <c r="P1070" s="7" t="s">
        <v>212</v>
      </c>
      <c r="Q1070" s="7">
        <v>8186.0</v>
      </c>
      <c r="R1070" s="12">
        <v>205.7</v>
      </c>
      <c r="S1070" s="12">
        <v>117.11</v>
      </c>
      <c r="T1070" s="13">
        <f t="shared" si="6"/>
        <v>1683860.2</v>
      </c>
      <c r="U1070" s="13">
        <f t="shared" si="7"/>
        <v>769085.94</v>
      </c>
      <c r="V1070" s="13">
        <f t="shared" si="8"/>
        <v>914774.26</v>
      </c>
      <c r="W1070" s="14">
        <f>Q1070/totals!B$2</f>
        <v>0.001244730499</v>
      </c>
      <c r="X1070" s="14">
        <f t="shared" si="9"/>
        <v>0.7971762895</v>
      </c>
      <c r="Y1070" s="14">
        <f>T1070/totals!B$5</f>
        <v>0.0009892668512</v>
      </c>
      <c r="Z1070" s="14">
        <f t="shared" si="10"/>
        <v>0.797363469</v>
      </c>
      <c r="AA1070" s="14">
        <f>V1070/totals!B$4</f>
        <v>0.001824037808</v>
      </c>
      <c r="AB1070" s="14">
        <f t="shared" si="11"/>
        <v>0.8024312452</v>
      </c>
    </row>
    <row r="1071">
      <c r="A1071" s="7">
        <v>5988.0</v>
      </c>
      <c r="B1071" s="7" t="str">
        <f>VLOOKUP($A1071,product_category,2, False)</f>
        <v>Vegetables</v>
      </c>
      <c r="C1071" s="7">
        <v>8.10752236E8</v>
      </c>
      <c r="D1071" s="9">
        <v>42457.0</v>
      </c>
      <c r="E1071" s="10">
        <f t="shared" si="1"/>
        <v>3</v>
      </c>
      <c r="F1071" s="10" t="str">
        <f t="shared" si="2"/>
        <v>Mar</v>
      </c>
      <c r="G1071" s="11">
        <f t="shared" si="3"/>
        <v>28</v>
      </c>
      <c r="H1071" s="7">
        <f t="shared" si="4"/>
        <v>2016</v>
      </c>
      <c r="I1071" s="9">
        <v>42494.0</v>
      </c>
      <c r="J1071" s="11">
        <f t="shared" si="5"/>
        <v>37</v>
      </c>
      <c r="K1071" s="7" t="s">
        <v>322</v>
      </c>
      <c r="L1071" s="7" t="e">
        <v>#N/A</v>
      </c>
      <c r="M1071" s="7"/>
      <c r="N1071" s="7"/>
      <c r="O1071" s="7"/>
      <c r="P1071" s="7" t="s">
        <v>129</v>
      </c>
      <c r="Q1071" s="7">
        <v>8458.0</v>
      </c>
      <c r="R1071" s="12">
        <v>154.06</v>
      </c>
      <c r="S1071" s="12">
        <v>90.93</v>
      </c>
      <c r="T1071" s="13">
        <f t="shared" si="6"/>
        <v>1303039.48</v>
      </c>
      <c r="U1071" s="13">
        <f t="shared" si="7"/>
        <v>238313.65</v>
      </c>
      <c r="V1071" s="13">
        <f t="shared" si="8"/>
        <v>1064725.83</v>
      </c>
      <c r="W1071" s="14">
        <f>Q1071/totals!B$2</f>
        <v>0.001286089734</v>
      </c>
      <c r="X1071" s="14">
        <f t="shared" si="9"/>
        <v>0.7984623792</v>
      </c>
      <c r="Y1071" s="14">
        <f>T1071/totals!B$5</f>
        <v>0.000765534908</v>
      </c>
      <c r="Z1071" s="14">
        <f t="shared" si="10"/>
        <v>0.7981290039</v>
      </c>
      <c r="AA1071" s="14">
        <f>V1071/totals!B$4</f>
        <v>0.002123037622</v>
      </c>
      <c r="AB1071" s="14">
        <f t="shared" si="11"/>
        <v>0.8045542828</v>
      </c>
    </row>
    <row r="1072">
      <c r="A1072" s="7">
        <v>8293.0</v>
      </c>
      <c r="B1072" s="7" t="str">
        <f>VLOOKUP($A1072,product_category,2, False)</f>
        <v>Cosmetics</v>
      </c>
      <c r="C1072" s="7">
        <v>8.1197704E8</v>
      </c>
      <c r="D1072" s="9">
        <v>42109.0</v>
      </c>
      <c r="E1072" s="10">
        <f t="shared" si="1"/>
        <v>4</v>
      </c>
      <c r="F1072" s="10" t="str">
        <f t="shared" si="2"/>
        <v>Apr</v>
      </c>
      <c r="G1072" s="11">
        <f t="shared" si="3"/>
        <v>15</v>
      </c>
      <c r="H1072" s="7">
        <f t="shared" si="4"/>
        <v>2015</v>
      </c>
      <c r="I1072" s="9">
        <v>42152.0</v>
      </c>
      <c r="J1072" s="11">
        <f t="shared" si="5"/>
        <v>43</v>
      </c>
      <c r="K1072" s="7" t="s">
        <v>110</v>
      </c>
      <c r="L1072" s="7" t="s">
        <v>705</v>
      </c>
      <c r="M1072" s="7" t="str">
        <f>VLOOKUP(L1072,countries, 2,false)</f>
        <v>Switzerland</v>
      </c>
      <c r="N1072" s="7" t="str">
        <f>VLOOKUP(L1072,countries, 4,false)</f>
        <v>Europe</v>
      </c>
      <c r="O1072" s="7" t="str">
        <f>VLOOKUP(L1072,countries, 5,false)</f>
        <v>Western Europe</v>
      </c>
      <c r="P1072" s="7" t="s">
        <v>129</v>
      </c>
      <c r="Q1072" s="7">
        <v>905.0</v>
      </c>
      <c r="R1072" s="12">
        <v>437.2</v>
      </c>
      <c r="S1072" s="12">
        <v>263.33</v>
      </c>
      <c r="T1072" s="13">
        <f t="shared" si="6"/>
        <v>395666</v>
      </c>
      <c r="U1072" s="13">
        <f t="shared" si="7"/>
        <v>565407.08</v>
      </c>
      <c r="V1072" s="13">
        <f t="shared" si="8"/>
        <v>-169741.08</v>
      </c>
      <c r="W1072" s="14">
        <f>Q1072/totals!B$2</f>
        <v>0.0001376106892</v>
      </c>
      <c r="X1072" s="14">
        <f t="shared" si="9"/>
        <v>0.7985999899</v>
      </c>
      <c r="Y1072" s="14">
        <f>T1072/totals!B$5</f>
        <v>0.0002324535362</v>
      </c>
      <c r="Z1072" s="14">
        <f t="shared" si="10"/>
        <v>0.7983614574</v>
      </c>
      <c r="AA1072" s="14">
        <f>V1072/totals!B$4</f>
        <v>-0.000338459619</v>
      </c>
      <c r="AB1072" s="14">
        <f t="shared" si="11"/>
        <v>0.8042158232</v>
      </c>
    </row>
    <row r="1073">
      <c r="A1073" s="7">
        <v>2103.0</v>
      </c>
      <c r="B1073" s="7" t="str">
        <f>VLOOKUP($A1073,product_category,2, False)</f>
        <v>Cereal</v>
      </c>
      <c r="C1073" s="7">
        <v>8.12632358E8</v>
      </c>
      <c r="D1073" s="9">
        <v>41181.0</v>
      </c>
      <c r="E1073" s="10">
        <f t="shared" si="1"/>
        <v>9</v>
      </c>
      <c r="F1073" s="10" t="str">
        <f t="shared" si="2"/>
        <v>Sep</v>
      </c>
      <c r="G1073" s="11">
        <f t="shared" si="3"/>
        <v>29</v>
      </c>
      <c r="H1073" s="7">
        <f t="shared" si="4"/>
        <v>2012</v>
      </c>
      <c r="I1073" s="9">
        <v>41199.0</v>
      </c>
      <c r="J1073" s="11">
        <f t="shared" si="5"/>
        <v>18</v>
      </c>
      <c r="K1073" s="7" t="s">
        <v>198</v>
      </c>
      <c r="L1073" s="7" t="s">
        <v>609</v>
      </c>
      <c r="M1073" s="7" t="str">
        <f>VLOOKUP(L1073,countries, 2,false)</f>
        <v>Romania</v>
      </c>
      <c r="N1073" s="7" t="str">
        <f>VLOOKUP(L1073,countries, 4,false)</f>
        <v>Europe</v>
      </c>
      <c r="O1073" s="7" t="str">
        <f>VLOOKUP(L1073,countries, 5,false)</f>
        <v>Eastern Europe</v>
      </c>
      <c r="P1073" s="7" t="s">
        <v>212</v>
      </c>
      <c r="Q1073" s="7">
        <v>4828.0</v>
      </c>
      <c r="R1073" s="12">
        <v>205.7</v>
      </c>
      <c r="S1073" s="12">
        <v>117.11</v>
      </c>
      <c r="T1073" s="13">
        <f t="shared" si="6"/>
        <v>993119.6</v>
      </c>
      <c r="U1073" s="13">
        <f t="shared" si="7"/>
        <v>43077</v>
      </c>
      <c r="V1073" s="13">
        <f t="shared" si="8"/>
        <v>950042.6</v>
      </c>
      <c r="W1073" s="14">
        <f>Q1073/totals!B$2</f>
        <v>0.0007341264169</v>
      </c>
      <c r="X1073" s="14">
        <f t="shared" si="9"/>
        <v>0.7993341163</v>
      </c>
      <c r="Y1073" s="14">
        <f>T1073/totals!B$5</f>
        <v>0.0005834571656</v>
      </c>
      <c r="Z1073" s="14">
        <f t="shared" si="10"/>
        <v>0.7989449146</v>
      </c>
      <c r="AA1073" s="14">
        <f>V1073/totals!B$4</f>
        <v>0.001894362027</v>
      </c>
      <c r="AB1073" s="14">
        <f t="shared" si="11"/>
        <v>0.8061101852</v>
      </c>
    </row>
    <row r="1074">
      <c r="A1074" s="7">
        <v>4594.0</v>
      </c>
      <c r="B1074" s="7" t="str">
        <f>VLOOKUP($A1074,product_category,2, False)</f>
        <v>Fruits</v>
      </c>
      <c r="C1074" s="7">
        <v>8.12637078E8</v>
      </c>
      <c r="D1074" s="9">
        <v>41623.0</v>
      </c>
      <c r="E1074" s="10">
        <f t="shared" si="1"/>
        <v>12</v>
      </c>
      <c r="F1074" s="10" t="str">
        <f t="shared" si="2"/>
        <v>Dec</v>
      </c>
      <c r="G1074" s="11">
        <f t="shared" si="3"/>
        <v>15</v>
      </c>
      <c r="H1074" s="7">
        <f t="shared" si="4"/>
        <v>2013</v>
      </c>
      <c r="I1074" s="9">
        <v>41644.0</v>
      </c>
      <c r="J1074" s="11">
        <f t="shared" si="5"/>
        <v>21</v>
      </c>
      <c r="K1074" s="7" t="s">
        <v>110</v>
      </c>
      <c r="L1074" s="7" t="s">
        <v>670</v>
      </c>
      <c r="M1074" s="7" t="str">
        <f>VLOOKUP(L1074,countries, 2,false)</f>
        <v>Slovenia</v>
      </c>
      <c r="N1074" s="7" t="str">
        <f>VLOOKUP(L1074,countries, 4,false)</f>
        <v>Europe</v>
      </c>
      <c r="O1074" s="7" t="str">
        <f>VLOOKUP(L1074,countries, 5,false)</f>
        <v>Southern Europe</v>
      </c>
      <c r="P1074" s="7" t="s">
        <v>212</v>
      </c>
      <c r="Q1074" s="7">
        <v>6225.0</v>
      </c>
      <c r="R1074" s="12">
        <v>9.33</v>
      </c>
      <c r="S1074" s="12">
        <v>6.92</v>
      </c>
      <c r="T1074" s="13">
        <f t="shared" si="6"/>
        <v>58079.25</v>
      </c>
      <c r="U1074" s="13">
        <f t="shared" si="7"/>
        <v>478733.94</v>
      </c>
      <c r="V1074" s="13">
        <f t="shared" si="8"/>
        <v>-420654.69</v>
      </c>
      <c r="W1074" s="14">
        <f>Q1074/totals!B$2</f>
        <v>0.0009465486631</v>
      </c>
      <c r="X1074" s="14">
        <f t="shared" si="9"/>
        <v>0.800280665</v>
      </c>
      <c r="Y1074" s="14">
        <f>T1074/totals!B$5</f>
        <v>0.00003412152432</v>
      </c>
      <c r="Z1074" s="14">
        <f t="shared" si="10"/>
        <v>0.7989790361</v>
      </c>
      <c r="AA1074" s="14">
        <f>V1074/totals!B$4</f>
        <v>-0.0008387753048</v>
      </c>
      <c r="AB1074" s="14">
        <f t="shared" si="11"/>
        <v>0.8052714099</v>
      </c>
    </row>
    <row r="1075">
      <c r="A1075" s="7">
        <v>8293.0</v>
      </c>
      <c r="B1075" s="7" t="str">
        <f>VLOOKUP($A1075,product_category,2, False)</f>
        <v>Cosmetics</v>
      </c>
      <c r="C1075" s="7">
        <v>8.13973891E8</v>
      </c>
      <c r="D1075" s="9">
        <v>41214.0</v>
      </c>
      <c r="E1075" s="10">
        <f t="shared" si="1"/>
        <v>11</v>
      </c>
      <c r="F1075" s="10" t="str">
        <f t="shared" si="2"/>
        <v>Nov</v>
      </c>
      <c r="G1075" s="11">
        <f t="shared" si="3"/>
        <v>1</v>
      </c>
      <c r="H1075" s="7">
        <f t="shared" si="4"/>
        <v>2012</v>
      </c>
      <c r="I1075" s="9">
        <v>41226.0</v>
      </c>
      <c r="J1075" s="11">
        <f t="shared" si="5"/>
        <v>12</v>
      </c>
      <c r="K1075" s="7" t="s">
        <v>198</v>
      </c>
      <c r="L1075" s="7" t="e">
        <v>#N/A</v>
      </c>
      <c r="M1075" s="7"/>
      <c r="N1075" s="7"/>
      <c r="O1075" s="7"/>
      <c r="P1075" s="7" t="s">
        <v>212</v>
      </c>
      <c r="Q1075" s="7">
        <v>1818.0</v>
      </c>
      <c r="R1075" s="12">
        <v>437.2</v>
      </c>
      <c r="S1075" s="12">
        <v>263.33</v>
      </c>
      <c r="T1075" s="13">
        <f t="shared" si="6"/>
        <v>794829.6</v>
      </c>
      <c r="U1075" s="13">
        <f t="shared" si="7"/>
        <v>3274186.82</v>
      </c>
      <c r="V1075" s="13">
        <f t="shared" si="8"/>
        <v>-2479357.22</v>
      </c>
      <c r="W1075" s="14">
        <f>Q1075/totals!B$2</f>
        <v>0.0002764378264</v>
      </c>
      <c r="X1075" s="14">
        <f t="shared" si="9"/>
        <v>0.8005571028</v>
      </c>
      <c r="Y1075" s="14">
        <f>T1075/totals!B$5</f>
        <v>0.0004669619103</v>
      </c>
      <c r="Z1075" s="14">
        <f t="shared" si="10"/>
        <v>0.799445998</v>
      </c>
      <c r="AA1075" s="14">
        <f>V1075/totals!B$4</f>
        <v>-0.004943778489</v>
      </c>
      <c r="AB1075" s="14">
        <f t="shared" si="11"/>
        <v>0.8003276314</v>
      </c>
    </row>
    <row r="1076">
      <c r="A1076" s="7">
        <v>8875.0</v>
      </c>
      <c r="B1076" s="7" t="str">
        <f>VLOOKUP($A1076,product_category,2, False)</f>
        <v>Meat</v>
      </c>
      <c r="C1076" s="7">
        <v>8.15755307E8</v>
      </c>
      <c r="D1076" s="9">
        <v>42503.0</v>
      </c>
      <c r="E1076" s="10">
        <f t="shared" si="1"/>
        <v>5</v>
      </c>
      <c r="F1076" s="10" t="str">
        <f t="shared" si="2"/>
        <v>May</v>
      </c>
      <c r="G1076" s="11">
        <f t="shared" si="3"/>
        <v>13</v>
      </c>
      <c r="H1076" s="7">
        <f t="shared" si="4"/>
        <v>2016</v>
      </c>
      <c r="I1076" s="9">
        <v>42530.0</v>
      </c>
      <c r="J1076" s="11">
        <f t="shared" si="5"/>
        <v>27</v>
      </c>
      <c r="K1076" s="7" t="s">
        <v>322</v>
      </c>
      <c r="L1076" s="7" t="e">
        <v>#N/A</v>
      </c>
      <c r="M1076" s="7"/>
      <c r="N1076" s="7"/>
      <c r="O1076" s="7"/>
      <c r="P1076" s="7" t="s">
        <v>212</v>
      </c>
      <c r="Q1076" s="7">
        <v>8978.0</v>
      </c>
      <c r="R1076" s="12">
        <v>421.89</v>
      </c>
      <c r="S1076" s="12">
        <v>364.69</v>
      </c>
      <c r="T1076" s="13">
        <f t="shared" si="6"/>
        <v>3787728.42</v>
      </c>
      <c r="U1076" s="13">
        <f t="shared" si="7"/>
        <v>1805390.48</v>
      </c>
      <c r="V1076" s="13">
        <f t="shared" si="8"/>
        <v>1982337.94</v>
      </c>
      <c r="W1076" s="14">
        <f>Q1076/totals!B$2</f>
        <v>0.001365158859</v>
      </c>
      <c r="X1076" s="14">
        <f t="shared" si="9"/>
        <v>0.8019222617</v>
      </c>
      <c r="Y1076" s="14">
        <f>T1076/totals!B$5</f>
        <v>0.002225288161</v>
      </c>
      <c r="Z1076" s="14">
        <f t="shared" si="10"/>
        <v>0.8016712862</v>
      </c>
      <c r="AA1076" s="14">
        <f>V1076/totals!B$4</f>
        <v>0.003952734034</v>
      </c>
      <c r="AB1076" s="14">
        <f t="shared" si="11"/>
        <v>0.8042803654</v>
      </c>
    </row>
    <row r="1077">
      <c r="A1077" s="7">
        <v>8293.0</v>
      </c>
      <c r="B1077" s="7" t="str">
        <f>VLOOKUP($A1077,product_category,2, False)</f>
        <v>Cosmetics</v>
      </c>
      <c r="C1077" s="7">
        <v>8.15917098E8</v>
      </c>
      <c r="D1077" s="9">
        <v>40571.0</v>
      </c>
      <c r="E1077" s="10">
        <f t="shared" si="1"/>
        <v>1</v>
      </c>
      <c r="F1077" s="10" t="str">
        <f t="shared" si="2"/>
        <v>Jan</v>
      </c>
      <c r="G1077" s="11">
        <f t="shared" si="3"/>
        <v>28</v>
      </c>
      <c r="H1077" s="7">
        <f t="shared" si="4"/>
        <v>2011</v>
      </c>
      <c r="I1077" s="9">
        <v>40587.0</v>
      </c>
      <c r="J1077" s="11">
        <f t="shared" si="5"/>
        <v>16</v>
      </c>
      <c r="K1077" s="7" t="s">
        <v>110</v>
      </c>
      <c r="L1077" s="7" t="s">
        <v>383</v>
      </c>
      <c r="M1077" s="7" t="str">
        <f>VLOOKUP(L1077,countries, 2,false)</f>
        <v>Ireland</v>
      </c>
      <c r="N1077" s="7" t="str">
        <f>VLOOKUP(L1077,countries, 4,false)</f>
        <v>Europe</v>
      </c>
      <c r="O1077" s="7" t="str">
        <f>VLOOKUP(L1077,countries, 5,false)</f>
        <v>Northern Europe</v>
      </c>
      <c r="P1077" s="7" t="s">
        <v>129</v>
      </c>
      <c r="Q1077" s="7">
        <v>6856.0</v>
      </c>
      <c r="R1077" s="12">
        <v>437.2</v>
      </c>
      <c r="S1077" s="12">
        <v>263.33</v>
      </c>
      <c r="T1077" s="13">
        <f t="shared" si="6"/>
        <v>2997443.2</v>
      </c>
      <c r="U1077" s="13">
        <f t="shared" si="7"/>
        <v>63470.24</v>
      </c>
      <c r="V1077" s="13">
        <f t="shared" si="8"/>
        <v>2933972.96</v>
      </c>
      <c r="W1077" s="14">
        <f>Q1077/totals!B$2</f>
        <v>0.001042496005</v>
      </c>
      <c r="X1077" s="14">
        <f t="shared" si="9"/>
        <v>0.8029647577</v>
      </c>
      <c r="Y1077" s="14">
        <f>T1077/totals!B$5</f>
        <v>0.001760996071</v>
      </c>
      <c r="Z1077" s="14">
        <f t="shared" si="10"/>
        <v>0.8034322822</v>
      </c>
      <c r="AA1077" s="14">
        <f>V1077/totals!B$4</f>
        <v>0.005850271308</v>
      </c>
      <c r="AB1077" s="14">
        <f t="shared" si="11"/>
        <v>0.8101306368</v>
      </c>
    </row>
    <row r="1078">
      <c r="A1078" s="7">
        <v>4594.0</v>
      </c>
      <c r="B1078" s="7" t="str">
        <f>VLOOKUP($A1078,product_category,2, False)</f>
        <v>Fruits</v>
      </c>
      <c r="C1078" s="7">
        <v>8.17006289E8</v>
      </c>
      <c r="D1078" s="9">
        <v>40838.0</v>
      </c>
      <c r="E1078" s="10">
        <f t="shared" si="1"/>
        <v>10</v>
      </c>
      <c r="F1078" s="10" t="str">
        <f t="shared" si="2"/>
        <v>Oct</v>
      </c>
      <c r="G1078" s="11">
        <f t="shared" si="3"/>
        <v>22</v>
      </c>
      <c r="H1078" s="7">
        <f t="shared" si="4"/>
        <v>2011</v>
      </c>
      <c r="I1078" s="9">
        <v>40861.0</v>
      </c>
      <c r="J1078" s="11">
        <f t="shared" si="5"/>
        <v>23</v>
      </c>
      <c r="K1078" s="7" t="s">
        <v>382</v>
      </c>
      <c r="L1078" s="7" t="s">
        <v>540</v>
      </c>
      <c r="M1078" s="7" t="str">
        <f>VLOOKUP(L1078,countries, 2,false)</f>
        <v>Spain</v>
      </c>
      <c r="N1078" s="7" t="str">
        <f>VLOOKUP(L1078,countries, 4,false)</f>
        <v>Europe</v>
      </c>
      <c r="O1078" s="7" t="str">
        <f>VLOOKUP(L1078,countries, 5,false)</f>
        <v>Southern Europe</v>
      </c>
      <c r="P1078" s="7" t="s">
        <v>129</v>
      </c>
      <c r="Q1078" s="7">
        <v>9172.0</v>
      </c>
      <c r="R1078" s="12">
        <v>9.33</v>
      </c>
      <c r="S1078" s="12">
        <v>6.92</v>
      </c>
      <c r="T1078" s="13">
        <f t="shared" si="6"/>
        <v>85574.76</v>
      </c>
      <c r="U1078" s="13">
        <f t="shared" si="7"/>
        <v>493477.11</v>
      </c>
      <c r="V1078" s="13">
        <f t="shared" si="8"/>
        <v>-407902.35</v>
      </c>
      <c r="W1078" s="14">
        <f>Q1078/totals!B$2</f>
        <v>0.001394657725</v>
      </c>
      <c r="X1078" s="14">
        <f t="shared" si="9"/>
        <v>0.8043594154</v>
      </c>
      <c r="Y1078" s="14">
        <f>T1078/totals!B$5</f>
        <v>0.00005027511985</v>
      </c>
      <c r="Z1078" s="14">
        <f t="shared" si="10"/>
        <v>0.8034825574</v>
      </c>
      <c r="AA1078" s="14">
        <f>V1078/totals!B$4</f>
        <v>-0.0008133474464</v>
      </c>
      <c r="AB1078" s="14">
        <f t="shared" si="11"/>
        <v>0.8093172893</v>
      </c>
    </row>
    <row r="1079">
      <c r="A1079" s="7">
        <v>5988.0</v>
      </c>
      <c r="B1079" s="7" t="str">
        <f>VLOOKUP($A1079,product_category,2, False)</f>
        <v>Vegetables</v>
      </c>
      <c r="C1079" s="7">
        <v>8.17061221E8</v>
      </c>
      <c r="D1079" s="9">
        <v>40204.0</v>
      </c>
      <c r="E1079" s="10">
        <f t="shared" si="1"/>
        <v>1</v>
      </c>
      <c r="F1079" s="10" t="str">
        <f t="shared" si="2"/>
        <v>Jan</v>
      </c>
      <c r="G1079" s="11">
        <f t="shared" si="3"/>
        <v>26</v>
      </c>
      <c r="H1079" s="7">
        <f t="shared" si="4"/>
        <v>2010</v>
      </c>
      <c r="I1079" s="9">
        <v>40230.0</v>
      </c>
      <c r="J1079" s="11">
        <f t="shared" si="5"/>
        <v>26</v>
      </c>
      <c r="K1079" s="7" t="s">
        <v>198</v>
      </c>
      <c r="L1079" s="7" t="s">
        <v>155</v>
      </c>
      <c r="M1079" s="7" t="str">
        <f>VLOOKUP(L1079,countries, 2,false)</f>
        <v>Bulgaria</v>
      </c>
      <c r="N1079" s="7" t="str">
        <f>VLOOKUP(L1079,countries, 4,false)</f>
        <v>Europe</v>
      </c>
      <c r="O1079" s="7" t="str">
        <f>VLOOKUP(L1079,countries, 5,false)</f>
        <v>Eastern Europe</v>
      </c>
      <c r="P1079" s="7" t="s">
        <v>212</v>
      </c>
      <c r="Q1079" s="7">
        <v>5427.0</v>
      </c>
      <c r="R1079" s="12">
        <v>154.06</v>
      </c>
      <c r="S1079" s="12">
        <v>90.93</v>
      </c>
      <c r="T1079" s="13">
        <f t="shared" si="6"/>
        <v>836083.62</v>
      </c>
      <c r="U1079" s="13">
        <f t="shared" si="7"/>
        <v>212503.41</v>
      </c>
      <c r="V1079" s="13">
        <f t="shared" si="8"/>
        <v>623580.21</v>
      </c>
      <c r="W1079" s="14">
        <f>Q1079/totals!B$2</f>
        <v>0.000825207967</v>
      </c>
      <c r="X1079" s="14">
        <f t="shared" si="9"/>
        <v>0.8051846234</v>
      </c>
      <c r="Y1079" s="14">
        <f>T1079/totals!B$5</f>
        <v>0.0004911986221</v>
      </c>
      <c r="Z1079" s="14">
        <f t="shared" si="10"/>
        <v>0.803973756</v>
      </c>
      <c r="AA1079" s="14">
        <f>V1079/totals!B$4</f>
        <v>0.001243403897</v>
      </c>
      <c r="AB1079" s="14">
        <f t="shared" si="11"/>
        <v>0.8105606932</v>
      </c>
    </row>
    <row r="1080">
      <c r="A1080" s="7">
        <v>5988.0</v>
      </c>
      <c r="B1080" s="7" t="str">
        <f>VLOOKUP($A1080,product_category,2, False)</f>
        <v>Vegetables</v>
      </c>
      <c r="C1080" s="7">
        <v>8.18976962E8</v>
      </c>
      <c r="D1080" s="9">
        <v>41261.0</v>
      </c>
      <c r="E1080" s="10">
        <f t="shared" si="1"/>
        <v>12</v>
      </c>
      <c r="F1080" s="10" t="str">
        <f t="shared" si="2"/>
        <v>Dec</v>
      </c>
      <c r="G1080" s="11">
        <f t="shared" si="3"/>
        <v>18</v>
      </c>
      <c r="H1080" s="7">
        <f t="shared" si="4"/>
        <v>2012</v>
      </c>
      <c r="I1080" s="9">
        <v>41264.0</v>
      </c>
      <c r="J1080" s="11">
        <f t="shared" si="5"/>
        <v>3</v>
      </c>
      <c r="K1080" s="7" t="s">
        <v>198</v>
      </c>
      <c r="L1080" s="7" t="e">
        <v>#N/A</v>
      </c>
      <c r="M1080" s="7"/>
      <c r="N1080" s="7"/>
      <c r="O1080" s="7"/>
      <c r="P1080" s="7" t="s">
        <v>212</v>
      </c>
      <c r="Q1080" s="7">
        <v>2337.0</v>
      </c>
      <c r="R1080" s="12">
        <v>154.06</v>
      </c>
      <c r="S1080" s="12">
        <v>90.93</v>
      </c>
      <c r="T1080" s="13">
        <f t="shared" si="6"/>
        <v>360038.22</v>
      </c>
      <c r="U1080" s="13">
        <f t="shared" si="7"/>
        <v>22186.92</v>
      </c>
      <c r="V1080" s="13">
        <f t="shared" si="8"/>
        <v>337851.3</v>
      </c>
      <c r="W1080" s="14">
        <f>Q1080/totals!B$2</f>
        <v>0.0003553548957</v>
      </c>
      <c r="X1080" s="14">
        <f t="shared" si="9"/>
        <v>0.8055399783</v>
      </c>
      <c r="Y1080" s="14">
        <f>T1080/totals!B$5</f>
        <v>0.0002115222369</v>
      </c>
      <c r="Z1080" s="14">
        <f t="shared" si="10"/>
        <v>0.8041852782</v>
      </c>
      <c r="AA1080" s="14">
        <f>V1080/totals!B$4</f>
        <v>0.0006736673425</v>
      </c>
      <c r="AB1080" s="14">
        <f t="shared" si="11"/>
        <v>0.8112343605</v>
      </c>
    </row>
    <row r="1081">
      <c r="A1081" s="7">
        <v>5988.0</v>
      </c>
      <c r="B1081" s="7" t="str">
        <f>VLOOKUP($A1081,product_category,2, False)</f>
        <v>Vegetables</v>
      </c>
      <c r="C1081" s="7">
        <v>8.19037473E8</v>
      </c>
      <c r="D1081" s="9">
        <v>42658.0</v>
      </c>
      <c r="E1081" s="10">
        <f t="shared" si="1"/>
        <v>10</v>
      </c>
      <c r="F1081" s="10" t="str">
        <f t="shared" si="2"/>
        <v>Oct</v>
      </c>
      <c r="G1081" s="11">
        <f t="shared" si="3"/>
        <v>15</v>
      </c>
      <c r="H1081" s="7">
        <f t="shared" si="4"/>
        <v>2016</v>
      </c>
      <c r="I1081" s="9">
        <v>42658.0</v>
      </c>
      <c r="J1081" s="11">
        <f t="shared" si="5"/>
        <v>0</v>
      </c>
      <c r="K1081" s="7" t="s">
        <v>322</v>
      </c>
      <c r="L1081" s="7" t="s">
        <v>705</v>
      </c>
      <c r="M1081" s="7" t="str">
        <f>VLOOKUP(L1081,countries, 2,false)</f>
        <v>Switzerland</v>
      </c>
      <c r="N1081" s="7" t="str">
        <f>VLOOKUP(L1081,countries, 4,false)</f>
        <v>Europe</v>
      </c>
      <c r="O1081" s="7" t="str">
        <f>VLOOKUP(L1081,countries, 5,false)</f>
        <v>Western Europe</v>
      </c>
      <c r="P1081" s="7" t="s">
        <v>129</v>
      </c>
      <c r="Q1081" s="7">
        <v>244.0</v>
      </c>
      <c r="R1081" s="12">
        <v>154.06</v>
      </c>
      <c r="S1081" s="12">
        <v>90.93</v>
      </c>
      <c r="T1081" s="13">
        <f t="shared" si="6"/>
        <v>37590.64</v>
      </c>
      <c r="U1081" s="13">
        <f t="shared" si="7"/>
        <v>2312973.76</v>
      </c>
      <c r="V1081" s="13">
        <f t="shared" si="8"/>
        <v>-2275383.12</v>
      </c>
      <c r="W1081" s="14">
        <f>Q1081/totals!B$2</f>
        <v>0.00003710166647</v>
      </c>
      <c r="X1081" s="14">
        <f t="shared" si="9"/>
        <v>0.8055770799</v>
      </c>
      <c r="Y1081" s="14">
        <f>T1081/totals!B$5</f>
        <v>0.00002208447831</v>
      </c>
      <c r="Z1081" s="14">
        <f t="shared" si="10"/>
        <v>0.8042073627</v>
      </c>
      <c r="AA1081" s="14">
        <f>V1081/totals!B$4</f>
        <v>-0.004537059054</v>
      </c>
      <c r="AB1081" s="14">
        <f t="shared" si="11"/>
        <v>0.8066973015</v>
      </c>
    </row>
    <row r="1082">
      <c r="A1082" s="7">
        <v>8681.0</v>
      </c>
      <c r="B1082" s="7" t="str">
        <f>VLOOKUP($A1082,product_category,2, False)</f>
        <v>Office Supplies</v>
      </c>
      <c r="C1082" s="7">
        <v>8.19152915E8</v>
      </c>
      <c r="D1082" s="9">
        <v>40656.0</v>
      </c>
      <c r="E1082" s="10">
        <f t="shared" si="1"/>
        <v>4</v>
      </c>
      <c r="F1082" s="10" t="str">
        <f t="shared" si="2"/>
        <v>Apr</v>
      </c>
      <c r="G1082" s="11">
        <f t="shared" si="3"/>
        <v>23</v>
      </c>
      <c r="H1082" s="7">
        <f t="shared" si="4"/>
        <v>2011</v>
      </c>
      <c r="I1082" s="9">
        <v>40657.0</v>
      </c>
      <c r="J1082" s="11">
        <f t="shared" si="5"/>
        <v>1</v>
      </c>
      <c r="K1082" s="7" t="s">
        <v>382</v>
      </c>
      <c r="L1082" s="7" t="s">
        <v>323</v>
      </c>
      <c r="M1082" s="7" t="str">
        <f>VLOOKUP(L1082,countries, 2,false)</f>
        <v>Montenegro</v>
      </c>
      <c r="N1082" s="7" t="str">
        <f>VLOOKUP(L1082,countries, 4,false)</f>
        <v>Europe</v>
      </c>
      <c r="O1082" s="7" t="str">
        <f>VLOOKUP(L1082,countries, 5,false)</f>
        <v>Southern Europe</v>
      </c>
      <c r="P1082" s="7" t="s">
        <v>212</v>
      </c>
      <c r="Q1082" s="7">
        <v>4406.0</v>
      </c>
      <c r="R1082" s="12">
        <v>651.21</v>
      </c>
      <c r="S1082" s="12">
        <v>524.96</v>
      </c>
      <c r="T1082" s="13">
        <f t="shared" si="6"/>
        <v>2869231.26</v>
      </c>
      <c r="U1082" s="13">
        <f t="shared" si="7"/>
        <v>552466.34</v>
      </c>
      <c r="V1082" s="13">
        <f t="shared" si="8"/>
        <v>2316764.92</v>
      </c>
      <c r="W1082" s="14">
        <f>Q1082/totals!B$2</f>
        <v>0.0006699587807</v>
      </c>
      <c r="X1082" s="14">
        <f t="shared" si="9"/>
        <v>0.8062470387</v>
      </c>
      <c r="Y1082" s="14">
        <f>T1082/totals!B$5</f>
        <v>0.001685671634</v>
      </c>
      <c r="Z1082" s="14">
        <f t="shared" si="10"/>
        <v>0.8058930343</v>
      </c>
      <c r="AA1082" s="14">
        <f>V1082/totals!B$4</f>
        <v>0.004619573365</v>
      </c>
      <c r="AB1082" s="14">
        <f t="shared" si="11"/>
        <v>0.8113168749</v>
      </c>
    </row>
    <row r="1083">
      <c r="A1083" s="7">
        <v>8293.0</v>
      </c>
      <c r="B1083" s="7" t="str">
        <f>VLOOKUP($A1083,product_category,2, False)</f>
        <v>Cosmetics</v>
      </c>
      <c r="C1083" s="7">
        <v>8.19516837E8</v>
      </c>
      <c r="D1083" s="9">
        <v>42334.0</v>
      </c>
      <c r="E1083" s="10">
        <f t="shared" si="1"/>
        <v>11</v>
      </c>
      <c r="F1083" s="10" t="str">
        <f t="shared" si="2"/>
        <v>Nov</v>
      </c>
      <c r="G1083" s="11">
        <f t="shared" si="3"/>
        <v>26</v>
      </c>
      <c r="H1083" s="7">
        <f t="shared" si="4"/>
        <v>2015</v>
      </c>
      <c r="I1083" s="9">
        <v>42363.0</v>
      </c>
      <c r="J1083" s="11">
        <f t="shared" si="5"/>
        <v>29</v>
      </c>
      <c r="K1083" s="7" t="s">
        <v>198</v>
      </c>
      <c r="L1083" s="7" t="s">
        <v>478</v>
      </c>
      <c r="M1083" s="7" t="str">
        <f>VLOOKUP(L1083,countries, 2,false)</f>
        <v>Malta</v>
      </c>
      <c r="N1083" s="7" t="str">
        <f>VLOOKUP(L1083,countries, 4,false)</f>
        <v>Europe</v>
      </c>
      <c r="O1083" s="7" t="str">
        <f>VLOOKUP(L1083,countries, 5,false)</f>
        <v>Southern Europe</v>
      </c>
      <c r="P1083" s="7" t="s">
        <v>212</v>
      </c>
      <c r="Q1083" s="7">
        <v>2098.0</v>
      </c>
      <c r="R1083" s="12">
        <v>437.2</v>
      </c>
      <c r="S1083" s="12">
        <v>263.33</v>
      </c>
      <c r="T1083" s="13">
        <f t="shared" si="6"/>
        <v>917245.6</v>
      </c>
      <c r="U1083" s="13">
        <f t="shared" si="7"/>
        <v>292904.64</v>
      </c>
      <c r="V1083" s="13">
        <f t="shared" si="8"/>
        <v>624340.96</v>
      </c>
      <c r="W1083" s="14">
        <f>Q1083/totals!B$2</f>
        <v>0.0003190135093</v>
      </c>
      <c r="X1083" s="14">
        <f t="shared" si="9"/>
        <v>0.8065660522</v>
      </c>
      <c r="Y1083" s="14">
        <f>T1083/totals!B$5</f>
        <v>0.0005388812364</v>
      </c>
      <c r="Z1083" s="14">
        <f t="shared" si="10"/>
        <v>0.8064319156</v>
      </c>
      <c r="AA1083" s="14">
        <f>V1083/totals!B$4</f>
        <v>0.001244920814</v>
      </c>
      <c r="AB1083" s="14">
        <f t="shared" si="11"/>
        <v>0.8125617957</v>
      </c>
    </row>
    <row r="1084">
      <c r="A1084" s="7">
        <v>8969.0</v>
      </c>
      <c r="B1084" s="7" t="str">
        <f>VLOOKUP($A1084,product_category,2, False)</f>
        <v>Snacks</v>
      </c>
      <c r="C1084" s="7">
        <v>8.20195758E8</v>
      </c>
      <c r="D1084" s="9">
        <v>40852.0</v>
      </c>
      <c r="E1084" s="10">
        <f t="shared" si="1"/>
        <v>11</v>
      </c>
      <c r="F1084" s="10" t="str">
        <f t="shared" si="2"/>
        <v>Nov</v>
      </c>
      <c r="G1084" s="11">
        <f t="shared" si="3"/>
        <v>5</v>
      </c>
      <c r="H1084" s="7">
        <f t="shared" si="4"/>
        <v>2011</v>
      </c>
      <c r="I1084" s="9">
        <v>40871.0</v>
      </c>
      <c r="J1084" s="11">
        <f t="shared" si="5"/>
        <v>19</v>
      </c>
      <c r="K1084" s="7" t="s">
        <v>322</v>
      </c>
      <c r="L1084" s="7" t="e">
        <v>#N/A</v>
      </c>
      <c r="M1084" s="7"/>
      <c r="N1084" s="7"/>
      <c r="O1084" s="7"/>
      <c r="P1084" s="7" t="s">
        <v>212</v>
      </c>
      <c r="Q1084" s="7">
        <v>3006.0</v>
      </c>
      <c r="R1084" s="12">
        <v>152.58</v>
      </c>
      <c r="S1084" s="12">
        <v>97.44</v>
      </c>
      <c r="T1084" s="13">
        <f t="shared" si="6"/>
        <v>458655.48</v>
      </c>
      <c r="U1084" s="13">
        <f t="shared" si="7"/>
        <v>1642928.45</v>
      </c>
      <c r="V1084" s="13">
        <f t="shared" si="8"/>
        <v>-1184272.97</v>
      </c>
      <c r="W1084" s="14">
        <f>Q1084/totals!B$2</f>
        <v>0.0004570803665</v>
      </c>
      <c r="X1084" s="14">
        <f t="shared" si="9"/>
        <v>0.8070231326</v>
      </c>
      <c r="Y1084" s="14">
        <f>T1084/totals!B$5</f>
        <v>0.0002694598177</v>
      </c>
      <c r="Z1084" s="14">
        <f t="shared" si="10"/>
        <v>0.8067013754</v>
      </c>
      <c r="AA1084" s="14">
        <f>V1084/totals!B$4</f>
        <v>-0.002361411735</v>
      </c>
      <c r="AB1084" s="14">
        <f t="shared" si="11"/>
        <v>0.8102003839</v>
      </c>
    </row>
    <row r="1085">
      <c r="A1085" s="7">
        <v>8875.0</v>
      </c>
      <c r="B1085" s="7" t="str">
        <f>VLOOKUP($A1085,product_category,2, False)</f>
        <v>Meat</v>
      </c>
      <c r="C1085" s="7">
        <v>8.20437371E8</v>
      </c>
      <c r="D1085" s="9">
        <v>42883.0</v>
      </c>
      <c r="E1085" s="10">
        <f t="shared" si="1"/>
        <v>5</v>
      </c>
      <c r="F1085" s="10" t="str">
        <f t="shared" si="2"/>
        <v>May</v>
      </c>
      <c r="G1085" s="11">
        <f t="shared" si="3"/>
        <v>28</v>
      </c>
      <c r="H1085" s="7">
        <f t="shared" si="4"/>
        <v>2017</v>
      </c>
      <c r="I1085" s="9">
        <v>42897.0</v>
      </c>
      <c r="J1085" s="11">
        <f t="shared" si="5"/>
        <v>14</v>
      </c>
      <c r="K1085" s="7" t="s">
        <v>382</v>
      </c>
      <c r="L1085" s="7" t="s">
        <v>307</v>
      </c>
      <c r="M1085" s="7" t="str">
        <f>VLOOKUP(L1085,countries, 2,false)</f>
        <v>Germany</v>
      </c>
      <c r="N1085" s="7" t="str">
        <f>VLOOKUP(L1085,countries, 4,false)</f>
        <v>Europe</v>
      </c>
      <c r="O1085" s="7" t="str">
        <f>VLOOKUP(L1085,countries, 5,false)</f>
        <v>Western Europe</v>
      </c>
      <c r="P1085" s="7" t="s">
        <v>129</v>
      </c>
      <c r="Q1085" s="7">
        <v>4505.0</v>
      </c>
      <c r="R1085" s="12">
        <v>421.89</v>
      </c>
      <c r="S1085" s="12">
        <v>364.69</v>
      </c>
      <c r="T1085" s="13">
        <f t="shared" si="6"/>
        <v>1900614.45</v>
      </c>
      <c r="U1085" s="13">
        <f t="shared" si="7"/>
        <v>5017861.9</v>
      </c>
      <c r="V1085" s="13">
        <f t="shared" si="8"/>
        <v>-3117247.45</v>
      </c>
      <c r="W1085" s="14">
        <f>Q1085/totals!B$2</f>
        <v>0.0006850123257</v>
      </c>
      <c r="X1085" s="14">
        <f t="shared" si="9"/>
        <v>0.8077081449</v>
      </c>
      <c r="Y1085" s="14">
        <f>T1085/totals!B$5</f>
        <v>0.001116609842</v>
      </c>
      <c r="Z1085" s="14">
        <f t="shared" si="10"/>
        <v>0.8078179852</v>
      </c>
      <c r="AA1085" s="14">
        <f>V1085/totals!B$4</f>
        <v>-0.006215716221</v>
      </c>
      <c r="AB1085" s="14">
        <f t="shared" si="11"/>
        <v>0.8039846677</v>
      </c>
    </row>
    <row r="1086">
      <c r="A1086" s="7">
        <v>7940.0</v>
      </c>
      <c r="B1086" s="7" t="str">
        <f>VLOOKUP($A1086,product_category,2, False)</f>
        <v>Household</v>
      </c>
      <c r="C1086" s="7">
        <v>8.21131742E8</v>
      </c>
      <c r="D1086" s="9">
        <v>42347.0</v>
      </c>
      <c r="E1086" s="10">
        <f t="shared" si="1"/>
        <v>12</v>
      </c>
      <c r="F1086" s="10" t="str">
        <f t="shared" si="2"/>
        <v>Dec</v>
      </c>
      <c r="G1086" s="11">
        <f t="shared" si="3"/>
        <v>9</v>
      </c>
      <c r="H1086" s="7">
        <f t="shared" si="4"/>
        <v>2015</v>
      </c>
      <c r="I1086" s="9">
        <v>42347.0</v>
      </c>
      <c r="J1086" s="11">
        <f t="shared" si="5"/>
        <v>0</v>
      </c>
      <c r="K1086" s="7" t="s">
        <v>382</v>
      </c>
      <c r="L1086" s="7" t="s">
        <v>642</v>
      </c>
      <c r="M1086" s="7" t="str">
        <f>VLOOKUP(L1086,countries, 2,false)</f>
        <v>San Marino</v>
      </c>
      <c r="N1086" s="7" t="str">
        <f>VLOOKUP(L1086,countries, 4,false)</f>
        <v>Europe</v>
      </c>
      <c r="O1086" s="7" t="str">
        <f>VLOOKUP(L1086,countries, 5,false)</f>
        <v>Southern Europe</v>
      </c>
      <c r="P1086" s="7" t="s">
        <v>212</v>
      </c>
      <c r="Q1086" s="7">
        <v>9985.0</v>
      </c>
      <c r="R1086" s="12">
        <v>668.27</v>
      </c>
      <c r="S1086" s="12">
        <v>502.54</v>
      </c>
      <c r="T1086" s="13">
        <f t="shared" si="6"/>
        <v>6672675.95</v>
      </c>
      <c r="U1086" s="13">
        <f t="shared" si="7"/>
        <v>595125.8</v>
      </c>
      <c r="V1086" s="13">
        <f t="shared" si="8"/>
        <v>6077550.15</v>
      </c>
      <c r="W1086" s="14">
        <f>Q1086/totals!B$2</f>
        <v>0.001518279261</v>
      </c>
      <c r="X1086" s="14">
        <f t="shared" si="9"/>
        <v>0.8092264242</v>
      </c>
      <c r="Y1086" s="14">
        <f>T1086/totals!B$5</f>
        <v>0.003920193093</v>
      </c>
      <c r="Z1086" s="14">
        <f t="shared" si="10"/>
        <v>0.8117381783</v>
      </c>
      <c r="AA1086" s="14">
        <f>V1086/totals!B$4</f>
        <v>0.0121184884</v>
      </c>
      <c r="AB1086" s="14">
        <f t="shared" si="11"/>
        <v>0.8161031561</v>
      </c>
    </row>
    <row r="1087">
      <c r="A1087" s="7">
        <v>8293.0</v>
      </c>
      <c r="B1087" s="7" t="str">
        <f>VLOOKUP($A1087,product_category,2, False)</f>
        <v>Cosmetics</v>
      </c>
      <c r="C1087" s="7">
        <v>8.21916663E8</v>
      </c>
      <c r="D1087" s="9">
        <v>40744.0</v>
      </c>
      <c r="E1087" s="10">
        <f t="shared" si="1"/>
        <v>7</v>
      </c>
      <c r="F1087" s="10" t="str">
        <f t="shared" si="2"/>
        <v>Jul</v>
      </c>
      <c r="G1087" s="11">
        <f t="shared" si="3"/>
        <v>20</v>
      </c>
      <c r="H1087" s="7">
        <f t="shared" si="4"/>
        <v>2011</v>
      </c>
      <c r="I1087" s="9">
        <v>40781.0</v>
      </c>
      <c r="J1087" s="11">
        <f t="shared" si="5"/>
        <v>37</v>
      </c>
      <c r="K1087" s="7" t="s">
        <v>322</v>
      </c>
      <c r="L1087" s="7" t="s">
        <v>111</v>
      </c>
      <c r="M1087" s="7" t="str">
        <f>VLOOKUP(L1087,countries, 2,false)</f>
        <v>Norway</v>
      </c>
      <c r="N1087" s="7" t="str">
        <f>VLOOKUP(L1087,countries, 4,false)</f>
        <v>Europe</v>
      </c>
      <c r="O1087" s="7" t="str">
        <f>VLOOKUP(L1087,countries, 5,false)</f>
        <v>Northern Europe</v>
      </c>
      <c r="P1087" s="7" t="s">
        <v>129</v>
      </c>
      <c r="Q1087" s="7">
        <v>2260.0</v>
      </c>
      <c r="R1087" s="12">
        <v>437.2</v>
      </c>
      <c r="S1087" s="12">
        <v>263.33</v>
      </c>
      <c r="T1087" s="13">
        <f t="shared" si="6"/>
        <v>988072</v>
      </c>
      <c r="U1087" s="13">
        <f t="shared" si="7"/>
        <v>1522384</v>
      </c>
      <c r="V1087" s="13">
        <f t="shared" si="8"/>
        <v>-534312</v>
      </c>
      <c r="W1087" s="14">
        <f>Q1087/totals!B$2</f>
        <v>0.0003436465829</v>
      </c>
      <c r="X1087" s="14">
        <f t="shared" si="9"/>
        <v>0.8095700708</v>
      </c>
      <c r="Y1087" s="14">
        <f>T1087/totals!B$5</f>
        <v>0.0005804917036</v>
      </c>
      <c r="Z1087" s="14">
        <f t="shared" si="10"/>
        <v>0.81231867</v>
      </c>
      <c r="AA1087" s="14">
        <f>V1087/totals!B$4</f>
        <v>-0.001065405239</v>
      </c>
      <c r="AB1087" s="14">
        <f t="shared" si="11"/>
        <v>0.8150377509</v>
      </c>
    </row>
    <row r="1088">
      <c r="A1088" s="7">
        <v>8681.0</v>
      </c>
      <c r="B1088" s="7" t="str">
        <f>VLOOKUP($A1088,product_category,2, False)</f>
        <v>Office Supplies</v>
      </c>
      <c r="C1088" s="7">
        <v>8.23236739E8</v>
      </c>
      <c r="D1088" s="9">
        <v>42538.0</v>
      </c>
      <c r="E1088" s="10">
        <f t="shared" si="1"/>
        <v>6</v>
      </c>
      <c r="F1088" s="10" t="str">
        <f t="shared" si="2"/>
        <v>Jun</v>
      </c>
      <c r="G1088" s="11">
        <f t="shared" si="3"/>
        <v>17</v>
      </c>
      <c r="H1088" s="7">
        <f t="shared" si="4"/>
        <v>2016</v>
      </c>
      <c r="I1088" s="9">
        <v>42583.0</v>
      </c>
      <c r="J1088" s="11">
        <f t="shared" si="5"/>
        <v>45</v>
      </c>
      <c r="K1088" s="7" t="s">
        <v>110</v>
      </c>
      <c r="L1088" s="7" t="s">
        <v>460</v>
      </c>
      <c r="M1088" s="7" t="str">
        <f>VLOOKUP(L1088,countries, 2,false)</f>
        <v>Macedonia</v>
      </c>
      <c r="N1088" s="7" t="str">
        <f>VLOOKUP(L1088,countries, 4,false)</f>
        <v>Europe</v>
      </c>
      <c r="O1088" s="7" t="str">
        <f>VLOOKUP(L1088,countries, 5,false)</f>
        <v>Southern Europe</v>
      </c>
      <c r="P1088" s="7" t="s">
        <v>129</v>
      </c>
      <c r="Q1088" s="7">
        <v>2900.0</v>
      </c>
      <c r="R1088" s="12">
        <v>651.21</v>
      </c>
      <c r="S1088" s="12">
        <v>524.96</v>
      </c>
      <c r="T1088" s="13">
        <f t="shared" si="6"/>
        <v>1888509</v>
      </c>
      <c r="U1088" s="13">
        <f t="shared" si="7"/>
        <v>86016</v>
      </c>
      <c r="V1088" s="13">
        <f t="shared" si="8"/>
        <v>1802493</v>
      </c>
      <c r="W1088" s="14">
        <f>Q1088/totals!B$2</f>
        <v>0.0004409624294</v>
      </c>
      <c r="X1088" s="14">
        <f t="shared" si="9"/>
        <v>0.8100110332</v>
      </c>
      <c r="Y1088" s="14">
        <f>T1088/totals!B$5</f>
        <v>0.001109497898</v>
      </c>
      <c r="Z1088" s="14">
        <f t="shared" si="10"/>
        <v>0.8134281679</v>
      </c>
      <c r="AA1088" s="14">
        <f>V1088/totals!B$4</f>
        <v>0.003594127562</v>
      </c>
      <c r="AB1088" s="14">
        <f t="shared" si="11"/>
        <v>0.8186318784</v>
      </c>
    </row>
    <row r="1089">
      <c r="A1089" s="7">
        <v>2455.0</v>
      </c>
      <c r="B1089" s="7" t="str">
        <f>VLOOKUP($A1089,product_category,2, False)</f>
        <v>Clothes</v>
      </c>
      <c r="C1089" s="7">
        <v>8.23505389E8</v>
      </c>
      <c r="D1089" s="9">
        <v>42074.0</v>
      </c>
      <c r="E1089" s="10">
        <f t="shared" si="1"/>
        <v>3</v>
      </c>
      <c r="F1089" s="10" t="str">
        <f t="shared" si="2"/>
        <v>Mar</v>
      </c>
      <c r="G1089" s="11">
        <f t="shared" si="3"/>
        <v>11</v>
      </c>
      <c r="H1089" s="7">
        <f t="shared" si="4"/>
        <v>2015</v>
      </c>
      <c r="I1089" s="9">
        <v>42093.0</v>
      </c>
      <c r="J1089" s="11">
        <f t="shared" si="5"/>
        <v>19</v>
      </c>
      <c r="K1089" s="7" t="s">
        <v>382</v>
      </c>
      <c r="L1089" s="7" t="s">
        <v>756</v>
      </c>
      <c r="M1089" s="7" t="str">
        <f>VLOOKUP(L1089,countries, 2,false)</f>
        <v>Ukraine</v>
      </c>
      <c r="N1089" s="7" t="str">
        <f>VLOOKUP(L1089,countries, 4,false)</f>
        <v>Europe</v>
      </c>
      <c r="O1089" s="7" t="str">
        <f>VLOOKUP(L1089,countries, 5,false)</f>
        <v>Eastern Europe</v>
      </c>
      <c r="P1089" s="7" t="s">
        <v>129</v>
      </c>
      <c r="Q1089" s="7">
        <v>2400.0</v>
      </c>
      <c r="R1089" s="12">
        <v>109.28</v>
      </c>
      <c r="S1089" s="12">
        <v>35.84</v>
      </c>
      <c r="T1089" s="13">
        <f t="shared" si="6"/>
        <v>262272</v>
      </c>
      <c r="U1089" s="13">
        <f t="shared" si="7"/>
        <v>1516016.33</v>
      </c>
      <c r="V1089" s="13">
        <f t="shared" si="8"/>
        <v>-1253744.33</v>
      </c>
      <c r="W1089" s="14">
        <f>Q1089/totals!B$2</f>
        <v>0.0003649344243</v>
      </c>
      <c r="X1089" s="14">
        <f t="shared" si="9"/>
        <v>0.8103759676</v>
      </c>
      <c r="Y1089" s="14">
        <f>T1089/totals!B$5</f>
        <v>0.0001540846417</v>
      </c>
      <c r="Z1089" s="14">
        <f t="shared" si="10"/>
        <v>0.8135822526</v>
      </c>
      <c r="AA1089" s="14">
        <f>V1089/totals!B$4</f>
        <v>-0.002499935951</v>
      </c>
      <c r="AB1089" s="14">
        <f t="shared" si="11"/>
        <v>0.8161319425</v>
      </c>
    </row>
    <row r="1090">
      <c r="A1090" s="7">
        <v>8875.0</v>
      </c>
      <c r="B1090" s="7" t="str">
        <f>VLOOKUP($A1090,product_category,2, False)</f>
        <v>Meat</v>
      </c>
      <c r="C1090" s="7">
        <v>8.25065791E8</v>
      </c>
      <c r="D1090" s="9">
        <v>40748.0</v>
      </c>
      <c r="E1090" s="10">
        <f t="shared" si="1"/>
        <v>7</v>
      </c>
      <c r="F1090" s="10" t="str">
        <f t="shared" si="2"/>
        <v>Jul</v>
      </c>
      <c r="G1090" s="11">
        <f t="shared" si="3"/>
        <v>24</v>
      </c>
      <c r="H1090" s="7">
        <f t="shared" si="4"/>
        <v>2011</v>
      </c>
      <c r="I1090" s="9">
        <v>40783.0</v>
      </c>
      <c r="J1090" s="11">
        <f t="shared" si="5"/>
        <v>35</v>
      </c>
      <c r="K1090" s="7" t="s">
        <v>198</v>
      </c>
      <c r="L1090" s="7" t="s">
        <v>432</v>
      </c>
      <c r="M1090" s="7" t="str">
        <f>VLOOKUP(L1090,countries, 2,false)</f>
        <v>Latvia</v>
      </c>
      <c r="N1090" s="7" t="str">
        <f>VLOOKUP(L1090,countries, 4,false)</f>
        <v>Europe</v>
      </c>
      <c r="O1090" s="7" t="str">
        <f>VLOOKUP(L1090,countries, 5,false)</f>
        <v>Northern Europe</v>
      </c>
      <c r="P1090" s="7" t="s">
        <v>212</v>
      </c>
      <c r="Q1090" s="7">
        <v>4157.0</v>
      </c>
      <c r="R1090" s="12">
        <v>421.89</v>
      </c>
      <c r="S1090" s="12">
        <v>364.69</v>
      </c>
      <c r="T1090" s="13">
        <f t="shared" si="6"/>
        <v>1753796.73</v>
      </c>
      <c r="U1090" s="13">
        <f t="shared" si="7"/>
        <v>32648.33</v>
      </c>
      <c r="V1090" s="13">
        <f t="shared" si="8"/>
        <v>1721148.4</v>
      </c>
      <c r="W1090" s="14">
        <f>Q1090/totals!B$2</f>
        <v>0.0006320968341</v>
      </c>
      <c r="X1090" s="14">
        <f t="shared" si="9"/>
        <v>0.8110080644</v>
      </c>
      <c r="Y1090" s="14">
        <f>T1090/totals!B$5</f>
        <v>0.00103035452</v>
      </c>
      <c r="Z1090" s="14">
        <f t="shared" si="10"/>
        <v>0.8146126071</v>
      </c>
      <c r="AA1090" s="14">
        <f>V1090/totals!B$4</f>
        <v>0.003431928392</v>
      </c>
      <c r="AB1090" s="14">
        <f t="shared" si="11"/>
        <v>0.8195638709</v>
      </c>
    </row>
    <row r="1091">
      <c r="A1091" s="7">
        <v>1270.0</v>
      </c>
      <c r="B1091" s="7" t="str">
        <f>VLOOKUP($A1091,product_category,2, False)</f>
        <v>Beverages</v>
      </c>
      <c r="C1091" s="7">
        <v>8.26677262E8</v>
      </c>
      <c r="D1091" s="9">
        <v>42702.0</v>
      </c>
      <c r="E1091" s="10">
        <f t="shared" si="1"/>
        <v>11</v>
      </c>
      <c r="F1091" s="10" t="str">
        <f t="shared" si="2"/>
        <v>Nov</v>
      </c>
      <c r="G1091" s="11">
        <f t="shared" si="3"/>
        <v>28</v>
      </c>
      <c r="H1091" s="7">
        <f t="shared" si="4"/>
        <v>2016</v>
      </c>
      <c r="I1091" s="9">
        <v>42744.0</v>
      </c>
      <c r="J1091" s="11">
        <f t="shared" si="5"/>
        <v>42</v>
      </c>
      <c r="K1091" s="7" t="s">
        <v>110</v>
      </c>
      <c r="L1091" s="7" t="s">
        <v>264</v>
      </c>
      <c r="M1091" s="7" t="str">
        <f>VLOOKUP(L1091,countries, 2,false)</f>
        <v>Estonia</v>
      </c>
      <c r="N1091" s="7" t="str">
        <f>VLOOKUP(L1091,countries, 4,false)</f>
        <v>Europe</v>
      </c>
      <c r="O1091" s="7" t="str">
        <f>VLOOKUP(L1091,countries, 5,false)</f>
        <v>Northern Europe</v>
      </c>
      <c r="P1091" s="7" t="s">
        <v>129</v>
      </c>
      <c r="Q1091" s="7">
        <v>1027.0</v>
      </c>
      <c r="R1091" s="12">
        <v>47.45</v>
      </c>
      <c r="S1091" s="12">
        <v>31.79</v>
      </c>
      <c r="T1091" s="13">
        <f t="shared" si="6"/>
        <v>48731.15</v>
      </c>
      <c r="U1091" s="13">
        <f t="shared" si="7"/>
        <v>1232794.86</v>
      </c>
      <c r="V1091" s="13">
        <f t="shared" si="8"/>
        <v>-1184063.71</v>
      </c>
      <c r="W1091" s="14">
        <f>Q1091/totals!B$2</f>
        <v>0.0001561615224</v>
      </c>
      <c r="X1091" s="14">
        <f t="shared" si="9"/>
        <v>0.811164226</v>
      </c>
      <c r="Y1091" s="14">
        <f>T1091/totals!B$5</f>
        <v>0.00002862952121</v>
      </c>
      <c r="Z1091" s="14">
        <f t="shared" si="10"/>
        <v>0.8146412366</v>
      </c>
      <c r="AA1091" s="14">
        <f>V1091/totals!B$4</f>
        <v>-0.002360994476</v>
      </c>
      <c r="AB1091" s="14">
        <f t="shared" si="11"/>
        <v>0.8172028764</v>
      </c>
    </row>
    <row r="1092">
      <c r="A1092" s="7">
        <v>7331.0</v>
      </c>
      <c r="B1092" s="7" t="str">
        <f>VLOOKUP($A1092,product_category,2, False)</f>
        <v>Baby Food</v>
      </c>
      <c r="C1092" s="7">
        <v>8.26936471E8</v>
      </c>
      <c r="D1092" s="9">
        <v>41353.0</v>
      </c>
      <c r="E1092" s="10">
        <f t="shared" si="1"/>
        <v>3</v>
      </c>
      <c r="F1092" s="10" t="str">
        <f t="shared" si="2"/>
        <v>Mar</v>
      </c>
      <c r="G1092" s="11">
        <f t="shared" si="3"/>
        <v>20</v>
      </c>
      <c r="H1092" s="7">
        <f t="shared" si="4"/>
        <v>2013</v>
      </c>
      <c r="I1092" s="9">
        <v>41363.0</v>
      </c>
      <c r="J1092" s="11">
        <f t="shared" si="5"/>
        <v>10</v>
      </c>
      <c r="K1092" s="7" t="s">
        <v>382</v>
      </c>
      <c r="L1092" s="7" t="s">
        <v>367</v>
      </c>
      <c r="M1092" s="7" t="str">
        <f>VLOOKUP(L1092,countries, 2,false)</f>
        <v>Iceland</v>
      </c>
      <c r="N1092" s="7" t="str">
        <f>VLOOKUP(L1092,countries, 4,false)</f>
        <v>Europe</v>
      </c>
      <c r="O1092" s="7" t="str">
        <f>VLOOKUP(L1092,countries, 5,false)</f>
        <v>Northern Europe</v>
      </c>
      <c r="P1092" s="7" t="s">
        <v>129</v>
      </c>
      <c r="Q1092" s="7">
        <v>7733.0</v>
      </c>
      <c r="R1092" s="12">
        <v>255.28</v>
      </c>
      <c r="S1092" s="12">
        <v>159.42</v>
      </c>
      <c r="T1092" s="13">
        <f t="shared" si="6"/>
        <v>1974080.24</v>
      </c>
      <c r="U1092" s="13">
        <f t="shared" si="7"/>
        <v>1911249.14</v>
      </c>
      <c r="V1092" s="13">
        <f t="shared" si="8"/>
        <v>62831.1</v>
      </c>
      <c r="W1092" s="14">
        <f>Q1092/totals!B$2</f>
        <v>0.001175849126</v>
      </c>
      <c r="X1092" s="14">
        <f t="shared" si="9"/>
        <v>0.8123400751</v>
      </c>
      <c r="Y1092" s="14">
        <f>T1092/totals!B$5</f>
        <v>0.00115977095</v>
      </c>
      <c r="Z1092" s="14">
        <f t="shared" si="10"/>
        <v>0.8158010076</v>
      </c>
      <c r="AA1092" s="14">
        <f>V1092/totals!B$4</f>
        <v>0.0001252836978</v>
      </c>
      <c r="AB1092" s="14">
        <f t="shared" si="11"/>
        <v>0.8173281601</v>
      </c>
    </row>
    <row r="1093">
      <c r="A1093" s="7">
        <v>8293.0</v>
      </c>
      <c r="B1093" s="7" t="str">
        <f>VLOOKUP($A1093,product_category,2, False)</f>
        <v>Cosmetics</v>
      </c>
      <c r="C1093" s="7">
        <v>8.26968657E8</v>
      </c>
      <c r="D1093" s="9">
        <v>42861.0</v>
      </c>
      <c r="E1093" s="10">
        <f t="shared" si="1"/>
        <v>5</v>
      </c>
      <c r="F1093" s="10" t="str">
        <f t="shared" si="2"/>
        <v>May</v>
      </c>
      <c r="G1093" s="11">
        <f t="shared" si="3"/>
        <v>6</v>
      </c>
      <c r="H1093" s="7">
        <f t="shared" si="4"/>
        <v>2017</v>
      </c>
      <c r="I1093" s="9">
        <v>42901.0</v>
      </c>
      <c r="J1093" s="11">
        <f t="shared" si="5"/>
        <v>40</v>
      </c>
      <c r="K1093" s="7" t="s">
        <v>382</v>
      </c>
      <c r="L1093" s="7" t="s">
        <v>155</v>
      </c>
      <c r="M1093" s="7" t="str">
        <f>VLOOKUP(L1093,countries, 2,false)</f>
        <v>Bulgaria</v>
      </c>
      <c r="N1093" s="7" t="str">
        <f>VLOOKUP(L1093,countries, 4,false)</f>
        <v>Europe</v>
      </c>
      <c r="O1093" s="7" t="str">
        <f>VLOOKUP(L1093,countries, 5,false)</f>
        <v>Eastern Europe</v>
      </c>
      <c r="P1093" s="7" t="s">
        <v>212</v>
      </c>
      <c r="Q1093" s="7">
        <v>7258.0</v>
      </c>
      <c r="R1093" s="12">
        <v>437.2</v>
      </c>
      <c r="S1093" s="12">
        <v>263.33</v>
      </c>
      <c r="T1093" s="13">
        <f t="shared" si="6"/>
        <v>3173197.6</v>
      </c>
      <c r="U1093" s="13">
        <f t="shared" si="7"/>
        <v>1044519.84</v>
      </c>
      <c r="V1093" s="13">
        <f t="shared" si="8"/>
        <v>2128677.76</v>
      </c>
      <c r="W1093" s="14">
        <f>Q1093/totals!B$2</f>
        <v>0.001103622522</v>
      </c>
      <c r="X1093" s="14">
        <f t="shared" si="9"/>
        <v>0.8134436976</v>
      </c>
      <c r="Y1093" s="14">
        <f>T1093/totals!B$5</f>
        <v>0.001864251675</v>
      </c>
      <c r="Z1093" s="14">
        <f t="shared" si="10"/>
        <v>0.8176652592</v>
      </c>
      <c r="AA1093" s="14">
        <f>V1093/totals!B$4</f>
        <v>0.004244532105</v>
      </c>
      <c r="AB1093" s="14">
        <f t="shared" si="11"/>
        <v>0.8215726922</v>
      </c>
    </row>
    <row r="1094">
      <c r="A1094" s="7">
        <v>7331.0</v>
      </c>
      <c r="B1094" s="7" t="str">
        <f>VLOOKUP($A1094,product_category,2, False)</f>
        <v>Baby Food</v>
      </c>
      <c r="C1094" s="7">
        <v>8.28993833E8</v>
      </c>
      <c r="D1094" s="9">
        <v>41856.0</v>
      </c>
      <c r="E1094" s="10">
        <f t="shared" si="1"/>
        <v>8</v>
      </c>
      <c r="F1094" s="10" t="str">
        <f t="shared" si="2"/>
        <v>Aug</v>
      </c>
      <c r="G1094" s="11">
        <f t="shared" si="3"/>
        <v>5</v>
      </c>
      <c r="H1094" s="7">
        <f t="shared" si="4"/>
        <v>2014</v>
      </c>
      <c r="I1094" s="9">
        <v>41884.0</v>
      </c>
      <c r="J1094" s="11">
        <f t="shared" si="5"/>
        <v>28</v>
      </c>
      <c r="K1094" s="7" t="s">
        <v>110</v>
      </c>
      <c r="L1094" s="7" t="s">
        <v>367</v>
      </c>
      <c r="M1094" s="7" t="str">
        <f>VLOOKUP(L1094,countries, 2,false)</f>
        <v>Iceland</v>
      </c>
      <c r="N1094" s="7" t="str">
        <f>VLOOKUP(L1094,countries, 4,false)</f>
        <v>Europe</v>
      </c>
      <c r="O1094" s="7" t="str">
        <f>VLOOKUP(L1094,countries, 5,false)</f>
        <v>Northern Europe</v>
      </c>
      <c r="P1094" s="7" t="s">
        <v>212</v>
      </c>
      <c r="Q1094" s="7">
        <v>6552.0</v>
      </c>
      <c r="R1094" s="12">
        <v>255.28</v>
      </c>
      <c r="S1094" s="12">
        <v>159.42</v>
      </c>
      <c r="T1094" s="13">
        <f t="shared" si="6"/>
        <v>1672594.56</v>
      </c>
      <c r="U1094" s="13">
        <f t="shared" si="7"/>
        <v>1941814.56</v>
      </c>
      <c r="V1094" s="13">
        <f t="shared" si="8"/>
        <v>-269220</v>
      </c>
      <c r="W1094" s="14">
        <f>Q1094/totals!B$2</f>
        <v>0.0009962709784</v>
      </c>
      <c r="X1094" s="14">
        <f t="shared" si="9"/>
        <v>0.8144399686</v>
      </c>
      <c r="Y1094" s="14">
        <f>T1094/totals!B$5</f>
        <v>0.0009826482945</v>
      </c>
      <c r="Z1094" s="14">
        <f t="shared" si="10"/>
        <v>0.8186479075</v>
      </c>
      <c r="AA1094" s="14">
        <f>V1094/totals!B$4</f>
        <v>-0.0005368181858</v>
      </c>
      <c r="AB1094" s="14">
        <f t="shared" si="11"/>
        <v>0.821035874</v>
      </c>
    </row>
    <row r="1095">
      <c r="A1095" s="7">
        <v>7940.0</v>
      </c>
      <c r="B1095" s="7" t="str">
        <f>VLOOKUP($A1095,product_category,2, False)</f>
        <v>Household</v>
      </c>
      <c r="C1095" s="7">
        <v>8.29356467E8</v>
      </c>
      <c r="D1095" s="9">
        <v>41150.0</v>
      </c>
      <c r="E1095" s="10">
        <f t="shared" si="1"/>
        <v>8</v>
      </c>
      <c r="F1095" s="10" t="str">
        <f t="shared" si="2"/>
        <v>Aug</v>
      </c>
      <c r="G1095" s="11">
        <f t="shared" si="3"/>
        <v>29</v>
      </c>
      <c r="H1095" s="7">
        <f t="shared" si="4"/>
        <v>2012</v>
      </c>
      <c r="I1095" s="9">
        <v>41168.0</v>
      </c>
      <c r="J1095" s="11">
        <f t="shared" si="5"/>
        <v>18</v>
      </c>
      <c r="K1095" s="7" t="s">
        <v>322</v>
      </c>
      <c r="L1095" s="7" t="s">
        <v>323</v>
      </c>
      <c r="M1095" s="7" t="str">
        <f>VLOOKUP(L1095,countries, 2,false)</f>
        <v>Montenegro</v>
      </c>
      <c r="N1095" s="7" t="str">
        <f>VLOOKUP(L1095,countries, 4,false)</f>
        <v>Europe</v>
      </c>
      <c r="O1095" s="7" t="str">
        <f>VLOOKUP(L1095,countries, 5,false)</f>
        <v>Southern Europe</v>
      </c>
      <c r="P1095" s="7" t="s">
        <v>129</v>
      </c>
      <c r="Q1095" s="7">
        <v>3864.0</v>
      </c>
      <c r="R1095" s="12">
        <v>668.27</v>
      </c>
      <c r="S1095" s="12">
        <v>502.54</v>
      </c>
      <c r="T1095" s="13">
        <f t="shared" si="6"/>
        <v>2582195.28</v>
      </c>
      <c r="U1095" s="13">
        <f t="shared" si="7"/>
        <v>1391172.39</v>
      </c>
      <c r="V1095" s="13">
        <f t="shared" si="8"/>
        <v>1191022.89</v>
      </c>
      <c r="W1095" s="14">
        <f>Q1095/totals!B$2</f>
        <v>0.0005875444232</v>
      </c>
      <c r="X1095" s="14">
        <f t="shared" si="9"/>
        <v>0.815027513</v>
      </c>
      <c r="Y1095" s="14">
        <f>T1095/totals!B$5</f>
        <v>0.001517038169</v>
      </c>
      <c r="Z1095" s="14">
        <f t="shared" si="10"/>
        <v>0.8201649457</v>
      </c>
      <c r="AA1095" s="14">
        <f>V1095/totals!B$4</f>
        <v>0.002374870913</v>
      </c>
      <c r="AB1095" s="14">
        <f t="shared" si="11"/>
        <v>0.8234107449</v>
      </c>
    </row>
    <row r="1096">
      <c r="A1096" s="7">
        <v>8293.0</v>
      </c>
      <c r="B1096" s="7" t="str">
        <f>VLOOKUP($A1096,product_category,2, False)</f>
        <v>Cosmetics</v>
      </c>
      <c r="C1096" s="7">
        <v>8.30172288E8</v>
      </c>
      <c r="D1096" s="9">
        <v>41438.0</v>
      </c>
      <c r="E1096" s="10">
        <f t="shared" si="1"/>
        <v>6</v>
      </c>
      <c r="F1096" s="10" t="str">
        <f t="shared" si="2"/>
        <v>Jun</v>
      </c>
      <c r="G1096" s="11">
        <f t="shared" si="3"/>
        <v>13</v>
      </c>
      <c r="H1096" s="7">
        <f t="shared" si="4"/>
        <v>2013</v>
      </c>
      <c r="I1096" s="9">
        <v>41484.0</v>
      </c>
      <c r="J1096" s="11">
        <f t="shared" si="5"/>
        <v>46</v>
      </c>
      <c r="K1096" s="7" t="s">
        <v>382</v>
      </c>
      <c r="L1096" s="7" t="e">
        <v>#N/A</v>
      </c>
      <c r="M1096" s="7"/>
      <c r="N1096" s="7"/>
      <c r="O1096" s="7"/>
      <c r="P1096" s="7" t="s">
        <v>129</v>
      </c>
      <c r="Q1096" s="7">
        <v>5283.0</v>
      </c>
      <c r="R1096" s="12">
        <v>437.2</v>
      </c>
      <c r="S1096" s="12">
        <v>263.33</v>
      </c>
      <c r="T1096" s="13">
        <f t="shared" si="6"/>
        <v>2309727.6</v>
      </c>
      <c r="U1096" s="13">
        <f t="shared" si="7"/>
        <v>19389.84</v>
      </c>
      <c r="V1096" s="13">
        <f t="shared" si="8"/>
        <v>2290337.76</v>
      </c>
      <c r="W1096" s="14">
        <f>Q1096/totals!B$2</f>
        <v>0.0008033119015</v>
      </c>
      <c r="X1096" s="14">
        <f t="shared" si="9"/>
        <v>0.8158308249</v>
      </c>
      <c r="Y1096" s="14">
        <f>T1096/totals!B$5</f>
        <v>0.001356963571</v>
      </c>
      <c r="Z1096" s="14">
        <f t="shared" si="10"/>
        <v>0.8215219093</v>
      </c>
      <c r="AA1096" s="14">
        <f>V1096/totals!B$4</f>
        <v>0.004566878246</v>
      </c>
      <c r="AB1096" s="14">
        <f t="shared" si="11"/>
        <v>0.8279776232</v>
      </c>
    </row>
    <row r="1097">
      <c r="A1097" s="7">
        <v>4594.0</v>
      </c>
      <c r="B1097" s="7" t="str">
        <f>VLOOKUP($A1097,product_category,2, False)</f>
        <v>Fruits</v>
      </c>
      <c r="C1097" s="7">
        <v>8.31143891E8</v>
      </c>
      <c r="D1097" s="9">
        <v>42499.0</v>
      </c>
      <c r="E1097" s="10">
        <f t="shared" si="1"/>
        <v>5</v>
      </c>
      <c r="F1097" s="10" t="str">
        <f t="shared" si="2"/>
        <v>May</v>
      </c>
      <c r="G1097" s="11">
        <f t="shared" si="3"/>
        <v>9</v>
      </c>
      <c r="H1097" s="7">
        <f t="shared" si="4"/>
        <v>2016</v>
      </c>
      <c r="I1097" s="9">
        <v>42522.0</v>
      </c>
      <c r="J1097" s="11">
        <f t="shared" si="5"/>
        <v>23</v>
      </c>
      <c r="K1097" s="7" t="s">
        <v>110</v>
      </c>
      <c r="L1097" s="7" t="s">
        <v>478</v>
      </c>
      <c r="M1097" s="7" t="str">
        <f>VLOOKUP(L1097,countries, 2,false)</f>
        <v>Malta</v>
      </c>
      <c r="N1097" s="7" t="str">
        <f>VLOOKUP(L1097,countries, 4,false)</f>
        <v>Europe</v>
      </c>
      <c r="O1097" s="7" t="str">
        <f>VLOOKUP(L1097,countries, 5,false)</f>
        <v>Southern Europe</v>
      </c>
      <c r="P1097" s="7" t="s">
        <v>129</v>
      </c>
      <c r="Q1097" s="7">
        <v>2802.0</v>
      </c>
      <c r="R1097" s="12">
        <v>9.33</v>
      </c>
      <c r="S1097" s="12">
        <v>6.92</v>
      </c>
      <c r="T1097" s="13">
        <f t="shared" si="6"/>
        <v>26142.66</v>
      </c>
      <c r="U1097" s="13">
        <f t="shared" si="7"/>
        <v>803156.5</v>
      </c>
      <c r="V1097" s="13">
        <f t="shared" si="8"/>
        <v>-777013.84</v>
      </c>
      <c r="W1097" s="14">
        <f>Q1097/totals!B$2</f>
        <v>0.0004260609404</v>
      </c>
      <c r="X1097" s="14">
        <f t="shared" si="9"/>
        <v>0.8162568859</v>
      </c>
      <c r="Y1097" s="14">
        <f>T1097/totals!B$5</f>
        <v>0.00001535879697</v>
      </c>
      <c r="Z1097" s="14">
        <f t="shared" si="10"/>
        <v>0.8215372681</v>
      </c>
      <c r="AA1097" s="14">
        <f>V1097/totals!B$4</f>
        <v>-0.001549346854</v>
      </c>
      <c r="AB1097" s="14">
        <f t="shared" si="11"/>
        <v>0.8264282763</v>
      </c>
    </row>
    <row r="1098">
      <c r="A1098" s="7">
        <v>8293.0</v>
      </c>
      <c r="B1098" s="7" t="str">
        <f>VLOOKUP($A1098,product_category,2, False)</f>
        <v>Cosmetics</v>
      </c>
      <c r="C1098" s="7">
        <v>8.3205713E8</v>
      </c>
      <c r="D1098" s="9">
        <v>40604.0</v>
      </c>
      <c r="E1098" s="10">
        <f t="shared" si="1"/>
        <v>3</v>
      </c>
      <c r="F1098" s="10" t="str">
        <f t="shared" si="2"/>
        <v>Mar</v>
      </c>
      <c r="G1098" s="11">
        <f t="shared" si="3"/>
        <v>2</v>
      </c>
      <c r="H1098" s="7">
        <f t="shared" si="4"/>
        <v>2011</v>
      </c>
      <c r="I1098" s="9">
        <v>40635.0</v>
      </c>
      <c r="J1098" s="11">
        <f t="shared" si="5"/>
        <v>31</v>
      </c>
      <c r="K1098" s="7" t="s">
        <v>198</v>
      </c>
      <c r="L1098" s="7" t="s">
        <v>540</v>
      </c>
      <c r="M1098" s="7" t="str">
        <f>VLOOKUP(L1098,countries, 2,false)</f>
        <v>Spain</v>
      </c>
      <c r="N1098" s="7" t="str">
        <f>VLOOKUP(L1098,countries, 4,false)</f>
        <v>Europe</v>
      </c>
      <c r="O1098" s="7" t="str">
        <f>VLOOKUP(L1098,countries, 5,false)</f>
        <v>Southern Europe</v>
      </c>
      <c r="P1098" s="7" t="s">
        <v>129</v>
      </c>
      <c r="Q1098" s="7">
        <v>3050.0</v>
      </c>
      <c r="R1098" s="12">
        <v>437.2</v>
      </c>
      <c r="S1098" s="12">
        <v>263.33</v>
      </c>
      <c r="T1098" s="13">
        <f t="shared" si="6"/>
        <v>1333460</v>
      </c>
      <c r="U1098" s="13">
        <f t="shared" si="7"/>
        <v>71972.56</v>
      </c>
      <c r="V1098" s="13">
        <f t="shared" si="8"/>
        <v>1261487.44</v>
      </c>
      <c r="W1098" s="14">
        <f>Q1098/totals!B$2</f>
        <v>0.0004637708309</v>
      </c>
      <c r="X1098" s="14">
        <f t="shared" si="9"/>
        <v>0.8167206567</v>
      </c>
      <c r="Y1098" s="14">
        <f>T1098/totals!B$5</f>
        <v>0.0007834069452</v>
      </c>
      <c r="Z1098" s="14">
        <f t="shared" si="10"/>
        <v>0.822320675</v>
      </c>
      <c r="AA1098" s="14">
        <f>V1098/totals!B$4</f>
        <v>0.002515375526</v>
      </c>
      <c r="AB1098" s="14">
        <f t="shared" si="11"/>
        <v>0.8289436518</v>
      </c>
    </row>
    <row r="1099">
      <c r="A1099" s="7">
        <v>1270.0</v>
      </c>
      <c r="B1099" s="7" t="str">
        <f>VLOOKUP($A1099,product_category,2, False)</f>
        <v>Beverages</v>
      </c>
      <c r="C1099" s="7">
        <v>8.33473765E8</v>
      </c>
      <c r="D1099" s="9">
        <v>41392.0</v>
      </c>
      <c r="E1099" s="10">
        <f t="shared" si="1"/>
        <v>4</v>
      </c>
      <c r="F1099" s="10" t="str">
        <f t="shared" si="2"/>
        <v>Apr</v>
      </c>
      <c r="G1099" s="11">
        <f t="shared" si="3"/>
        <v>28</v>
      </c>
      <c r="H1099" s="7">
        <f t="shared" si="4"/>
        <v>2013</v>
      </c>
      <c r="I1099" s="9">
        <v>41419.0</v>
      </c>
      <c r="J1099" s="11">
        <f t="shared" si="5"/>
        <v>27</v>
      </c>
      <c r="K1099" s="7" t="s">
        <v>382</v>
      </c>
      <c r="L1099" s="7" t="s">
        <v>28</v>
      </c>
      <c r="M1099" s="7" t="str">
        <f>VLOOKUP(L1099,countries, 2,false)</f>
        <v>Albania</v>
      </c>
      <c r="N1099" s="7" t="str">
        <f>VLOOKUP(L1099,countries, 4,false)</f>
        <v>Europe</v>
      </c>
      <c r="O1099" s="7" t="str">
        <f>VLOOKUP(L1099,countries, 5,false)</f>
        <v>Southern Europe</v>
      </c>
      <c r="P1099" s="7" t="s">
        <v>212</v>
      </c>
      <c r="Q1099" s="7">
        <v>2264.0</v>
      </c>
      <c r="R1099" s="12">
        <v>47.45</v>
      </c>
      <c r="S1099" s="12">
        <v>31.79</v>
      </c>
      <c r="T1099" s="13">
        <f t="shared" si="6"/>
        <v>107426.8</v>
      </c>
      <c r="U1099" s="13">
        <f t="shared" si="7"/>
        <v>143225.53</v>
      </c>
      <c r="V1099" s="13">
        <f t="shared" si="8"/>
        <v>-35798.73</v>
      </c>
      <c r="W1099" s="14">
        <f>Q1099/totals!B$2</f>
        <v>0.0003442548069</v>
      </c>
      <c r="X1099" s="14">
        <f t="shared" si="9"/>
        <v>0.8170649115</v>
      </c>
      <c r="Y1099" s="14">
        <f>T1099/totals!B$5</f>
        <v>0.00006311318016</v>
      </c>
      <c r="Z1099" s="14">
        <f t="shared" si="10"/>
        <v>0.8223837882</v>
      </c>
      <c r="AA1099" s="14">
        <f>V1099/totals!B$4</f>
        <v>-0.00007138180408</v>
      </c>
      <c r="AB1099" s="14">
        <f t="shared" si="11"/>
        <v>0.82887227</v>
      </c>
    </row>
    <row r="1100">
      <c r="A1100" s="7">
        <v>2103.0</v>
      </c>
      <c r="B1100" s="7" t="str">
        <f>VLOOKUP($A1100,product_category,2, False)</f>
        <v>Cereal</v>
      </c>
      <c r="C1100" s="7">
        <v>8.33706796E8</v>
      </c>
      <c r="D1100" s="9">
        <v>41360.0</v>
      </c>
      <c r="E1100" s="10">
        <f t="shared" si="1"/>
        <v>3</v>
      </c>
      <c r="F1100" s="10" t="str">
        <f t="shared" si="2"/>
        <v>Mar</v>
      </c>
      <c r="G1100" s="11">
        <f t="shared" si="3"/>
        <v>27</v>
      </c>
      <c r="H1100" s="7">
        <f t="shared" si="4"/>
        <v>2013</v>
      </c>
      <c r="I1100" s="9">
        <v>41367.0</v>
      </c>
      <c r="J1100" s="11">
        <f t="shared" si="5"/>
        <v>7</v>
      </c>
      <c r="K1100" s="7" t="s">
        <v>110</v>
      </c>
      <c r="L1100" s="7" t="s">
        <v>231</v>
      </c>
      <c r="M1100" s="7" t="str">
        <f>VLOOKUP(L1100,countries, 2,false)</f>
        <v>Cyprus</v>
      </c>
      <c r="N1100" s="7" t="str">
        <f>VLOOKUP(L1100,countries, 4,false)</f>
        <v>Asia</v>
      </c>
      <c r="O1100" s="7" t="str">
        <f>VLOOKUP(L1100,countries, 5,false)</f>
        <v>Western Asia</v>
      </c>
      <c r="P1100" s="7" t="s">
        <v>129</v>
      </c>
      <c r="Q1100" s="7">
        <v>1223.0</v>
      </c>
      <c r="R1100" s="12">
        <v>205.7</v>
      </c>
      <c r="S1100" s="12">
        <v>117.11</v>
      </c>
      <c r="T1100" s="13">
        <f t="shared" si="6"/>
        <v>251571.1</v>
      </c>
      <c r="U1100" s="13">
        <f t="shared" si="7"/>
        <v>3778095.72</v>
      </c>
      <c r="V1100" s="13">
        <f t="shared" si="8"/>
        <v>-3526524.62</v>
      </c>
      <c r="W1100" s="14">
        <f>Q1100/totals!B$2</f>
        <v>0.0001859645004</v>
      </c>
      <c r="X1100" s="14">
        <f t="shared" si="9"/>
        <v>0.817250876</v>
      </c>
      <c r="Y1100" s="14">
        <f>T1100/totals!B$5</f>
        <v>0.0001477978694</v>
      </c>
      <c r="Z1100" s="14">
        <f t="shared" si="10"/>
        <v>0.8225315861</v>
      </c>
      <c r="AA1100" s="14">
        <f>V1100/totals!B$4</f>
        <v>-0.007031805025</v>
      </c>
      <c r="AB1100" s="14">
        <f t="shared" si="11"/>
        <v>0.821840465</v>
      </c>
    </row>
    <row r="1101">
      <c r="A1101" s="7">
        <v>7940.0</v>
      </c>
      <c r="B1101" s="7" t="str">
        <f>VLOOKUP($A1101,product_category,2, False)</f>
        <v>Household</v>
      </c>
      <c r="C1101" s="7">
        <v>8.34065997E8</v>
      </c>
      <c r="D1101" s="9">
        <v>42596.0</v>
      </c>
      <c r="E1101" s="10">
        <f t="shared" si="1"/>
        <v>8</v>
      </c>
      <c r="F1101" s="10" t="str">
        <f t="shared" si="2"/>
        <v>Aug</v>
      </c>
      <c r="G1101" s="11">
        <f t="shared" si="3"/>
        <v>14</v>
      </c>
      <c r="H1101" s="7">
        <f t="shared" si="4"/>
        <v>2016</v>
      </c>
      <c r="I1101" s="9">
        <v>42627.0</v>
      </c>
      <c r="J1101" s="11">
        <f t="shared" si="5"/>
        <v>31</v>
      </c>
      <c r="K1101" s="7" t="s">
        <v>322</v>
      </c>
      <c r="L1101" s="7" t="s">
        <v>56</v>
      </c>
      <c r="M1101" s="7" t="str">
        <f>VLOOKUP(L1101,countries, 2,false)</f>
        <v>Andorra</v>
      </c>
      <c r="N1101" s="7" t="str">
        <f>VLOOKUP(L1101,countries, 4,false)</f>
        <v>Europe</v>
      </c>
      <c r="O1101" s="7" t="str">
        <f>VLOOKUP(L1101,countries, 5,false)</f>
        <v>Southern Europe</v>
      </c>
      <c r="P1101" s="7" t="s">
        <v>212</v>
      </c>
      <c r="Q1101" s="7">
        <v>7518.0</v>
      </c>
      <c r="R1101" s="12">
        <v>668.27</v>
      </c>
      <c r="S1101" s="12">
        <v>502.54</v>
      </c>
      <c r="T1101" s="13">
        <f t="shared" si="6"/>
        <v>5024053.86</v>
      </c>
      <c r="U1101" s="13">
        <f t="shared" si="7"/>
        <v>87668.49</v>
      </c>
      <c r="V1101" s="13">
        <f t="shared" si="8"/>
        <v>4936385.37</v>
      </c>
      <c r="W1101" s="14">
        <f>Q1101/totals!B$2</f>
        <v>0.001143157084</v>
      </c>
      <c r="X1101" s="14">
        <f t="shared" si="9"/>
        <v>0.8183940331</v>
      </c>
      <c r="Y1101" s="14">
        <f>T1101/totals!B$5</f>
        <v>0.00295162861</v>
      </c>
      <c r="Z1101" s="14">
        <f t="shared" si="10"/>
        <v>0.8254832147</v>
      </c>
      <c r="AA1101" s="14">
        <f>V1101/totals!B$4</f>
        <v>0.009843033352</v>
      </c>
      <c r="AB1101" s="14">
        <f t="shared" si="11"/>
        <v>0.8316834984</v>
      </c>
    </row>
    <row r="1102">
      <c r="A1102" s="7">
        <v>3127.0</v>
      </c>
      <c r="B1102" s="7" t="str">
        <f>VLOOKUP($A1102,product_category,2, False)</f>
        <v>Personal Care</v>
      </c>
      <c r="C1102" s="7">
        <v>8.3509339E8</v>
      </c>
      <c r="D1102" s="9">
        <v>41847.0</v>
      </c>
      <c r="E1102" s="10">
        <f t="shared" si="1"/>
        <v>7</v>
      </c>
      <c r="F1102" s="10" t="str">
        <f t="shared" si="2"/>
        <v>Jul</v>
      </c>
      <c r="G1102" s="11">
        <f t="shared" si="3"/>
        <v>27</v>
      </c>
      <c r="H1102" s="7">
        <f t="shared" si="4"/>
        <v>2014</v>
      </c>
      <c r="I1102" s="9">
        <v>41849.0</v>
      </c>
      <c r="J1102" s="11">
        <f t="shared" si="5"/>
        <v>2</v>
      </c>
      <c r="K1102" s="7" t="s">
        <v>382</v>
      </c>
      <c r="L1102" s="7" t="s">
        <v>307</v>
      </c>
      <c r="M1102" s="7" t="str">
        <f>VLOOKUP(L1102,countries, 2,false)</f>
        <v>Germany</v>
      </c>
      <c r="N1102" s="7" t="str">
        <f>VLOOKUP(L1102,countries, 4,false)</f>
        <v>Europe</v>
      </c>
      <c r="O1102" s="7" t="str">
        <f>VLOOKUP(L1102,countries, 5,false)</f>
        <v>Western Europe</v>
      </c>
      <c r="P1102" s="7" t="s">
        <v>212</v>
      </c>
      <c r="Q1102" s="7">
        <v>1547.0</v>
      </c>
      <c r="R1102" s="12">
        <v>81.73</v>
      </c>
      <c r="S1102" s="12">
        <v>56.67</v>
      </c>
      <c r="T1102" s="13">
        <f t="shared" si="6"/>
        <v>126436.31</v>
      </c>
      <c r="U1102" s="13">
        <f t="shared" si="7"/>
        <v>1306101.46</v>
      </c>
      <c r="V1102" s="13">
        <f t="shared" si="8"/>
        <v>-1179665.15</v>
      </c>
      <c r="W1102" s="14">
        <f>Q1102/totals!B$2</f>
        <v>0.0002352306477</v>
      </c>
      <c r="X1102" s="14">
        <f t="shared" si="9"/>
        <v>0.8186292637</v>
      </c>
      <c r="Y1102" s="14">
        <f>T1102/totals!B$5</f>
        <v>0.00007428125581</v>
      </c>
      <c r="Z1102" s="14">
        <f t="shared" si="10"/>
        <v>0.8255574959</v>
      </c>
      <c r="AA1102" s="14">
        <f>V1102/totals!B$4</f>
        <v>-0.002352223853</v>
      </c>
      <c r="AB1102" s="14">
        <f t="shared" si="11"/>
        <v>0.8293312745</v>
      </c>
    </row>
    <row r="1103">
      <c r="A1103" s="7">
        <v>7940.0</v>
      </c>
      <c r="B1103" s="7" t="str">
        <f>VLOOKUP($A1103,product_category,2, False)</f>
        <v>Household</v>
      </c>
      <c r="C1103" s="7">
        <v>8.3526591E8</v>
      </c>
      <c r="D1103" s="9">
        <v>40417.0</v>
      </c>
      <c r="E1103" s="10">
        <f t="shared" si="1"/>
        <v>8</v>
      </c>
      <c r="F1103" s="10" t="str">
        <f t="shared" si="2"/>
        <v>Aug</v>
      </c>
      <c r="G1103" s="11">
        <f t="shared" si="3"/>
        <v>27</v>
      </c>
      <c r="H1103" s="7">
        <f t="shared" si="4"/>
        <v>2010</v>
      </c>
      <c r="I1103" s="9">
        <v>40452.0</v>
      </c>
      <c r="J1103" s="11">
        <f t="shared" si="5"/>
        <v>35</v>
      </c>
      <c r="K1103" s="7" t="s">
        <v>110</v>
      </c>
      <c r="L1103" s="7" t="s">
        <v>88</v>
      </c>
      <c r="M1103" s="7" t="str">
        <f>VLOOKUP(L1103,countries, 2,false)</f>
        <v>Austria</v>
      </c>
      <c r="N1103" s="7" t="str">
        <f>VLOOKUP(L1103,countries, 4,false)</f>
        <v>Europe</v>
      </c>
      <c r="O1103" s="7" t="str">
        <f>VLOOKUP(L1103,countries, 5,false)</f>
        <v>Western Europe</v>
      </c>
      <c r="P1103" s="7" t="s">
        <v>212</v>
      </c>
      <c r="Q1103" s="7">
        <v>2599.0</v>
      </c>
      <c r="R1103" s="12">
        <v>668.27</v>
      </c>
      <c r="S1103" s="12">
        <v>502.54</v>
      </c>
      <c r="T1103" s="13">
        <f t="shared" si="6"/>
        <v>1736833.73</v>
      </c>
      <c r="U1103" s="13">
        <f t="shared" si="7"/>
        <v>1336926.41</v>
      </c>
      <c r="V1103" s="13">
        <f t="shared" si="8"/>
        <v>399907.32</v>
      </c>
      <c r="W1103" s="14">
        <f>Q1103/totals!B$2</f>
        <v>0.0003951935703</v>
      </c>
      <c r="X1103" s="14">
        <f t="shared" si="9"/>
        <v>0.8190244573</v>
      </c>
      <c r="Y1103" s="14">
        <f>T1103/totals!B$5</f>
        <v>0.001020388768</v>
      </c>
      <c r="Z1103" s="14">
        <f t="shared" si="10"/>
        <v>0.8265778847</v>
      </c>
      <c r="AA1103" s="14">
        <f>V1103/totals!B$4</f>
        <v>0.0007974055495</v>
      </c>
      <c r="AB1103" s="14">
        <f t="shared" si="11"/>
        <v>0.8301286801</v>
      </c>
    </row>
    <row r="1104">
      <c r="A1104" s="7">
        <v>8293.0</v>
      </c>
      <c r="B1104" s="7" t="str">
        <f>VLOOKUP($A1104,product_category,2, False)</f>
        <v>Cosmetics</v>
      </c>
      <c r="C1104" s="7">
        <v>8.3534187E8</v>
      </c>
      <c r="D1104" s="9">
        <v>42761.0</v>
      </c>
      <c r="E1104" s="10">
        <f t="shared" si="1"/>
        <v>1</v>
      </c>
      <c r="F1104" s="10" t="str">
        <f t="shared" si="2"/>
        <v>Jan</v>
      </c>
      <c r="G1104" s="11">
        <f t="shared" si="3"/>
        <v>26</v>
      </c>
      <c r="H1104" s="7">
        <f t="shared" si="4"/>
        <v>2017</v>
      </c>
      <c r="I1104" s="9">
        <v>42790.0</v>
      </c>
      <c r="J1104" s="11">
        <f t="shared" si="5"/>
        <v>29</v>
      </c>
      <c r="K1104" s="7" t="s">
        <v>110</v>
      </c>
      <c r="L1104" s="7" t="s">
        <v>454</v>
      </c>
      <c r="M1104" s="7" t="str">
        <f>VLOOKUP(L1104,countries, 2,false)</f>
        <v>Luxembourg</v>
      </c>
      <c r="N1104" s="7" t="str">
        <f>VLOOKUP(L1104,countries, 4,false)</f>
        <v>Europe</v>
      </c>
      <c r="O1104" s="7" t="str">
        <f>VLOOKUP(L1104,countries, 5,false)</f>
        <v>Western Europe</v>
      </c>
      <c r="P1104" s="7" t="s">
        <v>129</v>
      </c>
      <c r="Q1104" s="7">
        <v>5077.0</v>
      </c>
      <c r="R1104" s="12">
        <v>437.2</v>
      </c>
      <c r="S1104" s="12">
        <v>263.33</v>
      </c>
      <c r="T1104" s="13">
        <f t="shared" si="6"/>
        <v>2219664.4</v>
      </c>
      <c r="U1104" s="13">
        <f t="shared" si="7"/>
        <v>2950412.34</v>
      </c>
      <c r="V1104" s="13">
        <f t="shared" si="8"/>
        <v>-730747.94</v>
      </c>
      <c r="W1104" s="14">
        <f>Q1104/totals!B$2</f>
        <v>0.0007719883635</v>
      </c>
      <c r="X1104" s="14">
        <f t="shared" si="9"/>
        <v>0.8197964457</v>
      </c>
      <c r="Y1104" s="14">
        <f>T1104/totals!B$5</f>
        <v>0.001304051495</v>
      </c>
      <c r="Z1104" s="14">
        <f t="shared" si="10"/>
        <v>0.8278819362</v>
      </c>
      <c r="AA1104" s="14">
        <f>V1104/totals!B$4</f>
        <v>-0.001457093765</v>
      </c>
      <c r="AB1104" s="14">
        <f t="shared" si="11"/>
        <v>0.8286715863</v>
      </c>
    </row>
    <row r="1105">
      <c r="A1105" s="7">
        <v>7940.0</v>
      </c>
      <c r="B1105" s="7" t="str">
        <f>VLOOKUP($A1105,product_category,2, False)</f>
        <v>Household</v>
      </c>
      <c r="C1105" s="7">
        <v>8.37608659E8</v>
      </c>
      <c r="D1105" s="9">
        <v>41020.0</v>
      </c>
      <c r="E1105" s="10">
        <f t="shared" si="1"/>
        <v>4</v>
      </c>
      <c r="F1105" s="10" t="str">
        <f t="shared" si="2"/>
        <v>Apr</v>
      </c>
      <c r="G1105" s="11">
        <f t="shared" si="3"/>
        <v>21</v>
      </c>
      <c r="H1105" s="7">
        <f t="shared" si="4"/>
        <v>2012</v>
      </c>
      <c r="I1105" s="9">
        <v>41031.0</v>
      </c>
      <c r="J1105" s="11">
        <f t="shared" si="5"/>
        <v>11</v>
      </c>
      <c r="K1105" s="7" t="s">
        <v>382</v>
      </c>
      <c r="L1105" s="7" t="s">
        <v>155</v>
      </c>
      <c r="M1105" s="7" t="str">
        <f>VLOOKUP(L1105,countries, 2,false)</f>
        <v>Bulgaria</v>
      </c>
      <c r="N1105" s="7" t="str">
        <f>VLOOKUP(L1105,countries, 4,false)</f>
        <v>Europe</v>
      </c>
      <c r="O1105" s="7" t="str">
        <f>VLOOKUP(L1105,countries, 5,false)</f>
        <v>Eastern Europe</v>
      </c>
      <c r="P1105" s="7" t="s">
        <v>129</v>
      </c>
      <c r="Q1105" s="7">
        <v>5871.0</v>
      </c>
      <c r="R1105" s="12">
        <v>668.27</v>
      </c>
      <c r="S1105" s="12">
        <v>502.54</v>
      </c>
      <c r="T1105" s="13">
        <f t="shared" si="6"/>
        <v>3923413.17</v>
      </c>
      <c r="U1105" s="13">
        <f t="shared" si="7"/>
        <v>131388.07</v>
      </c>
      <c r="V1105" s="13">
        <f t="shared" si="8"/>
        <v>3792025.1</v>
      </c>
      <c r="W1105" s="14">
        <f>Q1105/totals!B$2</f>
        <v>0.0008927208355</v>
      </c>
      <c r="X1105" s="14">
        <f t="shared" si="9"/>
        <v>0.8206891665</v>
      </c>
      <c r="Y1105" s="14">
        <f>T1105/totals!B$5</f>
        <v>0.002305002869</v>
      </c>
      <c r="Z1105" s="14">
        <f t="shared" si="10"/>
        <v>0.8301869391</v>
      </c>
      <c r="AA1105" s="14">
        <f>V1105/totals!B$4</f>
        <v>0.007561206578</v>
      </c>
      <c r="AB1105" s="14">
        <f t="shared" si="11"/>
        <v>0.8362327929</v>
      </c>
    </row>
    <row r="1106">
      <c r="A1106" s="7">
        <v>1270.0</v>
      </c>
      <c r="B1106" s="7" t="str">
        <f>VLOOKUP($A1106,product_category,2, False)</f>
        <v>Beverages</v>
      </c>
      <c r="C1106" s="7">
        <v>8.3790692E8</v>
      </c>
      <c r="D1106" s="9">
        <v>42829.0</v>
      </c>
      <c r="E1106" s="10">
        <f t="shared" si="1"/>
        <v>4</v>
      </c>
      <c r="F1106" s="10" t="str">
        <f t="shared" si="2"/>
        <v>Apr</v>
      </c>
      <c r="G1106" s="11">
        <f t="shared" si="3"/>
        <v>4</v>
      </c>
      <c r="H1106" s="7">
        <f t="shared" si="4"/>
        <v>2017</v>
      </c>
      <c r="I1106" s="9">
        <v>42871.0</v>
      </c>
      <c r="J1106" s="11">
        <f t="shared" si="5"/>
        <v>42</v>
      </c>
      <c r="K1106" s="7" t="s">
        <v>322</v>
      </c>
      <c r="L1106" s="7" t="s">
        <v>705</v>
      </c>
      <c r="M1106" s="7" t="str">
        <f>VLOOKUP(L1106,countries, 2,false)</f>
        <v>Switzerland</v>
      </c>
      <c r="N1106" s="7" t="str">
        <f>VLOOKUP(L1106,countries, 4,false)</f>
        <v>Europe</v>
      </c>
      <c r="O1106" s="7" t="str">
        <f>VLOOKUP(L1106,countries, 5,false)</f>
        <v>Western Europe</v>
      </c>
      <c r="P1106" s="7" t="s">
        <v>129</v>
      </c>
      <c r="Q1106" s="7">
        <v>4133.0</v>
      </c>
      <c r="R1106" s="12">
        <v>47.45</v>
      </c>
      <c r="S1106" s="12">
        <v>31.79</v>
      </c>
      <c r="T1106" s="13">
        <f t="shared" si="6"/>
        <v>196110.85</v>
      </c>
      <c r="U1106" s="13">
        <f t="shared" si="7"/>
        <v>794389.86</v>
      </c>
      <c r="V1106" s="13">
        <f t="shared" si="8"/>
        <v>-598279.01</v>
      </c>
      <c r="W1106" s="14">
        <f>Q1106/totals!B$2</f>
        <v>0.0006284474899</v>
      </c>
      <c r="X1106" s="14">
        <f t="shared" si="9"/>
        <v>0.821317614</v>
      </c>
      <c r="Y1106" s="14">
        <f>T1106/totals!B$5</f>
        <v>0.000115215006</v>
      </c>
      <c r="Z1106" s="14">
        <f t="shared" si="10"/>
        <v>0.8303021541</v>
      </c>
      <c r="AA1106" s="14">
        <f>V1106/totals!B$4</f>
        <v>-0.001192953914</v>
      </c>
      <c r="AB1106" s="14">
        <f t="shared" si="11"/>
        <v>0.835039839</v>
      </c>
    </row>
    <row r="1107">
      <c r="A1107" s="7">
        <v>7331.0</v>
      </c>
      <c r="B1107" s="7" t="str">
        <f>VLOOKUP($A1107,product_category,2, False)</f>
        <v>Baby Food</v>
      </c>
      <c r="C1107" s="7">
        <v>8.38788402E8</v>
      </c>
      <c r="D1107" s="9">
        <v>40219.0</v>
      </c>
      <c r="E1107" s="10">
        <f t="shared" si="1"/>
        <v>2</v>
      </c>
      <c r="F1107" s="10" t="str">
        <f t="shared" si="2"/>
        <v>Feb</v>
      </c>
      <c r="G1107" s="11">
        <f t="shared" si="3"/>
        <v>10</v>
      </c>
      <c r="H1107" s="7">
        <f t="shared" si="4"/>
        <v>2010</v>
      </c>
      <c r="I1107" s="9">
        <v>40235.0</v>
      </c>
      <c r="J1107" s="11">
        <f t="shared" si="5"/>
        <v>16</v>
      </c>
      <c r="K1107" s="7" t="s">
        <v>110</v>
      </c>
      <c r="L1107" s="7" t="s">
        <v>77</v>
      </c>
      <c r="M1107" s="7" t="str">
        <f>VLOOKUP(L1107,countries, 2,false)</f>
        <v>Armenia</v>
      </c>
      <c r="N1107" s="7" t="str">
        <f>VLOOKUP(L1107,countries, 4,false)</f>
        <v>Asia</v>
      </c>
      <c r="O1107" s="7" t="str">
        <f>VLOOKUP(L1107,countries, 5,false)</f>
        <v>Western Asia</v>
      </c>
      <c r="P1107" s="7" t="s">
        <v>212</v>
      </c>
      <c r="Q1107" s="7">
        <v>4983.0</v>
      </c>
      <c r="R1107" s="12">
        <v>255.28</v>
      </c>
      <c r="S1107" s="12">
        <v>159.42</v>
      </c>
      <c r="T1107" s="13">
        <f t="shared" si="6"/>
        <v>1272060.24</v>
      </c>
      <c r="U1107" s="13">
        <f t="shared" si="7"/>
        <v>374305.35</v>
      </c>
      <c r="V1107" s="13">
        <f t="shared" si="8"/>
        <v>897754.89</v>
      </c>
      <c r="W1107" s="14">
        <f>Q1107/totals!B$2</f>
        <v>0.0007576950985</v>
      </c>
      <c r="X1107" s="14">
        <f t="shared" si="9"/>
        <v>0.8220753091</v>
      </c>
      <c r="Y1107" s="14">
        <f>T1107/totals!B$5</f>
        <v>0.0007473346232</v>
      </c>
      <c r="Z1107" s="14">
        <f t="shared" si="10"/>
        <v>0.8310494887</v>
      </c>
      <c r="AA1107" s="14">
        <f>V1107/totals!B$4</f>
        <v>0.001790101595</v>
      </c>
      <c r="AB1107" s="14">
        <f t="shared" si="11"/>
        <v>0.8368299406</v>
      </c>
    </row>
    <row r="1108">
      <c r="A1108" s="7">
        <v>3127.0</v>
      </c>
      <c r="B1108" s="7" t="str">
        <f>VLOOKUP($A1108,product_category,2, False)</f>
        <v>Personal Care</v>
      </c>
      <c r="C1108" s="7">
        <v>8.38895261E8</v>
      </c>
      <c r="D1108" s="9">
        <v>41687.0</v>
      </c>
      <c r="E1108" s="10">
        <f t="shared" si="1"/>
        <v>2</v>
      </c>
      <c r="F1108" s="10" t="str">
        <f t="shared" si="2"/>
        <v>Feb</v>
      </c>
      <c r="G1108" s="11">
        <f t="shared" si="3"/>
        <v>17</v>
      </c>
      <c r="H1108" s="7">
        <f t="shared" si="4"/>
        <v>2014</v>
      </c>
      <c r="I1108" s="9">
        <v>41689.0</v>
      </c>
      <c r="J1108" s="11">
        <f t="shared" si="5"/>
        <v>2</v>
      </c>
      <c r="K1108" s="7" t="s">
        <v>322</v>
      </c>
      <c r="L1108" s="7" t="e">
        <v>#N/A</v>
      </c>
      <c r="M1108" s="7"/>
      <c r="N1108" s="7"/>
      <c r="O1108" s="7"/>
      <c r="P1108" s="7" t="s">
        <v>212</v>
      </c>
      <c r="Q1108" s="7">
        <v>6605.0</v>
      </c>
      <c r="R1108" s="12">
        <v>81.73</v>
      </c>
      <c r="S1108" s="12">
        <v>56.67</v>
      </c>
      <c r="T1108" s="13">
        <f t="shared" si="6"/>
        <v>539826.65</v>
      </c>
      <c r="U1108" s="13">
        <f t="shared" si="7"/>
        <v>255467.52</v>
      </c>
      <c r="V1108" s="13">
        <f t="shared" si="8"/>
        <v>284359.13</v>
      </c>
      <c r="W1108" s="14">
        <f>Q1108/totals!B$2</f>
        <v>0.001004329947</v>
      </c>
      <c r="X1108" s="14">
        <f t="shared" si="9"/>
        <v>0.823079639</v>
      </c>
      <c r="Y1108" s="14">
        <f>T1108/totals!B$5</f>
        <v>0.0003171478311</v>
      </c>
      <c r="Z1108" s="14">
        <f t="shared" si="10"/>
        <v>0.8313666365</v>
      </c>
      <c r="AA1108" s="14">
        <f>V1108/totals!B$4</f>
        <v>0.0005670052459</v>
      </c>
      <c r="AB1108" s="14">
        <f t="shared" si="11"/>
        <v>0.8373969458</v>
      </c>
    </row>
    <row r="1109">
      <c r="A1109" s="7">
        <v>2455.0</v>
      </c>
      <c r="B1109" s="7" t="str">
        <f>VLOOKUP($A1109,product_category,2, False)</f>
        <v>Clothes</v>
      </c>
      <c r="C1109" s="7">
        <v>8.39437711E8</v>
      </c>
      <c r="D1109" s="9">
        <v>41996.0</v>
      </c>
      <c r="E1109" s="10">
        <f t="shared" si="1"/>
        <v>12</v>
      </c>
      <c r="F1109" s="10" t="str">
        <f t="shared" si="2"/>
        <v>Dec</v>
      </c>
      <c r="G1109" s="11">
        <f t="shared" si="3"/>
        <v>23</v>
      </c>
      <c r="H1109" s="7">
        <f t="shared" si="4"/>
        <v>2014</v>
      </c>
      <c r="I1109" s="9">
        <v>41997.0</v>
      </c>
      <c r="J1109" s="11">
        <f t="shared" si="5"/>
        <v>1</v>
      </c>
      <c r="K1109" s="7" t="s">
        <v>322</v>
      </c>
      <c r="L1109" s="7" t="s">
        <v>107</v>
      </c>
      <c r="M1109" s="7" t="str">
        <f>VLOOKUP(L1109,countries, 2,false)</f>
        <v>Belarus</v>
      </c>
      <c r="N1109" s="7" t="str">
        <f>VLOOKUP(L1109,countries, 4,false)</f>
        <v>Europe</v>
      </c>
      <c r="O1109" s="7" t="str">
        <f>VLOOKUP(L1109,countries, 5,false)</f>
        <v>Eastern Europe</v>
      </c>
      <c r="P1109" s="7" t="s">
        <v>212</v>
      </c>
      <c r="Q1109" s="7">
        <v>7128.0</v>
      </c>
      <c r="R1109" s="12">
        <v>109.28</v>
      </c>
      <c r="S1109" s="12">
        <v>35.84</v>
      </c>
      <c r="T1109" s="13">
        <f t="shared" si="6"/>
        <v>778947.84</v>
      </c>
      <c r="U1109" s="13">
        <f t="shared" si="7"/>
        <v>260285.31</v>
      </c>
      <c r="V1109" s="13">
        <f t="shared" si="8"/>
        <v>518662.53</v>
      </c>
      <c r="W1109" s="14">
        <f>Q1109/totals!B$2</f>
        <v>0.00108385524</v>
      </c>
      <c r="X1109" s="14">
        <f t="shared" si="9"/>
        <v>0.8241634943</v>
      </c>
      <c r="Y1109" s="14">
        <f>T1109/totals!B$5</f>
        <v>0.0004576313859</v>
      </c>
      <c r="Z1109" s="14">
        <f t="shared" si="10"/>
        <v>0.8318242679</v>
      </c>
      <c r="AA1109" s="14">
        <f>V1109/totals!B$4</f>
        <v>0.001034200574</v>
      </c>
      <c r="AB1109" s="14">
        <f t="shared" si="11"/>
        <v>0.8384311464</v>
      </c>
    </row>
    <row r="1110">
      <c r="A1110" s="7">
        <v>3127.0</v>
      </c>
      <c r="B1110" s="7" t="str">
        <f>VLOOKUP($A1110,product_category,2, False)</f>
        <v>Personal Care</v>
      </c>
      <c r="C1110" s="7">
        <v>8.40747058E8</v>
      </c>
      <c r="D1110" s="9">
        <v>40522.0</v>
      </c>
      <c r="E1110" s="10">
        <f t="shared" si="1"/>
        <v>12</v>
      </c>
      <c r="F1110" s="10" t="str">
        <f t="shared" si="2"/>
        <v>Dec</v>
      </c>
      <c r="G1110" s="11">
        <f t="shared" si="3"/>
        <v>10</v>
      </c>
      <c r="H1110" s="7">
        <f t="shared" si="4"/>
        <v>2010</v>
      </c>
      <c r="I1110" s="9">
        <v>40538.0</v>
      </c>
      <c r="J1110" s="11">
        <f t="shared" si="5"/>
        <v>16</v>
      </c>
      <c r="K1110" s="7" t="s">
        <v>198</v>
      </c>
      <c r="L1110" s="7" t="s">
        <v>77</v>
      </c>
      <c r="M1110" s="7" t="str">
        <f>VLOOKUP(L1110,countries, 2,false)</f>
        <v>Armenia</v>
      </c>
      <c r="N1110" s="7" t="str">
        <f>VLOOKUP(L1110,countries, 4,false)</f>
        <v>Asia</v>
      </c>
      <c r="O1110" s="7" t="str">
        <f>VLOOKUP(L1110,countries, 5,false)</f>
        <v>Western Asia</v>
      </c>
      <c r="P1110" s="7" t="s">
        <v>129</v>
      </c>
      <c r="Q1110" s="7">
        <v>4593.0</v>
      </c>
      <c r="R1110" s="12">
        <v>81.73</v>
      </c>
      <c r="S1110" s="12">
        <v>56.67</v>
      </c>
      <c r="T1110" s="13">
        <f t="shared" si="6"/>
        <v>375385.89</v>
      </c>
      <c r="U1110" s="13">
        <f t="shared" si="7"/>
        <v>2388070.08</v>
      </c>
      <c r="V1110" s="13">
        <f t="shared" si="8"/>
        <v>-2012684.19</v>
      </c>
      <c r="W1110" s="14">
        <f>Q1110/totals!B$2</f>
        <v>0.0006983932546</v>
      </c>
      <c r="X1110" s="14">
        <f t="shared" si="9"/>
        <v>0.8248618875</v>
      </c>
      <c r="Y1110" s="14">
        <f>T1110/totals!B$5</f>
        <v>0.0002205389838</v>
      </c>
      <c r="Z1110" s="14">
        <f t="shared" si="10"/>
        <v>0.8320448069</v>
      </c>
      <c r="AA1110" s="14">
        <f>V1110/totals!B$4</f>
        <v>-0.004013243725</v>
      </c>
      <c r="AB1110" s="14">
        <f t="shared" si="11"/>
        <v>0.8344179027</v>
      </c>
    </row>
    <row r="1111">
      <c r="A1111" s="7">
        <v>7940.0</v>
      </c>
      <c r="B1111" s="7" t="str">
        <f>VLOOKUP($A1111,product_category,2, False)</f>
        <v>Household</v>
      </c>
      <c r="C1111" s="7">
        <v>8.4078139E8</v>
      </c>
      <c r="D1111" s="9">
        <v>40471.0</v>
      </c>
      <c r="E1111" s="10">
        <f t="shared" si="1"/>
        <v>10</v>
      </c>
      <c r="F1111" s="10" t="str">
        <f t="shared" si="2"/>
        <v>Oct</v>
      </c>
      <c r="G1111" s="11">
        <f t="shared" si="3"/>
        <v>20</v>
      </c>
      <c r="H1111" s="7">
        <f t="shared" si="4"/>
        <v>2010</v>
      </c>
      <c r="I1111" s="9">
        <v>40495.0</v>
      </c>
      <c r="J1111" s="11">
        <f t="shared" si="5"/>
        <v>24</v>
      </c>
      <c r="K1111" s="7" t="s">
        <v>382</v>
      </c>
      <c r="L1111" s="7" t="s">
        <v>454</v>
      </c>
      <c r="M1111" s="7" t="str">
        <f>VLOOKUP(L1111,countries, 2,false)</f>
        <v>Luxembourg</v>
      </c>
      <c r="N1111" s="7" t="str">
        <f>VLOOKUP(L1111,countries, 4,false)</f>
        <v>Europe</v>
      </c>
      <c r="O1111" s="7" t="str">
        <f>VLOOKUP(L1111,countries, 5,false)</f>
        <v>Western Europe</v>
      </c>
      <c r="P1111" s="7" t="s">
        <v>129</v>
      </c>
      <c r="Q1111" s="7">
        <v>4752.0</v>
      </c>
      <c r="R1111" s="12">
        <v>668.27</v>
      </c>
      <c r="S1111" s="12">
        <v>502.54</v>
      </c>
      <c r="T1111" s="13">
        <f t="shared" si="6"/>
        <v>3175619.04</v>
      </c>
      <c r="U1111" s="13">
        <f t="shared" si="7"/>
        <v>806458.17</v>
      </c>
      <c r="V1111" s="13">
        <f t="shared" si="8"/>
        <v>2369160.87</v>
      </c>
      <c r="W1111" s="14">
        <f>Q1111/totals!B$2</f>
        <v>0.0007225701602</v>
      </c>
      <c r="X1111" s="14">
        <f t="shared" si="9"/>
        <v>0.8255844577</v>
      </c>
      <c r="Y1111" s="14">
        <f>T1111/totals!B$5</f>
        <v>0.001865674269</v>
      </c>
      <c r="Z1111" s="14">
        <f t="shared" si="10"/>
        <v>0.8339104812</v>
      </c>
      <c r="AA1111" s="14">
        <f>V1111/totals!B$4</f>
        <v>0.004724049626</v>
      </c>
      <c r="AB1111" s="14">
        <f t="shared" si="11"/>
        <v>0.8391419523</v>
      </c>
    </row>
    <row r="1112">
      <c r="A1112" s="7">
        <v>5988.0</v>
      </c>
      <c r="B1112" s="7" t="str">
        <f>VLOOKUP($A1112,product_category,2, False)</f>
        <v>Vegetables</v>
      </c>
      <c r="C1112" s="7">
        <v>8.4268769E8</v>
      </c>
      <c r="D1112" s="9">
        <v>40643.0</v>
      </c>
      <c r="E1112" s="10">
        <f t="shared" si="1"/>
        <v>4</v>
      </c>
      <c r="F1112" s="10" t="str">
        <f t="shared" si="2"/>
        <v>Apr</v>
      </c>
      <c r="G1112" s="11">
        <f t="shared" si="3"/>
        <v>10</v>
      </c>
      <c r="H1112" s="7">
        <f t="shared" si="4"/>
        <v>2011</v>
      </c>
      <c r="I1112" s="9">
        <v>40689.0</v>
      </c>
      <c r="J1112" s="11">
        <f t="shared" si="5"/>
        <v>46</v>
      </c>
      <c r="K1112" s="7" t="s">
        <v>382</v>
      </c>
      <c r="L1112" s="7" t="s">
        <v>323</v>
      </c>
      <c r="M1112" s="7" t="str">
        <f>VLOOKUP(L1112,countries, 2,false)</f>
        <v>Montenegro</v>
      </c>
      <c r="N1112" s="7" t="str">
        <f>VLOOKUP(L1112,countries, 4,false)</f>
        <v>Europe</v>
      </c>
      <c r="O1112" s="7" t="str">
        <f>VLOOKUP(L1112,countries, 5,false)</f>
        <v>Southern Europe</v>
      </c>
      <c r="P1112" s="7" t="s">
        <v>212</v>
      </c>
      <c r="Q1112" s="7">
        <v>8869.0</v>
      </c>
      <c r="R1112" s="12">
        <v>154.06</v>
      </c>
      <c r="S1112" s="12">
        <v>90.93</v>
      </c>
      <c r="T1112" s="13">
        <f t="shared" si="6"/>
        <v>1366358.14</v>
      </c>
      <c r="U1112" s="13">
        <f t="shared" si="7"/>
        <v>16662.24</v>
      </c>
      <c r="V1112" s="13">
        <f t="shared" si="8"/>
        <v>1349695.9</v>
      </c>
      <c r="W1112" s="14">
        <f>Q1112/totals!B$2</f>
        <v>0.001348584754</v>
      </c>
      <c r="X1112" s="14">
        <f t="shared" si="9"/>
        <v>0.8269330424</v>
      </c>
      <c r="Y1112" s="14">
        <f>T1112/totals!B$5</f>
        <v>0.0008027345826</v>
      </c>
      <c r="Z1112" s="14">
        <f t="shared" si="10"/>
        <v>0.8347132157</v>
      </c>
      <c r="AA1112" s="14">
        <f>V1112/totals!B$4</f>
        <v>0.002691261067</v>
      </c>
      <c r="AB1112" s="14">
        <f t="shared" si="11"/>
        <v>0.8418332133</v>
      </c>
    </row>
    <row r="1113">
      <c r="A1113" s="7">
        <v>8969.0</v>
      </c>
      <c r="B1113" s="7" t="str">
        <f>VLOOKUP($A1113,product_category,2, False)</f>
        <v>Snacks</v>
      </c>
      <c r="C1113" s="7">
        <v>8.42725884E8</v>
      </c>
      <c r="D1113" s="9">
        <v>42212.0</v>
      </c>
      <c r="E1113" s="10">
        <f t="shared" si="1"/>
        <v>7</v>
      </c>
      <c r="F1113" s="10" t="str">
        <f t="shared" si="2"/>
        <v>Jul</v>
      </c>
      <c r="G1113" s="11">
        <f t="shared" si="3"/>
        <v>27</v>
      </c>
      <c r="H1113" s="7">
        <f t="shared" si="4"/>
        <v>2015</v>
      </c>
      <c r="I1113" s="9">
        <v>42227.0</v>
      </c>
      <c r="J1113" s="11">
        <f t="shared" si="5"/>
        <v>15</v>
      </c>
      <c r="K1113" s="7" t="s">
        <v>382</v>
      </c>
      <c r="L1113" s="7" t="s">
        <v>231</v>
      </c>
      <c r="M1113" s="7" t="str">
        <f>VLOOKUP(L1113,countries, 2,false)</f>
        <v>Cyprus</v>
      </c>
      <c r="N1113" s="7" t="str">
        <f>VLOOKUP(L1113,countries, 4,false)</f>
        <v>Asia</v>
      </c>
      <c r="O1113" s="7" t="str">
        <f>VLOOKUP(L1113,countries, 5,false)</f>
        <v>Western Asia</v>
      </c>
      <c r="P1113" s="7" t="s">
        <v>212</v>
      </c>
      <c r="Q1113" s="7">
        <v>171.0</v>
      </c>
      <c r="R1113" s="12">
        <v>152.58</v>
      </c>
      <c r="S1113" s="12">
        <v>97.44</v>
      </c>
      <c r="T1113" s="13">
        <f t="shared" si="6"/>
        <v>26091.18</v>
      </c>
      <c r="U1113" s="13">
        <f t="shared" si="7"/>
        <v>265033.23</v>
      </c>
      <c r="V1113" s="13">
        <f t="shared" si="8"/>
        <v>-238942.05</v>
      </c>
      <c r="W1113" s="14">
        <f>Q1113/totals!B$2</f>
        <v>0.00002600157773</v>
      </c>
      <c r="X1113" s="14">
        <f t="shared" si="9"/>
        <v>0.826959044</v>
      </c>
      <c r="Y1113" s="14">
        <f>T1113/totals!B$5</f>
        <v>0.0000153285525</v>
      </c>
      <c r="Z1113" s="14">
        <f t="shared" si="10"/>
        <v>0.8347285443</v>
      </c>
      <c r="AA1113" s="14">
        <f>V1113/totals!B$4</f>
        <v>-0.0004764446839</v>
      </c>
      <c r="AB1113" s="14">
        <f t="shared" si="11"/>
        <v>0.8413567687</v>
      </c>
    </row>
    <row r="1114">
      <c r="A1114" s="7">
        <v>1270.0</v>
      </c>
      <c r="B1114" s="7" t="str">
        <f>VLOOKUP($A1114,product_category,2, False)</f>
        <v>Beverages</v>
      </c>
      <c r="C1114" s="7">
        <v>8.44105184E8</v>
      </c>
      <c r="D1114" s="9">
        <v>40254.0</v>
      </c>
      <c r="E1114" s="10">
        <f t="shared" si="1"/>
        <v>3</v>
      </c>
      <c r="F1114" s="10" t="str">
        <f t="shared" si="2"/>
        <v>Mar</v>
      </c>
      <c r="G1114" s="11">
        <f t="shared" si="3"/>
        <v>17</v>
      </c>
      <c r="H1114" s="7">
        <f t="shared" si="4"/>
        <v>2010</v>
      </c>
      <c r="I1114" s="9">
        <v>40288.0</v>
      </c>
      <c r="J1114" s="11">
        <f t="shared" si="5"/>
        <v>34</v>
      </c>
      <c r="K1114" s="7" t="s">
        <v>382</v>
      </c>
      <c r="L1114" s="7" t="s">
        <v>670</v>
      </c>
      <c r="M1114" s="7" t="str">
        <f>VLOOKUP(L1114,countries, 2,false)</f>
        <v>Slovenia</v>
      </c>
      <c r="N1114" s="7" t="str">
        <f>VLOOKUP(L1114,countries, 4,false)</f>
        <v>Europe</v>
      </c>
      <c r="O1114" s="7" t="str">
        <f>VLOOKUP(L1114,countries, 5,false)</f>
        <v>Southern Europe</v>
      </c>
      <c r="P1114" s="7" t="s">
        <v>212</v>
      </c>
      <c r="Q1114" s="7">
        <v>8337.0</v>
      </c>
      <c r="R1114" s="12">
        <v>47.45</v>
      </c>
      <c r="S1114" s="12">
        <v>31.79</v>
      </c>
      <c r="T1114" s="13">
        <f t="shared" si="6"/>
        <v>395590.65</v>
      </c>
      <c r="U1114" s="13">
        <f t="shared" si="7"/>
        <v>1299591.84</v>
      </c>
      <c r="V1114" s="13">
        <f t="shared" si="8"/>
        <v>-904001.19</v>
      </c>
      <c r="W1114" s="14">
        <f>Q1114/totals!B$2</f>
        <v>0.001267690956</v>
      </c>
      <c r="X1114" s="14">
        <f t="shared" si="9"/>
        <v>0.828226735</v>
      </c>
      <c r="Y1114" s="14">
        <f>T1114/totals!B$5</f>
        <v>0.0002324092681</v>
      </c>
      <c r="Z1114" s="14">
        <f t="shared" si="10"/>
        <v>0.8349609536</v>
      </c>
      <c r="AA1114" s="14">
        <f>V1114/totals!B$4</f>
        <v>-0.001802556566</v>
      </c>
      <c r="AB1114" s="14">
        <f t="shared" si="11"/>
        <v>0.8395542121</v>
      </c>
    </row>
    <row r="1115">
      <c r="A1115" s="7">
        <v>7331.0</v>
      </c>
      <c r="B1115" s="7" t="str">
        <f>VLOOKUP($A1115,product_category,2, False)</f>
        <v>Baby Food</v>
      </c>
      <c r="C1115" s="7">
        <v>8.44307315E8</v>
      </c>
      <c r="D1115" s="9">
        <v>41098.0</v>
      </c>
      <c r="E1115" s="10">
        <f t="shared" si="1"/>
        <v>7</v>
      </c>
      <c r="F1115" s="10" t="str">
        <f t="shared" si="2"/>
        <v>Jul</v>
      </c>
      <c r="G1115" s="11">
        <f t="shared" si="3"/>
        <v>8</v>
      </c>
      <c r="H1115" s="7">
        <f t="shared" si="4"/>
        <v>2012</v>
      </c>
      <c r="I1115" s="9">
        <v>41119.0</v>
      </c>
      <c r="J1115" s="11">
        <f t="shared" si="5"/>
        <v>21</v>
      </c>
      <c r="K1115" s="7" t="s">
        <v>382</v>
      </c>
      <c r="L1115" s="7" t="s">
        <v>762</v>
      </c>
      <c r="M1115" s="7" t="str">
        <f>VLOOKUP(L1115,countries, 2,false)</f>
        <v>United Kingdom</v>
      </c>
      <c r="N1115" s="7" t="str">
        <f>VLOOKUP(L1115,countries, 4,false)</f>
        <v>Europe</v>
      </c>
      <c r="O1115" s="7" t="str">
        <f>VLOOKUP(L1115,countries, 5,false)</f>
        <v>Northern Europe</v>
      </c>
      <c r="P1115" s="7" t="s">
        <v>129</v>
      </c>
      <c r="Q1115" s="7">
        <v>8152.0</v>
      </c>
      <c r="R1115" s="12">
        <v>255.28</v>
      </c>
      <c r="S1115" s="12">
        <v>159.42</v>
      </c>
      <c r="T1115" s="13">
        <f t="shared" si="6"/>
        <v>2081042.56</v>
      </c>
      <c r="U1115" s="13">
        <f t="shared" si="7"/>
        <v>2697611.93</v>
      </c>
      <c r="V1115" s="13">
        <f t="shared" si="8"/>
        <v>-616569.37</v>
      </c>
      <c r="W1115" s="14">
        <f>Q1115/totals!B$2</f>
        <v>0.001239560595</v>
      </c>
      <c r="X1115" s="14">
        <f t="shared" si="9"/>
        <v>0.8294662956</v>
      </c>
      <c r="Y1115" s="14">
        <f>T1115/totals!B$5</f>
        <v>0.001222611248</v>
      </c>
      <c r="Z1115" s="14">
        <f t="shared" si="10"/>
        <v>0.8361835648</v>
      </c>
      <c r="AA1115" s="14">
        <f>V1115/totals!B$4</f>
        <v>-0.001229424451</v>
      </c>
      <c r="AB1115" s="14">
        <f t="shared" si="11"/>
        <v>0.8383247876</v>
      </c>
    </row>
    <row r="1116">
      <c r="A1116" s="7">
        <v>8875.0</v>
      </c>
      <c r="B1116" s="7" t="str">
        <f>VLOOKUP($A1116,product_category,2, False)</f>
        <v>Meat</v>
      </c>
      <c r="C1116" s="7">
        <v>8.44575107E8</v>
      </c>
      <c r="D1116" s="9">
        <v>41811.0</v>
      </c>
      <c r="E1116" s="10">
        <f t="shared" si="1"/>
        <v>6</v>
      </c>
      <c r="F1116" s="10" t="str">
        <f t="shared" si="2"/>
        <v>Jun</v>
      </c>
      <c r="G1116" s="11">
        <f t="shared" si="3"/>
        <v>21</v>
      </c>
      <c r="H1116" s="7">
        <f t="shared" si="4"/>
        <v>2014</v>
      </c>
      <c r="I1116" s="9">
        <v>41816.0</v>
      </c>
      <c r="J1116" s="11">
        <f t="shared" si="5"/>
        <v>5</v>
      </c>
      <c r="K1116" s="7" t="s">
        <v>382</v>
      </c>
      <c r="L1116" s="7" t="s">
        <v>283</v>
      </c>
      <c r="M1116" s="7" t="str">
        <f>VLOOKUP(L1116,countries, 2,false)</f>
        <v>Finland</v>
      </c>
      <c r="N1116" s="7" t="str">
        <f>VLOOKUP(L1116,countries, 4,false)</f>
        <v>Europe</v>
      </c>
      <c r="O1116" s="7" t="str">
        <f>VLOOKUP(L1116,countries, 5,false)</f>
        <v>Northern Europe</v>
      </c>
      <c r="P1116" s="7" t="s">
        <v>129</v>
      </c>
      <c r="Q1116" s="7">
        <v>7397.0</v>
      </c>
      <c r="R1116" s="12">
        <v>421.89</v>
      </c>
      <c r="S1116" s="12">
        <v>364.69</v>
      </c>
      <c r="T1116" s="13">
        <f t="shared" si="6"/>
        <v>3120720.33</v>
      </c>
      <c r="U1116" s="13">
        <f t="shared" si="7"/>
        <v>1538777.48</v>
      </c>
      <c r="V1116" s="13">
        <f t="shared" si="8"/>
        <v>1581942.85</v>
      </c>
      <c r="W1116" s="14">
        <f>Q1116/totals!B$2</f>
        <v>0.001124758307</v>
      </c>
      <c r="X1116" s="14">
        <f t="shared" si="9"/>
        <v>0.8305910539</v>
      </c>
      <c r="Y1116" s="14">
        <f>T1116/totals!B$5</f>
        <v>0.00183342131</v>
      </c>
      <c r="Z1116" s="14">
        <f t="shared" si="10"/>
        <v>0.8380169861</v>
      </c>
      <c r="AA1116" s="14">
        <f>V1116/totals!B$4</f>
        <v>0.003154355883</v>
      </c>
      <c r="AB1116" s="14">
        <f t="shared" si="11"/>
        <v>0.8414791435</v>
      </c>
    </row>
    <row r="1117">
      <c r="A1117" s="7">
        <v>7940.0</v>
      </c>
      <c r="B1117" s="7" t="str">
        <f>VLOOKUP($A1117,product_category,2, False)</f>
        <v>Household</v>
      </c>
      <c r="C1117" s="7">
        <v>8.45067346E8</v>
      </c>
      <c r="D1117" s="9">
        <v>40430.0</v>
      </c>
      <c r="E1117" s="10">
        <f t="shared" si="1"/>
        <v>9</v>
      </c>
      <c r="F1117" s="10" t="str">
        <f t="shared" si="2"/>
        <v>Sep</v>
      </c>
      <c r="G1117" s="11">
        <f t="shared" si="3"/>
        <v>9</v>
      </c>
      <c r="H1117" s="7">
        <f t="shared" si="4"/>
        <v>2010</v>
      </c>
      <c r="I1117" s="9">
        <v>40434.0</v>
      </c>
      <c r="J1117" s="11">
        <f t="shared" si="5"/>
        <v>4</v>
      </c>
      <c r="K1117" s="7" t="s">
        <v>382</v>
      </c>
      <c r="L1117" s="7" t="s">
        <v>478</v>
      </c>
      <c r="M1117" s="7" t="str">
        <f>VLOOKUP(L1117,countries, 2,false)</f>
        <v>Malta</v>
      </c>
      <c r="N1117" s="7" t="str">
        <f>VLOOKUP(L1117,countries, 4,false)</f>
        <v>Europe</v>
      </c>
      <c r="O1117" s="7" t="str">
        <f>VLOOKUP(L1117,countries, 5,false)</f>
        <v>Southern Europe</v>
      </c>
      <c r="P1117" s="7" t="s">
        <v>129</v>
      </c>
      <c r="Q1117" s="7">
        <v>3062.0</v>
      </c>
      <c r="R1117" s="12">
        <v>668.27</v>
      </c>
      <c r="S1117" s="12">
        <v>502.54</v>
      </c>
      <c r="T1117" s="13">
        <f t="shared" si="6"/>
        <v>2046242.74</v>
      </c>
      <c r="U1117" s="13">
        <f t="shared" si="7"/>
        <v>410004.81</v>
      </c>
      <c r="V1117" s="13">
        <f t="shared" si="8"/>
        <v>1636237.93</v>
      </c>
      <c r="W1117" s="14">
        <f>Q1117/totals!B$2</f>
        <v>0.000465595503</v>
      </c>
      <c r="X1117" s="14">
        <f t="shared" si="9"/>
        <v>0.8310566494</v>
      </c>
      <c r="Y1117" s="14">
        <f>T1117/totals!B$5</f>
        <v>0.001202166375</v>
      </c>
      <c r="Z1117" s="14">
        <f t="shared" si="10"/>
        <v>0.8392191525</v>
      </c>
      <c r="AA1117" s="14">
        <f>V1117/totals!B$4</f>
        <v>0.003262618963</v>
      </c>
      <c r="AB1117" s="14">
        <f t="shared" si="11"/>
        <v>0.8447417625</v>
      </c>
    </row>
    <row r="1118">
      <c r="A1118" s="7">
        <v>8293.0</v>
      </c>
      <c r="B1118" s="7" t="str">
        <f>VLOOKUP($A1118,product_category,2, False)</f>
        <v>Cosmetics</v>
      </c>
      <c r="C1118" s="7">
        <v>8.45738112E8</v>
      </c>
      <c r="D1118" s="9">
        <v>40447.0</v>
      </c>
      <c r="E1118" s="10">
        <f t="shared" si="1"/>
        <v>9</v>
      </c>
      <c r="F1118" s="10" t="str">
        <f t="shared" si="2"/>
        <v>Sep</v>
      </c>
      <c r="G1118" s="11">
        <f t="shared" si="3"/>
        <v>26</v>
      </c>
      <c r="H1118" s="7">
        <f t="shared" si="4"/>
        <v>2010</v>
      </c>
      <c r="I1118" s="9">
        <v>40474.0</v>
      </c>
      <c r="J1118" s="11">
        <f t="shared" si="5"/>
        <v>27</v>
      </c>
      <c r="K1118" s="7" t="s">
        <v>322</v>
      </c>
      <c r="L1118" s="7" t="e">
        <v>#N/A</v>
      </c>
      <c r="M1118" s="7"/>
      <c r="N1118" s="7"/>
      <c r="O1118" s="7"/>
      <c r="P1118" s="7" t="s">
        <v>129</v>
      </c>
      <c r="Q1118" s="7">
        <v>1557.0</v>
      </c>
      <c r="R1118" s="12">
        <v>437.2</v>
      </c>
      <c r="S1118" s="12">
        <v>263.33</v>
      </c>
      <c r="T1118" s="13">
        <f t="shared" si="6"/>
        <v>680720.4</v>
      </c>
      <c r="U1118" s="13">
        <f t="shared" si="7"/>
        <v>141093.12</v>
      </c>
      <c r="V1118" s="13">
        <f t="shared" si="8"/>
        <v>539627.28</v>
      </c>
      <c r="W1118" s="14">
        <f>Q1118/totals!B$2</f>
        <v>0.0002367512078</v>
      </c>
      <c r="X1118" s="14">
        <f t="shared" si="9"/>
        <v>0.8312934006</v>
      </c>
      <c r="Y1118" s="14">
        <f>T1118/totals!B$5</f>
        <v>0.0003999228241</v>
      </c>
      <c r="Z1118" s="14">
        <f t="shared" si="10"/>
        <v>0.8396190753</v>
      </c>
      <c r="AA1118" s="14">
        <f>V1118/totals!B$4</f>
        <v>0.001076003779</v>
      </c>
      <c r="AB1118" s="14">
        <f t="shared" si="11"/>
        <v>0.8458177663</v>
      </c>
    </row>
    <row r="1119">
      <c r="A1119" s="7">
        <v>8969.0</v>
      </c>
      <c r="B1119" s="7" t="str">
        <f>VLOOKUP($A1119,product_category,2, False)</f>
        <v>Snacks</v>
      </c>
      <c r="C1119" s="7">
        <v>8.464136E8</v>
      </c>
      <c r="D1119" s="9">
        <v>40907.0</v>
      </c>
      <c r="E1119" s="10">
        <f t="shared" si="1"/>
        <v>12</v>
      </c>
      <c r="F1119" s="10" t="str">
        <f t="shared" si="2"/>
        <v>Dec</v>
      </c>
      <c r="G1119" s="11">
        <f t="shared" si="3"/>
        <v>30</v>
      </c>
      <c r="H1119" s="7">
        <f t="shared" si="4"/>
        <v>2011</v>
      </c>
      <c r="I1119" s="9">
        <v>40908.0</v>
      </c>
      <c r="J1119" s="11">
        <f t="shared" si="5"/>
        <v>1</v>
      </c>
      <c r="K1119" s="7" t="s">
        <v>322</v>
      </c>
      <c r="L1119" s="7" t="s">
        <v>383</v>
      </c>
      <c r="M1119" s="7" t="str">
        <f>VLOOKUP(L1119,countries, 2,false)</f>
        <v>Ireland</v>
      </c>
      <c r="N1119" s="7" t="str">
        <f>VLOOKUP(L1119,countries, 4,false)</f>
        <v>Europe</v>
      </c>
      <c r="O1119" s="7" t="str">
        <f>VLOOKUP(L1119,countries, 5,false)</f>
        <v>Northern Europe</v>
      </c>
      <c r="P1119" s="7" t="s">
        <v>129</v>
      </c>
      <c r="Q1119" s="7">
        <v>1448.0</v>
      </c>
      <c r="R1119" s="12">
        <v>152.58</v>
      </c>
      <c r="S1119" s="12">
        <v>97.44</v>
      </c>
      <c r="T1119" s="13">
        <f t="shared" si="6"/>
        <v>220935.84</v>
      </c>
      <c r="U1119" s="13">
        <f t="shared" si="7"/>
        <v>3246470.38</v>
      </c>
      <c r="V1119" s="13">
        <f t="shared" si="8"/>
        <v>-3025534.54</v>
      </c>
      <c r="W1119" s="14">
        <f>Q1119/totals!B$2</f>
        <v>0.0002201771027</v>
      </c>
      <c r="X1119" s="14">
        <f t="shared" si="9"/>
        <v>0.8315135777</v>
      </c>
      <c r="Y1119" s="14">
        <f>T1119/totals!B$5</f>
        <v>0.0001297996727</v>
      </c>
      <c r="Z1119" s="14">
        <f t="shared" si="10"/>
        <v>0.839748875</v>
      </c>
      <c r="AA1119" s="14">
        <f>V1119/totals!B$4</f>
        <v>-0.00603284289</v>
      </c>
      <c r="AB1119" s="14">
        <f t="shared" si="11"/>
        <v>0.8397849234</v>
      </c>
    </row>
    <row r="1120">
      <c r="A1120" s="7">
        <v>8875.0</v>
      </c>
      <c r="B1120" s="7" t="str">
        <f>VLOOKUP($A1120,product_category,2, False)</f>
        <v>Meat</v>
      </c>
      <c r="C1120" s="7">
        <v>8.47317397E8</v>
      </c>
      <c r="D1120" s="9">
        <v>40892.0</v>
      </c>
      <c r="E1120" s="10">
        <f t="shared" si="1"/>
        <v>12</v>
      </c>
      <c r="F1120" s="10" t="str">
        <f t="shared" si="2"/>
        <v>Dec</v>
      </c>
      <c r="G1120" s="11">
        <f t="shared" si="3"/>
        <v>15</v>
      </c>
      <c r="H1120" s="7">
        <f t="shared" si="4"/>
        <v>2011</v>
      </c>
      <c r="I1120" s="9">
        <v>40895.0</v>
      </c>
      <c r="J1120" s="11">
        <f t="shared" si="5"/>
        <v>3</v>
      </c>
      <c r="K1120" s="7" t="s">
        <v>110</v>
      </c>
      <c r="L1120" s="7" t="s">
        <v>432</v>
      </c>
      <c r="M1120" s="7" t="str">
        <f>VLOOKUP(L1120,countries, 2,false)</f>
        <v>Latvia</v>
      </c>
      <c r="N1120" s="7" t="str">
        <f>VLOOKUP(L1120,countries, 4,false)</f>
        <v>Europe</v>
      </c>
      <c r="O1120" s="7" t="str">
        <f>VLOOKUP(L1120,countries, 5,false)</f>
        <v>Northern Europe</v>
      </c>
      <c r="P1120" s="7" t="s">
        <v>212</v>
      </c>
      <c r="Q1120" s="7">
        <v>8902.0</v>
      </c>
      <c r="R1120" s="12">
        <v>421.89</v>
      </c>
      <c r="S1120" s="12">
        <v>364.69</v>
      </c>
      <c r="T1120" s="13">
        <f t="shared" si="6"/>
        <v>3755664.78</v>
      </c>
      <c r="U1120" s="13">
        <f t="shared" si="7"/>
        <v>830372.76</v>
      </c>
      <c r="V1120" s="13">
        <f t="shared" si="8"/>
        <v>2925292.02</v>
      </c>
      <c r="W1120" s="14">
        <f>Q1120/totals!B$2</f>
        <v>0.001353602602</v>
      </c>
      <c r="X1120" s="14">
        <f t="shared" si="9"/>
        <v>0.8328671803</v>
      </c>
      <c r="Y1120" s="14">
        <f>T1120/totals!B$5</f>
        <v>0.002206450792</v>
      </c>
      <c r="Z1120" s="14">
        <f t="shared" si="10"/>
        <v>0.8419553258</v>
      </c>
      <c r="AA1120" s="14">
        <f>V1120/totals!B$4</f>
        <v>0.005832961724</v>
      </c>
      <c r="AB1120" s="14">
        <f t="shared" si="11"/>
        <v>0.8456178851</v>
      </c>
    </row>
    <row r="1121">
      <c r="A1121" s="7">
        <v>5988.0</v>
      </c>
      <c r="B1121" s="7" t="str">
        <f>VLOOKUP($A1121,product_category,2, False)</f>
        <v>Vegetables</v>
      </c>
      <c r="C1121" s="7">
        <v>8.48737466E8</v>
      </c>
      <c r="D1121" s="9">
        <v>42505.0</v>
      </c>
      <c r="E1121" s="10">
        <f t="shared" si="1"/>
        <v>5</v>
      </c>
      <c r="F1121" s="10" t="str">
        <f t="shared" si="2"/>
        <v>May</v>
      </c>
      <c r="G1121" s="11">
        <f t="shared" si="3"/>
        <v>15</v>
      </c>
      <c r="H1121" s="7">
        <f t="shared" si="4"/>
        <v>2016</v>
      </c>
      <c r="I1121" s="9">
        <v>42521.0</v>
      </c>
      <c r="J1121" s="11">
        <f t="shared" si="5"/>
        <v>16</v>
      </c>
      <c r="K1121" s="7" t="s">
        <v>322</v>
      </c>
      <c r="L1121" s="7" t="s">
        <v>77</v>
      </c>
      <c r="M1121" s="7" t="str">
        <f>VLOOKUP(L1121,countries, 2,false)</f>
        <v>Armenia</v>
      </c>
      <c r="N1121" s="7" t="str">
        <f>VLOOKUP(L1121,countries, 4,false)</f>
        <v>Asia</v>
      </c>
      <c r="O1121" s="7" t="str">
        <f>VLOOKUP(L1121,countries, 5,false)</f>
        <v>Western Asia</v>
      </c>
      <c r="P1121" s="7" t="s">
        <v>129</v>
      </c>
      <c r="Q1121" s="7">
        <v>9132.0</v>
      </c>
      <c r="R1121" s="12">
        <v>154.06</v>
      </c>
      <c r="S1121" s="12">
        <v>90.93</v>
      </c>
      <c r="T1121" s="13">
        <f t="shared" si="6"/>
        <v>1406875.92</v>
      </c>
      <c r="U1121" s="13">
        <f t="shared" si="7"/>
        <v>1681585.59</v>
      </c>
      <c r="V1121" s="13">
        <f t="shared" si="8"/>
        <v>-274709.67</v>
      </c>
      <c r="W1121" s="14">
        <f>Q1121/totals!B$2</f>
        <v>0.001388575485</v>
      </c>
      <c r="X1121" s="14">
        <f t="shared" si="9"/>
        <v>0.8342557558</v>
      </c>
      <c r="Y1121" s="14">
        <f>T1121/totals!B$5</f>
        <v>0.0008265387539</v>
      </c>
      <c r="Z1121" s="14">
        <f t="shared" si="10"/>
        <v>0.8427818645</v>
      </c>
      <c r="AA1121" s="14">
        <f>V1121/totals!B$4</f>
        <v>-0.0005477644554</v>
      </c>
      <c r="AB1121" s="14">
        <f t="shared" si="11"/>
        <v>0.8450701206</v>
      </c>
    </row>
    <row r="1122">
      <c r="A1122" s="7">
        <v>8875.0</v>
      </c>
      <c r="B1122" s="7" t="str">
        <f>VLOOKUP($A1122,product_category,2, False)</f>
        <v>Meat</v>
      </c>
      <c r="C1122" s="7">
        <v>8.49431836E8</v>
      </c>
      <c r="D1122" s="9">
        <v>41968.0</v>
      </c>
      <c r="E1122" s="10">
        <f t="shared" si="1"/>
        <v>11</v>
      </c>
      <c r="F1122" s="10" t="str">
        <f t="shared" si="2"/>
        <v>Nov</v>
      </c>
      <c r="G1122" s="11">
        <f t="shared" si="3"/>
        <v>25</v>
      </c>
      <c r="H1122" s="7">
        <f t="shared" si="4"/>
        <v>2014</v>
      </c>
      <c r="I1122" s="9">
        <v>41971.0</v>
      </c>
      <c r="J1122" s="11">
        <f t="shared" si="5"/>
        <v>3</v>
      </c>
      <c r="K1122" s="7" t="s">
        <v>322</v>
      </c>
      <c r="L1122" s="7" t="s">
        <v>432</v>
      </c>
      <c r="M1122" s="7" t="str">
        <f>VLOOKUP(L1122,countries, 2,false)</f>
        <v>Latvia</v>
      </c>
      <c r="N1122" s="7" t="str">
        <f>VLOOKUP(L1122,countries, 4,false)</f>
        <v>Europe</v>
      </c>
      <c r="O1122" s="7" t="str">
        <f>VLOOKUP(L1122,countries, 5,false)</f>
        <v>Northern Europe</v>
      </c>
      <c r="P1122" s="7" t="s">
        <v>129</v>
      </c>
      <c r="Q1122" s="7">
        <v>4611.0</v>
      </c>
      <c r="R1122" s="12">
        <v>421.89</v>
      </c>
      <c r="S1122" s="12">
        <v>364.69</v>
      </c>
      <c r="T1122" s="13">
        <f t="shared" si="6"/>
        <v>1945334.79</v>
      </c>
      <c r="U1122" s="13">
        <f t="shared" si="7"/>
        <v>704496.32</v>
      </c>
      <c r="V1122" s="13">
        <f t="shared" si="8"/>
        <v>1240838.47</v>
      </c>
      <c r="W1122" s="14">
        <f>Q1122/totals!B$2</f>
        <v>0.0007011302627</v>
      </c>
      <c r="X1122" s="14">
        <f t="shared" si="9"/>
        <v>0.834956886</v>
      </c>
      <c r="Y1122" s="14">
        <f>T1122/totals!B$5</f>
        <v>0.001142883015</v>
      </c>
      <c r="Z1122" s="14">
        <f t="shared" si="10"/>
        <v>0.8439247476</v>
      </c>
      <c r="AA1122" s="14">
        <f>V1122/totals!B$4</f>
        <v>0.002474201977</v>
      </c>
      <c r="AB1122" s="14">
        <f t="shared" si="11"/>
        <v>0.8475443226</v>
      </c>
    </row>
    <row r="1123">
      <c r="A1123" s="7">
        <v>8681.0</v>
      </c>
      <c r="B1123" s="7" t="str">
        <f>VLOOKUP($A1123,product_category,2, False)</f>
        <v>Office Supplies</v>
      </c>
      <c r="C1123" s="7">
        <v>8.49454581E8</v>
      </c>
      <c r="D1123" s="9">
        <v>42592.0</v>
      </c>
      <c r="E1123" s="10">
        <f t="shared" si="1"/>
        <v>8</v>
      </c>
      <c r="F1123" s="10" t="str">
        <f t="shared" si="2"/>
        <v>Aug</v>
      </c>
      <c r="G1123" s="11">
        <f t="shared" si="3"/>
        <v>10</v>
      </c>
      <c r="H1123" s="7">
        <f t="shared" si="4"/>
        <v>2016</v>
      </c>
      <c r="I1123" s="9">
        <v>42619.0</v>
      </c>
      <c r="J1123" s="11">
        <f t="shared" si="5"/>
        <v>27</v>
      </c>
      <c r="K1123" s="7" t="s">
        <v>110</v>
      </c>
      <c r="L1123" s="7" t="s">
        <v>28</v>
      </c>
      <c r="M1123" s="7" t="str">
        <f>VLOOKUP(L1123,countries, 2,false)</f>
        <v>Albania</v>
      </c>
      <c r="N1123" s="7" t="str">
        <f>VLOOKUP(L1123,countries, 4,false)</f>
        <v>Europe</v>
      </c>
      <c r="O1123" s="7" t="str">
        <f>VLOOKUP(L1123,countries, 5,false)</f>
        <v>Southern Europe</v>
      </c>
      <c r="P1123" s="7" t="s">
        <v>129</v>
      </c>
      <c r="Q1123" s="7">
        <v>1342.0</v>
      </c>
      <c r="R1123" s="12">
        <v>651.21</v>
      </c>
      <c r="S1123" s="12">
        <v>524.96</v>
      </c>
      <c r="T1123" s="13">
        <f t="shared" si="6"/>
        <v>873923.82</v>
      </c>
      <c r="U1123" s="13">
        <f t="shared" si="7"/>
        <v>38447.52</v>
      </c>
      <c r="V1123" s="13">
        <f t="shared" si="8"/>
        <v>835476.3</v>
      </c>
      <c r="W1123" s="14">
        <f>Q1123/totals!B$2</f>
        <v>0.0002040591656</v>
      </c>
      <c r="X1123" s="14">
        <f t="shared" si="9"/>
        <v>0.8351609452</v>
      </c>
      <c r="Y1123" s="14">
        <f>T1123/totals!B$5</f>
        <v>0.0005134297168</v>
      </c>
      <c r="Z1123" s="14">
        <f t="shared" si="10"/>
        <v>0.8444381773</v>
      </c>
      <c r="AA1123" s="14">
        <f>V1123/totals!B$4</f>
        <v>0.001665919589</v>
      </c>
      <c r="AB1123" s="14">
        <f t="shared" si="11"/>
        <v>0.8492102422</v>
      </c>
    </row>
    <row r="1124">
      <c r="A1124" s="7">
        <v>4594.0</v>
      </c>
      <c r="B1124" s="7" t="str">
        <f>VLOOKUP($A1124,product_category,2, False)</f>
        <v>Fruits</v>
      </c>
      <c r="C1124" s="7">
        <v>8.50279843E8</v>
      </c>
      <c r="D1124" s="9">
        <v>40999.0</v>
      </c>
      <c r="E1124" s="10">
        <f t="shared" si="1"/>
        <v>3</v>
      </c>
      <c r="F1124" s="10" t="str">
        <f t="shared" si="2"/>
        <v>Mar</v>
      </c>
      <c r="G1124" s="11">
        <f t="shared" si="3"/>
        <v>31</v>
      </c>
      <c r="H1124" s="7">
        <f t="shared" si="4"/>
        <v>2012</v>
      </c>
      <c r="I1124" s="9">
        <v>41009.0</v>
      </c>
      <c r="J1124" s="11">
        <f t="shared" si="5"/>
        <v>10</v>
      </c>
      <c r="K1124" s="7" t="s">
        <v>198</v>
      </c>
      <c r="L1124" s="7" t="s">
        <v>231</v>
      </c>
      <c r="M1124" s="7" t="str">
        <f>VLOOKUP(L1124,countries, 2,false)</f>
        <v>Cyprus</v>
      </c>
      <c r="N1124" s="7" t="str">
        <f>VLOOKUP(L1124,countries, 4,false)</f>
        <v>Asia</v>
      </c>
      <c r="O1124" s="7" t="str">
        <f>VLOOKUP(L1124,countries, 5,false)</f>
        <v>Western Asia</v>
      </c>
      <c r="P1124" s="7" t="s">
        <v>212</v>
      </c>
      <c r="Q1124" s="7">
        <v>5556.0</v>
      </c>
      <c r="R1124" s="12">
        <v>9.33</v>
      </c>
      <c r="S1124" s="12">
        <v>6.92</v>
      </c>
      <c r="T1124" s="13">
        <f t="shared" si="6"/>
        <v>51837.48</v>
      </c>
      <c r="U1124" s="13">
        <f t="shared" si="7"/>
        <v>1473997.32</v>
      </c>
      <c r="V1124" s="13">
        <f t="shared" si="8"/>
        <v>-1422159.84</v>
      </c>
      <c r="W1124" s="14">
        <f>Q1124/totals!B$2</f>
        <v>0.0008448231923</v>
      </c>
      <c r="X1124" s="14">
        <f t="shared" si="9"/>
        <v>0.8360057684</v>
      </c>
      <c r="Y1124" s="14">
        <f>T1124/totals!B$5</f>
        <v>0.00003045448821</v>
      </c>
      <c r="Z1124" s="14">
        <f t="shared" si="10"/>
        <v>0.8444686318</v>
      </c>
      <c r="AA1124" s="14">
        <f>V1124/totals!B$4</f>
        <v>-0.002835752415</v>
      </c>
      <c r="AB1124" s="14">
        <f t="shared" si="11"/>
        <v>0.8463744898</v>
      </c>
    </row>
    <row r="1125">
      <c r="A1125" s="7">
        <v>7331.0</v>
      </c>
      <c r="B1125" s="7" t="str">
        <f>VLOOKUP($A1125,product_category,2, False)</f>
        <v>Baby Food</v>
      </c>
      <c r="C1125" s="7">
        <v>8.50562655E8</v>
      </c>
      <c r="D1125" s="9">
        <v>41862.0</v>
      </c>
      <c r="E1125" s="10">
        <f t="shared" si="1"/>
        <v>8</v>
      </c>
      <c r="F1125" s="10" t="str">
        <f t="shared" si="2"/>
        <v>Aug</v>
      </c>
      <c r="G1125" s="11">
        <f t="shared" si="3"/>
        <v>11</v>
      </c>
      <c r="H1125" s="7">
        <f t="shared" si="4"/>
        <v>2014</v>
      </c>
      <c r="I1125" s="9">
        <v>41907.0</v>
      </c>
      <c r="J1125" s="11">
        <f t="shared" si="5"/>
        <v>45</v>
      </c>
      <c r="K1125" s="7" t="s">
        <v>110</v>
      </c>
      <c r="L1125" s="7" t="s">
        <v>705</v>
      </c>
      <c r="M1125" s="7" t="str">
        <f>VLOOKUP(L1125,countries, 2,false)</f>
        <v>Switzerland</v>
      </c>
      <c r="N1125" s="7" t="str">
        <f>VLOOKUP(L1125,countries, 4,false)</f>
        <v>Europe</v>
      </c>
      <c r="O1125" s="7" t="str">
        <f>VLOOKUP(L1125,countries, 5,false)</f>
        <v>Western Europe</v>
      </c>
      <c r="P1125" s="7" t="s">
        <v>212</v>
      </c>
      <c r="Q1125" s="7">
        <v>9246.0</v>
      </c>
      <c r="R1125" s="12">
        <v>255.28</v>
      </c>
      <c r="S1125" s="12">
        <v>159.42</v>
      </c>
      <c r="T1125" s="13">
        <f t="shared" si="6"/>
        <v>2360318.88</v>
      </c>
      <c r="U1125" s="13">
        <f t="shared" si="7"/>
        <v>129130.2</v>
      </c>
      <c r="V1125" s="13">
        <f t="shared" si="8"/>
        <v>2231188.68</v>
      </c>
      <c r="W1125" s="14">
        <f>Q1125/totals!B$2</f>
        <v>0.00140590987</v>
      </c>
      <c r="X1125" s="14">
        <f t="shared" si="9"/>
        <v>0.8374116783</v>
      </c>
      <c r="Y1125" s="14">
        <f>T1125/totals!B$5</f>
        <v>0.001386685917</v>
      </c>
      <c r="Z1125" s="14">
        <f t="shared" si="10"/>
        <v>0.8458553177</v>
      </c>
      <c r="AA1125" s="14">
        <f>V1125/totals!B$4</f>
        <v>0.004448936407</v>
      </c>
      <c r="AB1125" s="14">
        <f t="shared" si="11"/>
        <v>0.8508234262</v>
      </c>
    </row>
    <row r="1126">
      <c r="A1126" s="7">
        <v>7331.0</v>
      </c>
      <c r="B1126" s="7" t="str">
        <f>VLOOKUP($A1126,product_category,2, False)</f>
        <v>Baby Food</v>
      </c>
      <c r="C1126" s="7">
        <v>8.50872075E8</v>
      </c>
      <c r="D1126" s="9">
        <v>42203.0</v>
      </c>
      <c r="E1126" s="10">
        <f t="shared" si="1"/>
        <v>7</v>
      </c>
      <c r="F1126" s="10" t="str">
        <f t="shared" si="2"/>
        <v>Jul</v>
      </c>
      <c r="G1126" s="11">
        <f t="shared" si="3"/>
        <v>18</v>
      </c>
      <c r="H1126" s="7">
        <f t="shared" si="4"/>
        <v>2015</v>
      </c>
      <c r="I1126" s="9">
        <v>42217.0</v>
      </c>
      <c r="J1126" s="11">
        <f t="shared" si="5"/>
        <v>14</v>
      </c>
      <c r="K1126" s="7" t="s">
        <v>382</v>
      </c>
      <c r="L1126" s="7" t="s">
        <v>234</v>
      </c>
      <c r="M1126" s="7" t="str">
        <f>VLOOKUP(L1126,countries, 2,false)</f>
        <v>Czech Republic</v>
      </c>
      <c r="N1126" s="7" t="str">
        <f>VLOOKUP(L1126,countries, 4,false)</f>
        <v>Europe</v>
      </c>
      <c r="O1126" s="7" t="str">
        <f>VLOOKUP(L1126,countries, 5,false)</f>
        <v>Eastern Europe</v>
      </c>
      <c r="P1126" s="7" t="s">
        <v>212</v>
      </c>
      <c r="Q1126" s="7">
        <v>810.0</v>
      </c>
      <c r="R1126" s="12">
        <v>255.28</v>
      </c>
      <c r="S1126" s="12">
        <v>159.42</v>
      </c>
      <c r="T1126" s="13">
        <f t="shared" si="6"/>
        <v>206776.8</v>
      </c>
      <c r="U1126" s="13">
        <f t="shared" si="7"/>
        <v>232783.72</v>
      </c>
      <c r="V1126" s="13">
        <f t="shared" si="8"/>
        <v>-26006.92</v>
      </c>
      <c r="W1126" s="14">
        <f>Q1126/totals!B$2</f>
        <v>0.0001231653682</v>
      </c>
      <c r="X1126" s="14">
        <f t="shared" si="9"/>
        <v>0.8375348436</v>
      </c>
      <c r="Y1126" s="14">
        <f>T1126/totals!B$5</f>
        <v>0.0001214812452</v>
      </c>
      <c r="Z1126" s="14">
        <f t="shared" si="10"/>
        <v>0.8459767989</v>
      </c>
      <c r="AA1126" s="14">
        <f>V1126/totals!B$4</f>
        <v>-0.00005185717114</v>
      </c>
      <c r="AB1126" s="14">
        <f t="shared" si="11"/>
        <v>0.850771569</v>
      </c>
    </row>
    <row r="1127">
      <c r="A1127" s="7">
        <v>8293.0</v>
      </c>
      <c r="B1127" s="7" t="str">
        <f>VLOOKUP($A1127,product_category,2, False)</f>
        <v>Cosmetics</v>
      </c>
      <c r="C1127" s="7">
        <v>8.52392995E8</v>
      </c>
      <c r="D1127" s="9">
        <v>42457.0</v>
      </c>
      <c r="E1127" s="10">
        <f t="shared" si="1"/>
        <v>3</v>
      </c>
      <c r="F1127" s="10" t="str">
        <f t="shared" si="2"/>
        <v>Mar</v>
      </c>
      <c r="G1127" s="11">
        <f t="shared" si="3"/>
        <v>28</v>
      </c>
      <c r="H1127" s="7">
        <f t="shared" si="4"/>
        <v>2016</v>
      </c>
      <c r="I1127" s="9">
        <v>42479.0</v>
      </c>
      <c r="J1127" s="11">
        <f t="shared" si="5"/>
        <v>22</v>
      </c>
      <c r="K1127" s="7" t="s">
        <v>110</v>
      </c>
      <c r="L1127" s="7" t="s">
        <v>451</v>
      </c>
      <c r="M1127" s="7" t="str">
        <f>VLOOKUP(L1127,countries, 2,false)</f>
        <v>Lithuania</v>
      </c>
      <c r="N1127" s="7" t="str">
        <f>VLOOKUP(L1127,countries, 4,false)</f>
        <v>Europe</v>
      </c>
      <c r="O1127" s="7" t="str">
        <f>VLOOKUP(L1127,countries, 5,false)</f>
        <v>Northern Europe</v>
      </c>
      <c r="P1127" s="7" t="s">
        <v>129</v>
      </c>
      <c r="Q1127" s="7">
        <v>884.0</v>
      </c>
      <c r="R1127" s="12">
        <v>437.2</v>
      </c>
      <c r="S1127" s="12">
        <v>263.33</v>
      </c>
      <c r="T1127" s="13">
        <f t="shared" si="6"/>
        <v>386484.8</v>
      </c>
      <c r="U1127" s="13">
        <f t="shared" si="7"/>
        <v>70894.17</v>
      </c>
      <c r="V1127" s="13">
        <f t="shared" si="8"/>
        <v>315590.63</v>
      </c>
      <c r="W1127" s="14">
        <f>Q1127/totals!B$2</f>
        <v>0.000134417513</v>
      </c>
      <c r="X1127" s="14">
        <f t="shared" si="9"/>
        <v>0.8376692611</v>
      </c>
      <c r="Y1127" s="14">
        <f>T1127/totals!B$5</f>
        <v>0.0002270595867</v>
      </c>
      <c r="Z1127" s="14">
        <f t="shared" si="10"/>
        <v>0.8462038585</v>
      </c>
      <c r="AA1127" s="14">
        <f>V1127/totals!B$4</f>
        <v>0.0006292801035</v>
      </c>
      <c r="AB1127" s="14">
        <f t="shared" si="11"/>
        <v>0.8514008491</v>
      </c>
    </row>
    <row r="1128">
      <c r="A1128" s="7">
        <v>3127.0</v>
      </c>
      <c r="B1128" s="7" t="str">
        <f>VLOOKUP($A1128,product_category,2, False)</f>
        <v>Personal Care</v>
      </c>
      <c r="C1128" s="7">
        <v>8.53036296E8</v>
      </c>
      <c r="D1128" s="9">
        <v>41408.0</v>
      </c>
      <c r="E1128" s="10">
        <f t="shared" si="1"/>
        <v>5</v>
      </c>
      <c r="F1128" s="10" t="str">
        <f t="shared" si="2"/>
        <v>May</v>
      </c>
      <c r="G1128" s="11">
        <f t="shared" si="3"/>
        <v>14</v>
      </c>
      <c r="H1128" s="7">
        <f t="shared" si="4"/>
        <v>2013</v>
      </c>
      <c r="I1128" s="9">
        <v>41426.0</v>
      </c>
      <c r="J1128" s="11">
        <f t="shared" si="5"/>
        <v>18</v>
      </c>
      <c r="K1128" s="7" t="s">
        <v>322</v>
      </c>
      <c r="L1128" s="7" t="s">
        <v>609</v>
      </c>
      <c r="M1128" s="7" t="str">
        <f>VLOOKUP(L1128,countries, 2,false)</f>
        <v>Romania</v>
      </c>
      <c r="N1128" s="7" t="str">
        <f>VLOOKUP(L1128,countries, 4,false)</f>
        <v>Europe</v>
      </c>
      <c r="O1128" s="7" t="str">
        <f>VLOOKUP(L1128,countries, 5,false)</f>
        <v>Eastern Europe</v>
      </c>
      <c r="P1128" s="7" t="s">
        <v>212</v>
      </c>
      <c r="Q1128" s="7">
        <v>1251.0</v>
      </c>
      <c r="R1128" s="12">
        <v>81.73</v>
      </c>
      <c r="S1128" s="12">
        <v>56.67</v>
      </c>
      <c r="T1128" s="13">
        <f t="shared" si="6"/>
        <v>102244.23</v>
      </c>
      <c r="U1128" s="13">
        <f t="shared" si="7"/>
        <v>5855.5</v>
      </c>
      <c r="V1128" s="13">
        <f t="shared" si="8"/>
        <v>96388.73</v>
      </c>
      <c r="W1128" s="14">
        <f>Q1128/totals!B$2</f>
        <v>0.0001902220687</v>
      </c>
      <c r="X1128" s="14">
        <f t="shared" si="9"/>
        <v>0.8378594832</v>
      </c>
      <c r="Y1128" s="14">
        <f>T1128/totals!B$5</f>
        <v>0.00006006842342</v>
      </c>
      <c r="Z1128" s="14">
        <f t="shared" si="10"/>
        <v>0.8462639269</v>
      </c>
      <c r="AA1128" s="14">
        <f>V1128/totals!B$4</f>
        <v>0.0001921968025</v>
      </c>
      <c r="AB1128" s="14">
        <f t="shared" si="11"/>
        <v>0.8515930459</v>
      </c>
    </row>
    <row r="1129">
      <c r="A1129" s="7">
        <v>2103.0</v>
      </c>
      <c r="B1129" s="7" t="str">
        <f>VLOOKUP($A1129,product_category,2, False)</f>
        <v>Cereal</v>
      </c>
      <c r="C1129" s="7">
        <v>8.56648051E8</v>
      </c>
      <c r="D1129" s="9">
        <v>40525.0</v>
      </c>
      <c r="E1129" s="10">
        <f t="shared" si="1"/>
        <v>12</v>
      </c>
      <c r="F1129" s="10" t="str">
        <f t="shared" si="2"/>
        <v>Dec</v>
      </c>
      <c r="G1129" s="11">
        <f t="shared" si="3"/>
        <v>13</v>
      </c>
      <c r="H1129" s="7">
        <f t="shared" si="4"/>
        <v>2010</v>
      </c>
      <c r="I1129" s="9">
        <v>40535.0</v>
      </c>
      <c r="J1129" s="11">
        <f t="shared" si="5"/>
        <v>10</v>
      </c>
      <c r="K1129" s="7" t="s">
        <v>110</v>
      </c>
      <c r="L1129" s="7" t="s">
        <v>448</v>
      </c>
      <c r="M1129" s="7" t="str">
        <f>VLOOKUP(L1129,countries, 2,false)</f>
        <v>Liechtenstein</v>
      </c>
      <c r="N1129" s="7" t="str">
        <f>VLOOKUP(L1129,countries, 4,false)</f>
        <v>Europe</v>
      </c>
      <c r="O1129" s="7" t="str">
        <f>VLOOKUP(L1129,countries, 5,false)</f>
        <v>Western Europe</v>
      </c>
      <c r="P1129" s="7" t="s">
        <v>129</v>
      </c>
      <c r="Q1129" s="7">
        <v>50.0</v>
      </c>
      <c r="R1129" s="12">
        <v>205.7</v>
      </c>
      <c r="S1129" s="12">
        <v>117.11</v>
      </c>
      <c r="T1129" s="13">
        <f t="shared" si="6"/>
        <v>10285</v>
      </c>
      <c r="U1129" s="13">
        <f t="shared" si="7"/>
        <v>5087387.36</v>
      </c>
      <c r="V1129" s="13">
        <f t="shared" si="8"/>
        <v>-5077102.36</v>
      </c>
      <c r="W1129" s="14">
        <f>Q1129/totals!B$2</f>
        <v>0.000007602800507</v>
      </c>
      <c r="X1129" s="14">
        <f t="shared" si="9"/>
        <v>0.837867086</v>
      </c>
      <c r="Y1129" s="14">
        <f>T1129/totals!B$5</f>
        <v>0.000006042431292</v>
      </c>
      <c r="Z1129" s="14">
        <f t="shared" si="10"/>
        <v>0.8462699694</v>
      </c>
      <c r="AA1129" s="14">
        <f>V1129/totals!B$4</f>
        <v>-0.01012361964</v>
      </c>
      <c r="AB1129" s="14">
        <f t="shared" si="11"/>
        <v>0.8414694263</v>
      </c>
    </row>
    <row r="1130">
      <c r="A1130" s="7">
        <v>8681.0</v>
      </c>
      <c r="B1130" s="7" t="str">
        <f>VLOOKUP($A1130,product_category,2, False)</f>
        <v>Office Supplies</v>
      </c>
      <c r="C1130" s="7">
        <v>8.57457864E8</v>
      </c>
      <c r="D1130" s="9">
        <v>40753.0</v>
      </c>
      <c r="E1130" s="10">
        <f t="shared" si="1"/>
        <v>7</v>
      </c>
      <c r="F1130" s="10" t="str">
        <f t="shared" si="2"/>
        <v>Jul</v>
      </c>
      <c r="G1130" s="11">
        <f t="shared" si="3"/>
        <v>29</v>
      </c>
      <c r="H1130" s="7">
        <f t="shared" si="4"/>
        <v>2011</v>
      </c>
      <c r="I1130" s="9">
        <v>40802.0</v>
      </c>
      <c r="J1130" s="11">
        <f t="shared" si="5"/>
        <v>49</v>
      </c>
      <c r="K1130" s="7" t="s">
        <v>198</v>
      </c>
      <c r="L1130" s="7" t="s">
        <v>534</v>
      </c>
      <c r="M1130" s="7" t="str">
        <f>VLOOKUP(L1130,countries, 2,false)</f>
        <v>Netherlands</v>
      </c>
      <c r="N1130" s="7" t="str">
        <f>VLOOKUP(L1130,countries, 4,false)</f>
        <v>Europe</v>
      </c>
      <c r="O1130" s="7" t="str">
        <f>VLOOKUP(L1130,countries, 5,false)</f>
        <v>Western Europe</v>
      </c>
      <c r="P1130" s="7" t="s">
        <v>129</v>
      </c>
      <c r="Q1130" s="7">
        <v>9691.0</v>
      </c>
      <c r="R1130" s="12">
        <v>651.21</v>
      </c>
      <c r="S1130" s="12">
        <v>524.96</v>
      </c>
      <c r="T1130" s="13">
        <f t="shared" si="6"/>
        <v>6310876.11</v>
      </c>
      <c r="U1130" s="13">
        <f t="shared" si="7"/>
        <v>3540330.24</v>
      </c>
      <c r="V1130" s="13">
        <f t="shared" si="8"/>
        <v>2770545.87</v>
      </c>
      <c r="W1130" s="14">
        <f>Q1130/totals!B$2</f>
        <v>0.001473574794</v>
      </c>
      <c r="X1130" s="14">
        <f t="shared" si="9"/>
        <v>0.8393406608</v>
      </c>
      <c r="Y1130" s="14">
        <f>T1130/totals!B$5</f>
        <v>0.003707635906</v>
      </c>
      <c r="Z1130" s="14">
        <f t="shared" si="10"/>
        <v>0.8499776053</v>
      </c>
      <c r="AA1130" s="14">
        <f>V1130/totals!B$4</f>
        <v>0.005524401633</v>
      </c>
      <c r="AB1130" s="14">
        <f t="shared" si="11"/>
        <v>0.8469938279</v>
      </c>
    </row>
    <row r="1131">
      <c r="A1131" s="7">
        <v>8681.0</v>
      </c>
      <c r="B1131" s="7" t="str">
        <f>VLOOKUP($A1131,product_category,2, False)</f>
        <v>Office Supplies</v>
      </c>
      <c r="C1131" s="7">
        <v>8.59914767E8</v>
      </c>
      <c r="D1131" s="9">
        <v>42501.0</v>
      </c>
      <c r="E1131" s="10">
        <f t="shared" si="1"/>
        <v>5</v>
      </c>
      <c r="F1131" s="10" t="str">
        <f t="shared" si="2"/>
        <v>May</v>
      </c>
      <c r="G1131" s="11">
        <f t="shared" si="3"/>
        <v>11</v>
      </c>
      <c r="H1131" s="7">
        <f t="shared" si="4"/>
        <v>2016</v>
      </c>
      <c r="I1131" s="9">
        <v>42539.0</v>
      </c>
      <c r="J1131" s="11">
        <f t="shared" si="5"/>
        <v>38</v>
      </c>
      <c r="K1131" s="7" t="s">
        <v>110</v>
      </c>
      <c r="L1131" s="7" t="s">
        <v>642</v>
      </c>
      <c r="M1131" s="7" t="str">
        <f>VLOOKUP(L1131,countries, 2,false)</f>
        <v>San Marino</v>
      </c>
      <c r="N1131" s="7" t="str">
        <f>VLOOKUP(L1131,countries, 4,false)</f>
        <v>Europe</v>
      </c>
      <c r="O1131" s="7" t="str">
        <f>VLOOKUP(L1131,countries, 5,false)</f>
        <v>Southern Europe</v>
      </c>
      <c r="P1131" s="7" t="s">
        <v>212</v>
      </c>
      <c r="Q1131" s="7">
        <v>6744.0</v>
      </c>
      <c r="R1131" s="12">
        <v>651.21</v>
      </c>
      <c r="S1131" s="12">
        <v>524.96</v>
      </c>
      <c r="T1131" s="13">
        <f t="shared" si="6"/>
        <v>4391760.24</v>
      </c>
      <c r="U1131" s="13">
        <f t="shared" si="7"/>
        <v>723894.17</v>
      </c>
      <c r="V1131" s="13">
        <f t="shared" si="8"/>
        <v>3667866.07</v>
      </c>
      <c r="W1131" s="14">
        <f>Q1131/totals!B$2</f>
        <v>0.001025465732</v>
      </c>
      <c r="X1131" s="14">
        <f t="shared" si="9"/>
        <v>0.8403661265</v>
      </c>
      <c r="Y1131" s="14">
        <f>T1131/totals!B$5</f>
        <v>0.00258015649</v>
      </c>
      <c r="Z1131" s="14">
        <f t="shared" si="10"/>
        <v>0.8525577618</v>
      </c>
      <c r="AA1131" s="14">
        <f>V1131/totals!B$4</f>
        <v>0.007313636467</v>
      </c>
      <c r="AB1131" s="14">
        <f t="shared" si="11"/>
        <v>0.8543074644</v>
      </c>
    </row>
    <row r="1132">
      <c r="A1132" s="7">
        <v>8293.0</v>
      </c>
      <c r="B1132" s="7" t="str">
        <f>VLOOKUP($A1132,product_category,2, False)</f>
        <v>Cosmetics</v>
      </c>
      <c r="C1132" s="7">
        <v>8.60104024E8</v>
      </c>
      <c r="D1132" s="9">
        <v>41635.0</v>
      </c>
      <c r="E1132" s="10">
        <f t="shared" si="1"/>
        <v>12</v>
      </c>
      <c r="F1132" s="10" t="str">
        <f t="shared" si="2"/>
        <v>Dec</v>
      </c>
      <c r="G1132" s="11">
        <f t="shared" si="3"/>
        <v>27</v>
      </c>
      <c r="H1132" s="7">
        <f t="shared" si="4"/>
        <v>2013</v>
      </c>
      <c r="I1132" s="9">
        <v>41638.0</v>
      </c>
      <c r="J1132" s="11">
        <f t="shared" si="5"/>
        <v>3</v>
      </c>
      <c r="K1132" s="7" t="s">
        <v>110</v>
      </c>
      <c r="L1132" s="7" t="s">
        <v>237</v>
      </c>
      <c r="M1132" s="7" t="str">
        <f>VLOOKUP(L1132,countries, 2,false)</f>
        <v>Denmark</v>
      </c>
      <c r="N1132" s="7" t="str">
        <f>VLOOKUP(L1132,countries, 4,false)</f>
        <v>Europe</v>
      </c>
      <c r="O1132" s="7" t="str">
        <f>VLOOKUP(L1132,countries, 5,false)</f>
        <v>Northern Europe</v>
      </c>
      <c r="P1132" s="7" t="s">
        <v>212</v>
      </c>
      <c r="Q1132" s="7">
        <v>2749.0</v>
      </c>
      <c r="R1132" s="12">
        <v>437.2</v>
      </c>
      <c r="S1132" s="12">
        <v>263.33</v>
      </c>
      <c r="T1132" s="13">
        <f t="shared" si="6"/>
        <v>1201862.8</v>
      </c>
      <c r="U1132" s="13">
        <f t="shared" si="7"/>
        <v>39896.45</v>
      </c>
      <c r="V1132" s="13">
        <f t="shared" si="8"/>
        <v>1161966.35</v>
      </c>
      <c r="W1132" s="14">
        <f>Q1132/totals!B$2</f>
        <v>0.0004180019719</v>
      </c>
      <c r="X1132" s="14">
        <f t="shared" si="9"/>
        <v>0.8407841285</v>
      </c>
      <c r="Y1132" s="14">
        <f>T1132/totals!B$5</f>
        <v>0.0007060936696</v>
      </c>
      <c r="Z1132" s="14">
        <f t="shared" si="10"/>
        <v>0.8532638554</v>
      </c>
      <c r="AA1132" s="14">
        <f>V1132/totals!B$4</f>
        <v>0.002316932873</v>
      </c>
      <c r="AB1132" s="14">
        <f t="shared" si="11"/>
        <v>0.8566243973</v>
      </c>
    </row>
    <row r="1133">
      <c r="A1133" s="7">
        <v>1270.0</v>
      </c>
      <c r="B1133" s="7" t="str">
        <f>VLOOKUP($A1133,product_category,2, False)</f>
        <v>Beverages</v>
      </c>
      <c r="C1133" s="7">
        <v>8.61180341E8</v>
      </c>
      <c r="D1133" s="9">
        <v>40191.0</v>
      </c>
      <c r="E1133" s="10">
        <f t="shared" si="1"/>
        <v>1</v>
      </c>
      <c r="F1133" s="10" t="str">
        <f t="shared" si="2"/>
        <v>Jan</v>
      </c>
      <c r="G1133" s="11">
        <f t="shared" si="3"/>
        <v>13</v>
      </c>
      <c r="H1133" s="7">
        <f t="shared" si="4"/>
        <v>2010</v>
      </c>
      <c r="I1133" s="9">
        <v>40229.0</v>
      </c>
      <c r="J1133" s="11">
        <f t="shared" si="5"/>
        <v>38</v>
      </c>
      <c r="K1133" s="7" t="s">
        <v>322</v>
      </c>
      <c r="L1133" s="7" t="s">
        <v>56</v>
      </c>
      <c r="M1133" s="7" t="str">
        <f>VLOOKUP(L1133,countries, 2,false)</f>
        <v>Andorra</v>
      </c>
      <c r="N1133" s="7" t="str">
        <f>VLOOKUP(L1133,countries, 4,false)</f>
        <v>Europe</v>
      </c>
      <c r="O1133" s="7" t="str">
        <f>VLOOKUP(L1133,countries, 5,false)</f>
        <v>Southern Europe</v>
      </c>
      <c r="P1133" s="7" t="s">
        <v>212</v>
      </c>
      <c r="Q1133" s="7">
        <v>1255.0</v>
      </c>
      <c r="R1133" s="12">
        <v>47.45</v>
      </c>
      <c r="S1133" s="12">
        <v>31.79</v>
      </c>
      <c r="T1133" s="13">
        <f t="shared" si="6"/>
        <v>59549.75</v>
      </c>
      <c r="U1133" s="13">
        <f t="shared" si="7"/>
        <v>1426316.32</v>
      </c>
      <c r="V1133" s="13">
        <f t="shared" si="8"/>
        <v>-1366766.57</v>
      </c>
      <c r="W1133" s="14">
        <f>Q1133/totals!B$2</f>
        <v>0.0001908302927</v>
      </c>
      <c r="X1133" s="14">
        <f t="shared" si="9"/>
        <v>0.8409749588</v>
      </c>
      <c r="Y1133" s="14">
        <f>T1133/totals!B$5</f>
        <v>0.00003498544218</v>
      </c>
      <c r="Z1133" s="14">
        <f t="shared" si="10"/>
        <v>0.8532988409</v>
      </c>
      <c r="AA1133" s="14">
        <f>V1133/totals!B$4</f>
        <v>-0.002725299571</v>
      </c>
      <c r="AB1133" s="14">
        <f t="shared" si="11"/>
        <v>0.8538990977</v>
      </c>
    </row>
    <row r="1134">
      <c r="A1134" s="7">
        <v>8681.0</v>
      </c>
      <c r="B1134" s="7" t="str">
        <f>VLOOKUP($A1134,product_category,2, False)</f>
        <v>Office Supplies</v>
      </c>
      <c r="C1134" s="7">
        <v>8.61252868E8</v>
      </c>
      <c r="D1134" s="9">
        <v>41710.0</v>
      </c>
      <c r="E1134" s="10">
        <f t="shared" si="1"/>
        <v>3</v>
      </c>
      <c r="F1134" s="10" t="str">
        <f t="shared" si="2"/>
        <v>Mar</v>
      </c>
      <c r="G1134" s="11">
        <f t="shared" si="3"/>
        <v>12</v>
      </c>
      <c r="H1134" s="7">
        <f t="shared" si="4"/>
        <v>2014</v>
      </c>
      <c r="I1134" s="9">
        <v>41726.0</v>
      </c>
      <c r="J1134" s="11">
        <f t="shared" si="5"/>
        <v>16</v>
      </c>
      <c r="K1134" s="7" t="s">
        <v>322</v>
      </c>
      <c r="L1134" s="7" t="s">
        <v>88</v>
      </c>
      <c r="M1134" s="7" t="str">
        <f>VLOOKUP(L1134,countries, 2,false)</f>
        <v>Austria</v>
      </c>
      <c r="N1134" s="7" t="str">
        <f>VLOOKUP(L1134,countries, 4,false)</f>
        <v>Europe</v>
      </c>
      <c r="O1134" s="7" t="str">
        <f>VLOOKUP(L1134,countries, 5,false)</f>
        <v>Western Europe</v>
      </c>
      <c r="P1134" s="7" t="s">
        <v>129</v>
      </c>
      <c r="Q1134" s="7">
        <v>2717.0</v>
      </c>
      <c r="R1134" s="12">
        <v>651.21</v>
      </c>
      <c r="S1134" s="12">
        <v>524.96</v>
      </c>
      <c r="T1134" s="13">
        <f t="shared" si="6"/>
        <v>1769337.57</v>
      </c>
      <c r="U1134" s="13">
        <f t="shared" si="7"/>
        <v>394423.2</v>
      </c>
      <c r="V1134" s="13">
        <f t="shared" si="8"/>
        <v>1374914.37</v>
      </c>
      <c r="W1134" s="14">
        <f>Q1134/totals!B$2</f>
        <v>0.0004131361795</v>
      </c>
      <c r="X1134" s="14">
        <f t="shared" si="9"/>
        <v>0.841388095</v>
      </c>
      <c r="Y1134" s="14">
        <f>T1134/totals!B$5</f>
        <v>0.001039484754</v>
      </c>
      <c r="Z1134" s="14">
        <f t="shared" si="10"/>
        <v>0.8543383256</v>
      </c>
      <c r="AA1134" s="14">
        <f>V1134/totals!B$4</f>
        <v>0.002741546088</v>
      </c>
      <c r="AB1134" s="14">
        <f t="shared" si="11"/>
        <v>0.8566406438</v>
      </c>
    </row>
    <row r="1135">
      <c r="A1135" s="7">
        <v>3127.0</v>
      </c>
      <c r="B1135" s="7" t="str">
        <f>VLOOKUP($A1135,product_category,2, False)</f>
        <v>Personal Care</v>
      </c>
      <c r="C1135" s="7">
        <v>8.6197685E8</v>
      </c>
      <c r="D1135" s="9">
        <v>40680.0</v>
      </c>
      <c r="E1135" s="10">
        <f t="shared" si="1"/>
        <v>5</v>
      </c>
      <c r="F1135" s="10" t="str">
        <f t="shared" si="2"/>
        <v>May</v>
      </c>
      <c r="G1135" s="11">
        <f t="shared" si="3"/>
        <v>17</v>
      </c>
      <c r="H1135" s="7">
        <f t="shared" si="4"/>
        <v>2011</v>
      </c>
      <c r="I1135" s="9">
        <v>40688.0</v>
      </c>
      <c r="J1135" s="11">
        <f t="shared" si="5"/>
        <v>8</v>
      </c>
      <c r="K1135" s="7" t="s">
        <v>382</v>
      </c>
      <c r="L1135" s="7" t="s">
        <v>702</v>
      </c>
      <c r="M1135" s="7" t="str">
        <f>VLOOKUP(L1135,countries, 2,false)</f>
        <v>Sweden</v>
      </c>
      <c r="N1135" s="7" t="str">
        <f>VLOOKUP(L1135,countries, 4,false)</f>
        <v>Europe</v>
      </c>
      <c r="O1135" s="7" t="str">
        <f>VLOOKUP(L1135,countries, 5,false)</f>
        <v>Northern Europe</v>
      </c>
      <c r="P1135" s="7" t="s">
        <v>212</v>
      </c>
      <c r="Q1135" s="7">
        <v>6960.0</v>
      </c>
      <c r="R1135" s="12">
        <v>81.73</v>
      </c>
      <c r="S1135" s="12">
        <v>56.67</v>
      </c>
      <c r="T1135" s="13">
        <f t="shared" si="6"/>
        <v>568840.8</v>
      </c>
      <c r="U1135" s="13">
        <f t="shared" si="7"/>
        <v>851430.72</v>
      </c>
      <c r="V1135" s="13">
        <f t="shared" si="8"/>
        <v>-282589.92</v>
      </c>
      <c r="W1135" s="14">
        <f>Q1135/totals!B$2</f>
        <v>0.001058309831</v>
      </c>
      <c r="X1135" s="14">
        <f t="shared" si="9"/>
        <v>0.8424464048</v>
      </c>
      <c r="Y1135" s="14">
        <f>T1135/totals!B$5</f>
        <v>0.0003341936267</v>
      </c>
      <c r="Z1135" s="14">
        <f t="shared" si="10"/>
        <v>0.8546725193</v>
      </c>
      <c r="AA1135" s="14">
        <f>V1135/totals!B$4</f>
        <v>-0.0005634774838</v>
      </c>
      <c r="AB1135" s="14">
        <f t="shared" si="11"/>
        <v>0.8560771663</v>
      </c>
    </row>
    <row r="1136">
      <c r="A1136" s="7">
        <v>8969.0</v>
      </c>
      <c r="B1136" s="7" t="str">
        <f>VLOOKUP($A1136,product_category,2, False)</f>
        <v>Snacks</v>
      </c>
      <c r="C1136" s="7">
        <v>8.61982858E8</v>
      </c>
      <c r="D1136" s="9">
        <v>40741.0</v>
      </c>
      <c r="E1136" s="10">
        <f t="shared" si="1"/>
        <v>7</v>
      </c>
      <c r="F1136" s="10" t="str">
        <f t="shared" si="2"/>
        <v>Jul</v>
      </c>
      <c r="G1136" s="11">
        <f t="shared" si="3"/>
        <v>17</v>
      </c>
      <c r="H1136" s="7">
        <f t="shared" si="4"/>
        <v>2011</v>
      </c>
      <c r="I1136" s="9">
        <v>40790.0</v>
      </c>
      <c r="J1136" s="11">
        <f t="shared" si="5"/>
        <v>49</v>
      </c>
      <c r="K1136" s="7" t="s">
        <v>110</v>
      </c>
      <c r="L1136" s="7" t="s">
        <v>111</v>
      </c>
      <c r="M1136" s="7" t="str">
        <f>VLOOKUP(L1136,countries, 2,false)</f>
        <v>Norway</v>
      </c>
      <c r="N1136" s="7" t="str">
        <f>VLOOKUP(L1136,countries, 4,false)</f>
        <v>Europe</v>
      </c>
      <c r="O1136" s="7" t="str">
        <f>VLOOKUP(L1136,countries, 5,false)</f>
        <v>Northern Europe</v>
      </c>
      <c r="P1136" s="7" t="s">
        <v>212</v>
      </c>
      <c r="Q1136" s="7">
        <v>8738.0</v>
      </c>
      <c r="R1136" s="12">
        <v>152.58</v>
      </c>
      <c r="S1136" s="12">
        <v>97.44</v>
      </c>
      <c r="T1136" s="13">
        <f t="shared" si="6"/>
        <v>1333244.04</v>
      </c>
      <c r="U1136" s="13">
        <f t="shared" si="7"/>
        <v>14655.19</v>
      </c>
      <c r="V1136" s="13">
        <f t="shared" si="8"/>
        <v>1318588.85</v>
      </c>
      <c r="W1136" s="14">
        <f>Q1136/totals!B$2</f>
        <v>0.001328665417</v>
      </c>
      <c r="X1136" s="14">
        <f t="shared" si="9"/>
        <v>0.8437750702</v>
      </c>
      <c r="Y1136" s="14">
        <f>T1136/totals!B$5</f>
        <v>0.0007832800688</v>
      </c>
      <c r="Z1136" s="14">
        <f t="shared" si="10"/>
        <v>0.8554557993</v>
      </c>
      <c r="AA1136" s="14">
        <f>V1136/totals!B$4</f>
        <v>0.00262923436</v>
      </c>
      <c r="AB1136" s="14">
        <f t="shared" si="11"/>
        <v>0.8587064007</v>
      </c>
    </row>
    <row r="1137">
      <c r="A1137" s="7">
        <v>1270.0</v>
      </c>
      <c r="B1137" s="7" t="str">
        <f>VLOOKUP($A1137,product_category,2, False)</f>
        <v>Beverages</v>
      </c>
      <c r="C1137" s="7">
        <v>8.6232661E8</v>
      </c>
      <c r="D1137" s="9">
        <v>41031.0</v>
      </c>
      <c r="E1137" s="10">
        <f t="shared" si="1"/>
        <v>5</v>
      </c>
      <c r="F1137" s="10" t="str">
        <f t="shared" si="2"/>
        <v>May</v>
      </c>
      <c r="G1137" s="11">
        <f t="shared" si="3"/>
        <v>2</v>
      </c>
      <c r="H1137" s="7">
        <f t="shared" si="4"/>
        <v>2012</v>
      </c>
      <c r="I1137" s="9">
        <v>41057.0</v>
      </c>
      <c r="J1137" s="11">
        <f t="shared" si="5"/>
        <v>26</v>
      </c>
      <c r="K1137" s="7" t="s">
        <v>110</v>
      </c>
      <c r="L1137" s="7" t="s">
        <v>432</v>
      </c>
      <c r="M1137" s="7" t="str">
        <f>VLOOKUP(L1137,countries, 2,false)</f>
        <v>Latvia</v>
      </c>
      <c r="N1137" s="7" t="str">
        <f>VLOOKUP(L1137,countries, 4,false)</f>
        <v>Europe</v>
      </c>
      <c r="O1137" s="7" t="str">
        <f>VLOOKUP(L1137,countries, 5,false)</f>
        <v>Northern Europe</v>
      </c>
      <c r="P1137" s="7" t="s">
        <v>129</v>
      </c>
      <c r="Q1137" s="7">
        <v>461.0</v>
      </c>
      <c r="R1137" s="12">
        <v>47.45</v>
      </c>
      <c r="S1137" s="12">
        <v>31.79</v>
      </c>
      <c r="T1137" s="13">
        <f t="shared" si="6"/>
        <v>21874.45</v>
      </c>
      <c r="U1137" s="13">
        <f t="shared" si="7"/>
        <v>3977621.92</v>
      </c>
      <c r="V1137" s="13">
        <f t="shared" si="8"/>
        <v>-3955747.47</v>
      </c>
      <c r="W1137" s="14">
        <f>Q1137/totals!B$2</f>
        <v>0.00007009782067</v>
      </c>
      <c r="X1137" s="14">
        <f t="shared" si="9"/>
        <v>0.8438451681</v>
      </c>
      <c r="Y1137" s="14">
        <f>T1137/totals!B$5</f>
        <v>0.00001285122617</v>
      </c>
      <c r="Z1137" s="14">
        <f t="shared" si="10"/>
        <v>0.8554686505</v>
      </c>
      <c r="AA1137" s="14">
        <f>V1137/totals!B$4</f>
        <v>-0.007887665034</v>
      </c>
      <c r="AB1137" s="14">
        <f t="shared" si="11"/>
        <v>0.8508187356</v>
      </c>
    </row>
    <row r="1138">
      <c r="A1138" s="7">
        <v>8681.0</v>
      </c>
      <c r="B1138" s="7" t="str">
        <f>VLOOKUP($A1138,product_category,2, False)</f>
        <v>Office Supplies</v>
      </c>
      <c r="C1138" s="7">
        <v>8.62485826E8</v>
      </c>
      <c r="D1138" s="9">
        <v>42629.0</v>
      </c>
      <c r="E1138" s="10">
        <f t="shared" si="1"/>
        <v>9</v>
      </c>
      <c r="F1138" s="10" t="str">
        <f t="shared" si="2"/>
        <v>Sep</v>
      </c>
      <c r="G1138" s="11">
        <f t="shared" si="3"/>
        <v>16</v>
      </c>
      <c r="H1138" s="7">
        <f t="shared" si="4"/>
        <v>2016</v>
      </c>
      <c r="I1138" s="9">
        <v>42670.0</v>
      </c>
      <c r="J1138" s="11">
        <f t="shared" si="5"/>
        <v>41</v>
      </c>
      <c r="K1138" s="7" t="s">
        <v>198</v>
      </c>
      <c r="L1138" s="7" t="s">
        <v>756</v>
      </c>
      <c r="M1138" s="7" t="str">
        <f>VLOOKUP(L1138,countries, 2,false)</f>
        <v>Ukraine</v>
      </c>
      <c r="N1138" s="7" t="str">
        <f>VLOOKUP(L1138,countries, 4,false)</f>
        <v>Europe</v>
      </c>
      <c r="O1138" s="7" t="str">
        <f>VLOOKUP(L1138,countries, 5,false)</f>
        <v>Eastern Europe</v>
      </c>
      <c r="P1138" s="7" t="s">
        <v>212</v>
      </c>
      <c r="Q1138" s="7">
        <v>7577.0</v>
      </c>
      <c r="R1138" s="12">
        <v>651.21</v>
      </c>
      <c r="S1138" s="12">
        <v>524.96</v>
      </c>
      <c r="T1138" s="13">
        <f t="shared" si="6"/>
        <v>4934218.17</v>
      </c>
      <c r="U1138" s="13">
        <f t="shared" si="7"/>
        <v>315456.85</v>
      </c>
      <c r="V1138" s="13">
        <f t="shared" si="8"/>
        <v>4618761.32</v>
      </c>
      <c r="W1138" s="14">
        <f>Q1138/totals!B$2</f>
        <v>0.001152128389</v>
      </c>
      <c r="X1138" s="14">
        <f t="shared" si="9"/>
        <v>0.8449972964</v>
      </c>
      <c r="Y1138" s="14">
        <f>T1138/totals!B$5</f>
        <v>0.002898850197</v>
      </c>
      <c r="Z1138" s="14">
        <f t="shared" si="10"/>
        <v>0.8583675007</v>
      </c>
      <c r="AA1138" s="14">
        <f>V1138/totals!B$4</f>
        <v>0.009209698658</v>
      </c>
      <c r="AB1138" s="14">
        <f t="shared" si="11"/>
        <v>0.8600284343</v>
      </c>
    </row>
    <row r="1139">
      <c r="A1139" s="7">
        <v>8875.0</v>
      </c>
      <c r="B1139" s="7" t="str">
        <f>VLOOKUP($A1139,product_category,2, False)</f>
        <v>Meat</v>
      </c>
      <c r="C1139" s="7">
        <v>8.63138997E8</v>
      </c>
      <c r="D1139" s="9">
        <v>40494.0</v>
      </c>
      <c r="E1139" s="10">
        <f t="shared" si="1"/>
        <v>11</v>
      </c>
      <c r="F1139" s="10" t="str">
        <f t="shared" si="2"/>
        <v>Nov</v>
      </c>
      <c r="G1139" s="11">
        <f t="shared" si="3"/>
        <v>12</v>
      </c>
      <c r="H1139" s="7">
        <f t="shared" si="4"/>
        <v>2010</v>
      </c>
      <c r="I1139" s="9">
        <v>40533.0</v>
      </c>
      <c r="J1139" s="11">
        <f t="shared" si="5"/>
        <v>39</v>
      </c>
      <c r="K1139" s="7" t="s">
        <v>198</v>
      </c>
      <c r="L1139" s="7" t="s">
        <v>28</v>
      </c>
      <c r="M1139" s="7" t="str">
        <f>VLOOKUP(L1139,countries, 2,false)</f>
        <v>Albania</v>
      </c>
      <c r="N1139" s="7" t="str">
        <f>VLOOKUP(L1139,countries, 4,false)</f>
        <v>Europe</v>
      </c>
      <c r="O1139" s="7" t="str">
        <f>VLOOKUP(L1139,countries, 5,false)</f>
        <v>Southern Europe</v>
      </c>
      <c r="P1139" s="7" t="s">
        <v>129</v>
      </c>
      <c r="Q1139" s="7">
        <v>865.0</v>
      </c>
      <c r="R1139" s="12">
        <v>421.89</v>
      </c>
      <c r="S1139" s="12">
        <v>364.69</v>
      </c>
      <c r="T1139" s="13">
        <f t="shared" si="6"/>
        <v>364934.85</v>
      </c>
      <c r="U1139" s="13">
        <f t="shared" si="7"/>
        <v>3569221.03</v>
      </c>
      <c r="V1139" s="13">
        <f t="shared" si="8"/>
        <v>-3204286.18</v>
      </c>
      <c r="W1139" s="14">
        <f>Q1139/totals!B$2</f>
        <v>0.0001315284488</v>
      </c>
      <c r="X1139" s="14">
        <f t="shared" si="9"/>
        <v>0.8451288249</v>
      </c>
      <c r="Y1139" s="14">
        <f>T1139/totals!B$5</f>
        <v>0.0002143990041</v>
      </c>
      <c r="Z1139" s="14">
        <f t="shared" si="10"/>
        <v>0.8585818997</v>
      </c>
      <c r="AA1139" s="14">
        <f>V1139/totals!B$4</f>
        <v>-0.006389269349</v>
      </c>
      <c r="AB1139" s="14">
        <f t="shared" si="11"/>
        <v>0.8536391649</v>
      </c>
    </row>
    <row r="1140">
      <c r="A1140" s="7">
        <v>8875.0</v>
      </c>
      <c r="B1140" s="7" t="str">
        <f>VLOOKUP($A1140,product_category,2, False)</f>
        <v>Meat</v>
      </c>
      <c r="C1140" s="7">
        <v>8.63202941E8</v>
      </c>
      <c r="D1140" s="9">
        <v>42716.0</v>
      </c>
      <c r="E1140" s="10">
        <f t="shared" si="1"/>
        <v>12</v>
      </c>
      <c r="F1140" s="10" t="str">
        <f t="shared" si="2"/>
        <v>Dec</v>
      </c>
      <c r="G1140" s="11">
        <f t="shared" si="3"/>
        <v>12</v>
      </c>
      <c r="H1140" s="7">
        <f t="shared" si="4"/>
        <v>2016</v>
      </c>
      <c r="I1140" s="9">
        <v>42717.0</v>
      </c>
      <c r="J1140" s="11">
        <f t="shared" si="5"/>
        <v>1</v>
      </c>
      <c r="K1140" s="7" t="s">
        <v>322</v>
      </c>
      <c r="L1140" s="7" t="s">
        <v>702</v>
      </c>
      <c r="M1140" s="7" t="str">
        <f>VLOOKUP(L1140,countries, 2,false)</f>
        <v>Sweden</v>
      </c>
      <c r="N1140" s="7" t="str">
        <f>VLOOKUP(L1140,countries, 4,false)</f>
        <v>Europe</v>
      </c>
      <c r="O1140" s="7" t="str">
        <f>VLOOKUP(L1140,countries, 5,false)</f>
        <v>Northern Europe</v>
      </c>
      <c r="P1140" s="7" t="s">
        <v>212</v>
      </c>
      <c r="Q1140" s="7">
        <v>9787.0</v>
      </c>
      <c r="R1140" s="12">
        <v>421.89</v>
      </c>
      <c r="S1140" s="12">
        <v>364.69</v>
      </c>
      <c r="T1140" s="13">
        <f t="shared" si="6"/>
        <v>4129037.43</v>
      </c>
      <c r="U1140" s="13">
        <f t="shared" si="7"/>
        <v>1625716.9</v>
      </c>
      <c r="V1140" s="13">
        <f t="shared" si="8"/>
        <v>2503320.53</v>
      </c>
      <c r="W1140" s="14">
        <f>Q1140/totals!B$2</f>
        <v>0.001488172171</v>
      </c>
      <c r="X1140" s="14">
        <f t="shared" si="9"/>
        <v>0.8466169971</v>
      </c>
      <c r="Y1140" s="14">
        <f>T1140/totals!B$5</f>
        <v>0.002425806998</v>
      </c>
      <c r="Z1140" s="14">
        <f t="shared" si="10"/>
        <v>0.8610077067</v>
      </c>
      <c r="AA1140" s="14">
        <f>V1140/totals!B$4</f>
        <v>0.004991560751</v>
      </c>
      <c r="AB1140" s="14">
        <f t="shared" si="11"/>
        <v>0.8586307257</v>
      </c>
    </row>
    <row r="1141">
      <c r="A1141" s="7">
        <v>7940.0</v>
      </c>
      <c r="B1141" s="7" t="str">
        <f>VLOOKUP($A1141,product_category,2, False)</f>
        <v>Household</v>
      </c>
      <c r="C1141" s="7">
        <v>8.63890445E8</v>
      </c>
      <c r="D1141" s="9">
        <v>40530.0</v>
      </c>
      <c r="E1141" s="10">
        <f t="shared" si="1"/>
        <v>12</v>
      </c>
      <c r="F1141" s="10" t="str">
        <f t="shared" si="2"/>
        <v>Dec</v>
      </c>
      <c r="G1141" s="11">
        <f t="shared" si="3"/>
        <v>18</v>
      </c>
      <c r="H1141" s="7">
        <f t="shared" si="4"/>
        <v>2010</v>
      </c>
      <c r="I1141" s="9">
        <v>40537.0</v>
      </c>
      <c r="J1141" s="11">
        <f t="shared" si="5"/>
        <v>7</v>
      </c>
      <c r="K1141" s="7" t="s">
        <v>198</v>
      </c>
      <c r="L1141" s="7" t="s">
        <v>432</v>
      </c>
      <c r="M1141" s="7" t="str">
        <f>VLOOKUP(L1141,countries, 2,false)</f>
        <v>Latvia</v>
      </c>
      <c r="N1141" s="7" t="str">
        <f>VLOOKUP(L1141,countries, 4,false)</f>
        <v>Europe</v>
      </c>
      <c r="O1141" s="7" t="str">
        <f>VLOOKUP(L1141,countries, 5,false)</f>
        <v>Northern Europe</v>
      </c>
      <c r="P1141" s="7" t="s">
        <v>212</v>
      </c>
      <c r="Q1141" s="7">
        <v>3235.0</v>
      </c>
      <c r="R1141" s="12">
        <v>668.27</v>
      </c>
      <c r="S1141" s="12">
        <v>502.54</v>
      </c>
      <c r="T1141" s="13">
        <f t="shared" si="6"/>
        <v>2161853.45</v>
      </c>
      <c r="U1141" s="13">
        <f t="shared" si="7"/>
        <v>212993</v>
      </c>
      <c r="V1141" s="13">
        <f t="shared" si="8"/>
        <v>1948860.45</v>
      </c>
      <c r="W1141" s="14">
        <f>Q1141/totals!B$2</f>
        <v>0.0004919011928</v>
      </c>
      <c r="X1141" s="14">
        <f t="shared" si="9"/>
        <v>0.8471088983</v>
      </c>
      <c r="Y1141" s="14">
        <f>T1141/totals!B$5</f>
        <v>0.001270087597</v>
      </c>
      <c r="Z1141" s="14">
        <f t="shared" si="10"/>
        <v>0.8622777943</v>
      </c>
      <c r="AA1141" s="14">
        <f>V1141/totals!B$4</f>
        <v>0.003885980727</v>
      </c>
      <c r="AB1141" s="14">
        <f t="shared" si="11"/>
        <v>0.8625167064</v>
      </c>
    </row>
    <row r="1142">
      <c r="A1142" s="7">
        <v>1270.0</v>
      </c>
      <c r="B1142" s="7" t="str">
        <f>VLOOKUP($A1142,product_category,2, False)</f>
        <v>Beverages</v>
      </c>
      <c r="C1142" s="7">
        <v>8.64071118E8</v>
      </c>
      <c r="D1142" s="9">
        <v>40369.0</v>
      </c>
      <c r="E1142" s="10">
        <f t="shared" si="1"/>
        <v>7</v>
      </c>
      <c r="F1142" s="10" t="str">
        <f t="shared" si="2"/>
        <v>Jul</v>
      </c>
      <c r="G1142" s="11">
        <f t="shared" si="3"/>
        <v>10</v>
      </c>
      <c r="H1142" s="7">
        <f t="shared" si="4"/>
        <v>2010</v>
      </c>
      <c r="I1142" s="9">
        <v>40377.0</v>
      </c>
      <c r="J1142" s="11">
        <f t="shared" si="5"/>
        <v>8</v>
      </c>
      <c r="K1142" s="7" t="s">
        <v>322</v>
      </c>
      <c r="L1142" s="7" t="s">
        <v>609</v>
      </c>
      <c r="M1142" s="7" t="str">
        <f>VLOOKUP(L1142,countries, 2,false)</f>
        <v>Romania</v>
      </c>
      <c r="N1142" s="7" t="str">
        <f>VLOOKUP(L1142,countries, 4,false)</f>
        <v>Europe</v>
      </c>
      <c r="O1142" s="7" t="str">
        <f>VLOOKUP(L1142,countries, 5,false)</f>
        <v>Eastern Europe</v>
      </c>
      <c r="P1142" s="7" t="s">
        <v>129</v>
      </c>
      <c r="Q1142" s="7">
        <v>6700.0</v>
      </c>
      <c r="R1142" s="12">
        <v>47.45</v>
      </c>
      <c r="S1142" s="12">
        <v>31.79</v>
      </c>
      <c r="T1142" s="13">
        <f t="shared" si="6"/>
        <v>317915</v>
      </c>
      <c r="U1142" s="13">
        <f t="shared" si="7"/>
        <v>2876255.84</v>
      </c>
      <c r="V1142" s="13">
        <f t="shared" si="8"/>
        <v>-2558340.84</v>
      </c>
      <c r="W1142" s="14">
        <f>Q1142/totals!B$2</f>
        <v>0.001018775268</v>
      </c>
      <c r="X1142" s="14">
        <f t="shared" si="9"/>
        <v>0.8481276735</v>
      </c>
      <c r="Y1142" s="14">
        <f>T1142/totals!B$5</f>
        <v>0.0001867748706</v>
      </c>
      <c r="Z1142" s="14">
        <f t="shared" si="10"/>
        <v>0.8624645692</v>
      </c>
      <c r="AA1142" s="14">
        <f>V1142/totals!B$4</f>
        <v>-0.005101269922</v>
      </c>
      <c r="AB1142" s="14">
        <f t="shared" si="11"/>
        <v>0.8574154365</v>
      </c>
    </row>
    <row r="1143">
      <c r="A1143" s="7">
        <v>8681.0</v>
      </c>
      <c r="B1143" s="7" t="str">
        <f>VLOOKUP($A1143,product_category,2, False)</f>
        <v>Office Supplies</v>
      </c>
      <c r="C1143" s="7">
        <v>8.6582421E8</v>
      </c>
      <c r="D1143" s="9">
        <v>41768.0</v>
      </c>
      <c r="E1143" s="10">
        <f t="shared" si="1"/>
        <v>5</v>
      </c>
      <c r="F1143" s="10" t="str">
        <f t="shared" si="2"/>
        <v>May</v>
      </c>
      <c r="G1143" s="11">
        <f t="shared" si="3"/>
        <v>9</v>
      </c>
      <c r="H1143" s="7">
        <f t="shared" si="4"/>
        <v>2014</v>
      </c>
      <c r="I1143" s="9">
        <v>41773.0</v>
      </c>
      <c r="J1143" s="11">
        <f t="shared" si="5"/>
        <v>5</v>
      </c>
      <c r="K1143" s="7" t="s">
        <v>110</v>
      </c>
      <c r="L1143" s="7" t="s">
        <v>234</v>
      </c>
      <c r="M1143" s="7" t="str">
        <f>VLOOKUP(L1143,countries, 2,false)</f>
        <v>Czech Republic</v>
      </c>
      <c r="N1143" s="7" t="str">
        <f>VLOOKUP(L1143,countries, 4,false)</f>
        <v>Europe</v>
      </c>
      <c r="O1143" s="7" t="str">
        <f>VLOOKUP(L1143,countries, 5,false)</f>
        <v>Eastern Europe</v>
      </c>
      <c r="P1143" s="7" t="s">
        <v>129</v>
      </c>
      <c r="Q1143" s="7">
        <v>5479.0</v>
      </c>
      <c r="R1143" s="12">
        <v>651.21</v>
      </c>
      <c r="S1143" s="12">
        <v>524.96</v>
      </c>
      <c r="T1143" s="13">
        <f t="shared" si="6"/>
        <v>3567979.59</v>
      </c>
      <c r="U1143" s="13">
        <f t="shared" si="7"/>
        <v>1737747.85</v>
      </c>
      <c r="V1143" s="13">
        <f t="shared" si="8"/>
        <v>1830231.74</v>
      </c>
      <c r="W1143" s="14">
        <f>Q1143/totals!B$2</f>
        <v>0.0008331148795</v>
      </c>
      <c r="X1143" s="14">
        <f t="shared" si="9"/>
        <v>0.8489607884</v>
      </c>
      <c r="Y1143" s="14">
        <f>T1143/totals!B$5</f>
        <v>0.002096185856</v>
      </c>
      <c r="Z1143" s="14">
        <f t="shared" si="10"/>
        <v>0.8645607551</v>
      </c>
      <c r="AA1143" s="14">
        <f>V1143/totals!B$4</f>
        <v>0.00364943794</v>
      </c>
      <c r="AB1143" s="14">
        <f t="shared" si="11"/>
        <v>0.8610648744</v>
      </c>
    </row>
    <row r="1144">
      <c r="A1144" s="7">
        <v>8875.0</v>
      </c>
      <c r="B1144" s="7" t="str">
        <f>VLOOKUP($A1144,product_category,2, False)</f>
        <v>Meat</v>
      </c>
      <c r="C1144" s="7">
        <v>8.66396272E8</v>
      </c>
      <c r="D1144" s="9">
        <v>41584.0</v>
      </c>
      <c r="E1144" s="10">
        <f t="shared" si="1"/>
        <v>11</v>
      </c>
      <c r="F1144" s="10" t="str">
        <f t="shared" si="2"/>
        <v>Nov</v>
      </c>
      <c r="G1144" s="11">
        <f t="shared" si="3"/>
        <v>6</v>
      </c>
      <c r="H1144" s="7">
        <f t="shared" si="4"/>
        <v>2013</v>
      </c>
      <c r="I1144" s="9">
        <v>41594.0</v>
      </c>
      <c r="J1144" s="11">
        <f t="shared" si="5"/>
        <v>10</v>
      </c>
      <c r="K1144" s="7" t="s">
        <v>382</v>
      </c>
      <c r="L1144" s="7" t="s">
        <v>88</v>
      </c>
      <c r="M1144" s="7" t="str">
        <f>VLOOKUP(L1144,countries, 2,false)</f>
        <v>Austria</v>
      </c>
      <c r="N1144" s="7" t="str">
        <f>VLOOKUP(L1144,countries, 4,false)</f>
        <v>Europe</v>
      </c>
      <c r="O1144" s="7" t="str">
        <f>VLOOKUP(L1144,countries, 5,false)</f>
        <v>Western Europe</v>
      </c>
      <c r="P1144" s="7" t="s">
        <v>129</v>
      </c>
      <c r="Q1144" s="7">
        <v>4765.0</v>
      </c>
      <c r="R1144" s="12">
        <v>421.89</v>
      </c>
      <c r="S1144" s="12">
        <v>364.69</v>
      </c>
      <c r="T1144" s="13">
        <f t="shared" si="6"/>
        <v>2010305.85</v>
      </c>
      <c r="U1144" s="13">
        <f t="shared" si="7"/>
        <v>2278851.36</v>
      </c>
      <c r="V1144" s="13">
        <f t="shared" si="8"/>
        <v>-268545.51</v>
      </c>
      <c r="W1144" s="14">
        <f>Q1144/totals!B$2</f>
        <v>0.0007245468883</v>
      </c>
      <c r="X1144" s="14">
        <f t="shared" si="9"/>
        <v>0.8496853353</v>
      </c>
      <c r="Y1144" s="14">
        <f>T1144/totals!B$5</f>
        <v>0.001181053474</v>
      </c>
      <c r="Z1144" s="14">
        <f t="shared" si="10"/>
        <v>0.8657418085</v>
      </c>
      <c r="AA1144" s="14">
        <f>V1144/totals!B$4</f>
        <v>-0.000535473269</v>
      </c>
      <c r="AB1144" s="14">
        <f t="shared" si="11"/>
        <v>0.8605294012</v>
      </c>
    </row>
    <row r="1145">
      <c r="A1145" s="7">
        <v>8681.0</v>
      </c>
      <c r="B1145" s="7" t="str">
        <f>VLOOKUP($A1145,product_category,2, False)</f>
        <v>Office Supplies</v>
      </c>
      <c r="C1145" s="7">
        <v>8.67138278E8</v>
      </c>
      <c r="D1145" s="9">
        <v>40736.0</v>
      </c>
      <c r="E1145" s="10">
        <f t="shared" si="1"/>
        <v>7</v>
      </c>
      <c r="F1145" s="10" t="str">
        <f t="shared" si="2"/>
        <v>Jul</v>
      </c>
      <c r="G1145" s="11">
        <f t="shared" si="3"/>
        <v>12</v>
      </c>
      <c r="H1145" s="7">
        <f t="shared" si="4"/>
        <v>2011</v>
      </c>
      <c r="I1145" s="9">
        <v>40759.0</v>
      </c>
      <c r="J1145" s="11">
        <f t="shared" si="5"/>
        <v>23</v>
      </c>
      <c r="K1145" s="7" t="s">
        <v>198</v>
      </c>
      <c r="L1145" s="7" t="s">
        <v>286</v>
      </c>
      <c r="M1145" s="7" t="str">
        <f>VLOOKUP(L1145,countries, 2,false)</f>
        <v>France</v>
      </c>
      <c r="N1145" s="7" t="str">
        <f>VLOOKUP(L1145,countries, 4,false)</f>
        <v>Europe</v>
      </c>
      <c r="O1145" s="7" t="str">
        <f>VLOOKUP(L1145,countries, 5,false)</f>
        <v>Western Europe</v>
      </c>
      <c r="P1145" s="7" t="s">
        <v>212</v>
      </c>
      <c r="Q1145" s="7">
        <v>4341.0</v>
      </c>
      <c r="R1145" s="12">
        <v>651.21</v>
      </c>
      <c r="S1145" s="12">
        <v>524.96</v>
      </c>
      <c r="T1145" s="13">
        <f t="shared" si="6"/>
        <v>2826902.61</v>
      </c>
      <c r="U1145" s="13">
        <f t="shared" si="7"/>
        <v>807581.78</v>
      </c>
      <c r="V1145" s="13">
        <f t="shared" si="8"/>
        <v>2019320.83</v>
      </c>
      <c r="W1145" s="14">
        <f>Q1145/totals!B$2</f>
        <v>0.00066007514</v>
      </c>
      <c r="X1145" s="14">
        <f t="shared" si="9"/>
        <v>0.8503454104</v>
      </c>
      <c r="Y1145" s="14">
        <f>T1145/totals!B$5</f>
        <v>0.001660803577</v>
      </c>
      <c r="Z1145" s="14">
        <f t="shared" si="10"/>
        <v>0.8674026121</v>
      </c>
      <c r="AA1145" s="14">
        <f>V1145/totals!B$4</f>
        <v>0.004026477025</v>
      </c>
      <c r="AB1145" s="14">
        <f t="shared" si="11"/>
        <v>0.8645558782</v>
      </c>
    </row>
    <row r="1146">
      <c r="A1146" s="7">
        <v>7940.0</v>
      </c>
      <c r="B1146" s="7" t="str">
        <f>VLOOKUP($A1146,product_category,2, False)</f>
        <v>Household</v>
      </c>
      <c r="C1146" s="7">
        <v>8.6929177E8</v>
      </c>
      <c r="D1146" s="9">
        <v>42204.0</v>
      </c>
      <c r="E1146" s="10">
        <f t="shared" si="1"/>
        <v>7</v>
      </c>
      <c r="F1146" s="10" t="str">
        <f t="shared" si="2"/>
        <v>Jul</v>
      </c>
      <c r="G1146" s="11">
        <f t="shared" si="3"/>
        <v>19</v>
      </c>
      <c r="H1146" s="7">
        <f t="shared" si="4"/>
        <v>2015</v>
      </c>
      <c r="I1146" s="9">
        <v>42237.0</v>
      </c>
      <c r="J1146" s="11">
        <f t="shared" si="5"/>
        <v>33</v>
      </c>
      <c r="K1146" s="7" t="s">
        <v>322</v>
      </c>
      <c r="L1146" s="7" t="s">
        <v>705</v>
      </c>
      <c r="M1146" s="7" t="str">
        <f>VLOOKUP(L1146,countries, 2,false)</f>
        <v>Switzerland</v>
      </c>
      <c r="N1146" s="7" t="str">
        <f>VLOOKUP(L1146,countries, 4,false)</f>
        <v>Europe</v>
      </c>
      <c r="O1146" s="7" t="str">
        <f>VLOOKUP(L1146,countries, 5,false)</f>
        <v>Western Europe</v>
      </c>
      <c r="P1146" s="7" t="s">
        <v>212</v>
      </c>
      <c r="Q1146" s="7">
        <v>1607.0</v>
      </c>
      <c r="R1146" s="12">
        <v>668.27</v>
      </c>
      <c r="S1146" s="12">
        <v>502.54</v>
      </c>
      <c r="T1146" s="13">
        <f t="shared" si="6"/>
        <v>1073909.89</v>
      </c>
      <c r="U1146" s="13">
        <f t="shared" si="7"/>
        <v>88058.88</v>
      </c>
      <c r="V1146" s="13">
        <f t="shared" si="8"/>
        <v>985851.01</v>
      </c>
      <c r="W1146" s="14">
        <f>Q1146/totals!B$2</f>
        <v>0.0002443540083</v>
      </c>
      <c r="X1146" s="14">
        <f t="shared" si="9"/>
        <v>0.8505897644</v>
      </c>
      <c r="Y1146" s="14">
        <f>T1146/totals!B$5</f>
        <v>0.0006309214122</v>
      </c>
      <c r="Z1146" s="14">
        <f t="shared" si="10"/>
        <v>0.8680335335</v>
      </c>
      <c r="AA1146" s="14">
        <f>V1146/totals!B$4</f>
        <v>0.001965763133</v>
      </c>
      <c r="AB1146" s="14">
        <f t="shared" si="11"/>
        <v>0.8665216413</v>
      </c>
    </row>
    <row r="1147">
      <c r="A1147" s="7">
        <v>2455.0</v>
      </c>
      <c r="B1147" s="7" t="str">
        <f>VLOOKUP($A1147,product_category,2, False)</f>
        <v>Clothes</v>
      </c>
      <c r="C1147" s="7">
        <v>8.70173251E8</v>
      </c>
      <c r="D1147" s="9">
        <v>42361.0</v>
      </c>
      <c r="E1147" s="10">
        <f t="shared" si="1"/>
        <v>12</v>
      </c>
      <c r="F1147" s="10" t="str">
        <f t="shared" si="2"/>
        <v>Dec</v>
      </c>
      <c r="G1147" s="11">
        <f t="shared" si="3"/>
        <v>23</v>
      </c>
      <c r="H1147" s="7">
        <f t="shared" si="4"/>
        <v>2015</v>
      </c>
      <c r="I1147" s="9">
        <v>42368.0</v>
      </c>
      <c r="J1147" s="11">
        <f t="shared" si="5"/>
        <v>7</v>
      </c>
      <c r="K1147" s="7" t="s">
        <v>110</v>
      </c>
      <c r="L1147" s="7" t="s">
        <v>88</v>
      </c>
      <c r="M1147" s="7" t="str">
        <f>VLOOKUP(L1147,countries, 2,false)</f>
        <v>Austria</v>
      </c>
      <c r="N1147" s="7" t="str">
        <f>VLOOKUP(L1147,countries, 4,false)</f>
        <v>Europe</v>
      </c>
      <c r="O1147" s="7" t="str">
        <f>VLOOKUP(L1147,countries, 5,false)</f>
        <v>Western Europe</v>
      </c>
      <c r="P1147" s="7" t="s">
        <v>129</v>
      </c>
      <c r="Q1147" s="7">
        <v>2457.0</v>
      </c>
      <c r="R1147" s="12">
        <v>109.28</v>
      </c>
      <c r="S1147" s="12">
        <v>35.84</v>
      </c>
      <c r="T1147" s="13">
        <f t="shared" si="6"/>
        <v>268500.96</v>
      </c>
      <c r="U1147" s="13">
        <f t="shared" si="7"/>
        <v>40080.64</v>
      </c>
      <c r="V1147" s="13">
        <f t="shared" si="8"/>
        <v>228420.32</v>
      </c>
      <c r="W1147" s="14">
        <f>Q1147/totals!B$2</f>
        <v>0.0003736016169</v>
      </c>
      <c r="X1147" s="14">
        <f t="shared" si="9"/>
        <v>0.8509633661</v>
      </c>
      <c r="Y1147" s="14">
        <f>T1147/totals!B$5</f>
        <v>0.0001577441519</v>
      </c>
      <c r="Z1147" s="14">
        <f t="shared" si="10"/>
        <v>0.8681912777</v>
      </c>
      <c r="AA1147" s="14">
        <f>V1147/totals!B$4</f>
        <v>0.0004554646081</v>
      </c>
      <c r="AB1147" s="14">
        <f t="shared" si="11"/>
        <v>0.8669771059</v>
      </c>
    </row>
    <row r="1148">
      <c r="A1148" s="7">
        <v>4594.0</v>
      </c>
      <c r="B1148" s="7" t="str">
        <f>VLOOKUP($A1148,product_category,2, False)</f>
        <v>Fruits</v>
      </c>
      <c r="C1148" s="7">
        <v>8.70218312E8</v>
      </c>
      <c r="D1148" s="9">
        <v>42813.0</v>
      </c>
      <c r="E1148" s="10">
        <f t="shared" si="1"/>
        <v>3</v>
      </c>
      <c r="F1148" s="10" t="str">
        <f t="shared" si="2"/>
        <v>Mar</v>
      </c>
      <c r="G1148" s="11">
        <f t="shared" si="3"/>
        <v>19</v>
      </c>
      <c r="H1148" s="7">
        <f t="shared" si="4"/>
        <v>2017</v>
      </c>
      <c r="I1148" s="9">
        <v>42821.0</v>
      </c>
      <c r="J1148" s="11">
        <f t="shared" si="5"/>
        <v>8</v>
      </c>
      <c r="K1148" s="7" t="s">
        <v>382</v>
      </c>
      <c r="L1148" s="7" t="s">
        <v>432</v>
      </c>
      <c r="M1148" s="7" t="str">
        <f>VLOOKUP(L1148,countries, 2,false)</f>
        <v>Latvia</v>
      </c>
      <c r="N1148" s="7" t="str">
        <f>VLOOKUP(L1148,countries, 4,false)</f>
        <v>Europe</v>
      </c>
      <c r="O1148" s="7" t="str">
        <f>VLOOKUP(L1148,countries, 5,false)</f>
        <v>Northern Europe</v>
      </c>
      <c r="P1148" s="7" t="s">
        <v>212</v>
      </c>
      <c r="Q1148" s="7">
        <v>5792.0</v>
      </c>
      <c r="R1148" s="12">
        <v>9.33</v>
      </c>
      <c r="S1148" s="12">
        <v>6.92</v>
      </c>
      <c r="T1148" s="13">
        <f t="shared" si="6"/>
        <v>54039.36</v>
      </c>
      <c r="U1148" s="13">
        <f t="shared" si="7"/>
        <v>307051.94</v>
      </c>
      <c r="V1148" s="13">
        <f t="shared" si="8"/>
        <v>-253012.58</v>
      </c>
      <c r="W1148" s="14">
        <f>Q1148/totals!B$2</f>
        <v>0.0008807084107</v>
      </c>
      <c r="X1148" s="14">
        <f t="shared" si="9"/>
        <v>0.8518440745</v>
      </c>
      <c r="Y1148" s="14">
        <f>T1148/totals!B$5</f>
        <v>0.00003174809138</v>
      </c>
      <c r="Z1148" s="14">
        <f t="shared" si="10"/>
        <v>0.8682230258</v>
      </c>
      <c r="AA1148" s="14">
        <f>V1148/totals!B$4</f>
        <v>-0.0005045009813</v>
      </c>
      <c r="AB1148" s="14">
        <f t="shared" si="11"/>
        <v>0.866472605</v>
      </c>
    </row>
    <row r="1149">
      <c r="A1149" s="7">
        <v>7940.0</v>
      </c>
      <c r="B1149" s="7" t="str">
        <f>VLOOKUP($A1149,product_category,2, False)</f>
        <v>Household</v>
      </c>
      <c r="C1149" s="7">
        <v>8.71147E8</v>
      </c>
      <c r="D1149" s="9">
        <v>41863.0</v>
      </c>
      <c r="E1149" s="10">
        <f t="shared" si="1"/>
        <v>8</v>
      </c>
      <c r="F1149" s="10" t="str">
        <f t="shared" si="2"/>
        <v>Aug</v>
      </c>
      <c r="G1149" s="11">
        <f t="shared" si="3"/>
        <v>12</v>
      </c>
      <c r="H1149" s="7">
        <f t="shared" si="4"/>
        <v>2014</v>
      </c>
      <c r="I1149" s="9">
        <v>41876.0</v>
      </c>
      <c r="J1149" s="11">
        <f t="shared" si="5"/>
        <v>13</v>
      </c>
      <c r="K1149" s="7" t="s">
        <v>198</v>
      </c>
      <c r="L1149" s="7" t="s">
        <v>642</v>
      </c>
      <c r="M1149" s="7" t="str">
        <f>VLOOKUP(L1149,countries, 2,false)</f>
        <v>San Marino</v>
      </c>
      <c r="N1149" s="7" t="str">
        <f>VLOOKUP(L1149,countries, 4,false)</f>
        <v>Europe</v>
      </c>
      <c r="O1149" s="7" t="str">
        <f>VLOOKUP(L1149,countries, 5,false)</f>
        <v>Southern Europe</v>
      </c>
      <c r="P1149" s="7" t="s">
        <v>129</v>
      </c>
      <c r="Q1149" s="7">
        <v>611.0</v>
      </c>
      <c r="R1149" s="12">
        <v>668.27</v>
      </c>
      <c r="S1149" s="12">
        <v>502.54</v>
      </c>
      <c r="T1149" s="13">
        <f t="shared" si="6"/>
        <v>408312.97</v>
      </c>
      <c r="U1149" s="13">
        <f t="shared" si="7"/>
        <v>75565.08</v>
      </c>
      <c r="V1149" s="13">
        <f t="shared" si="8"/>
        <v>332747.89</v>
      </c>
      <c r="W1149" s="14">
        <f>Q1149/totals!B$2</f>
        <v>0.00009290622219</v>
      </c>
      <c r="X1149" s="14">
        <f t="shared" si="9"/>
        <v>0.8519369807</v>
      </c>
      <c r="Y1149" s="14">
        <f>T1149/totals!B$5</f>
        <v>0.0002398836234</v>
      </c>
      <c r="Z1149" s="14">
        <f t="shared" si="10"/>
        <v>0.8684629094</v>
      </c>
      <c r="AA1149" s="14">
        <f>V1149/totals!B$4</f>
        <v>0.0006634912661</v>
      </c>
      <c r="AB1149" s="14">
        <f t="shared" si="11"/>
        <v>0.8671360962</v>
      </c>
    </row>
    <row r="1150">
      <c r="A1150" s="7">
        <v>7331.0</v>
      </c>
      <c r="B1150" s="7" t="str">
        <f>VLOOKUP($A1150,product_category,2, False)</f>
        <v>Baby Food</v>
      </c>
      <c r="C1150" s="7">
        <v>8.71923768E8</v>
      </c>
      <c r="D1150" s="9">
        <v>41759.0</v>
      </c>
      <c r="E1150" s="10">
        <f t="shared" si="1"/>
        <v>4</v>
      </c>
      <c r="F1150" s="10" t="str">
        <f t="shared" si="2"/>
        <v>Apr</v>
      </c>
      <c r="G1150" s="11">
        <f t="shared" si="3"/>
        <v>30</v>
      </c>
      <c r="H1150" s="7">
        <f t="shared" si="4"/>
        <v>2014</v>
      </c>
      <c r="I1150" s="9">
        <v>41789.0</v>
      </c>
      <c r="J1150" s="11">
        <f t="shared" si="5"/>
        <v>30</v>
      </c>
      <c r="K1150" s="7" t="s">
        <v>198</v>
      </c>
      <c r="L1150" s="7" t="s">
        <v>136</v>
      </c>
      <c r="M1150" s="7" t="str">
        <f>VLOOKUP(L1150,countries, 2,false)</f>
        <v>Bosnia and Herzegovina</v>
      </c>
      <c r="N1150" s="7" t="str">
        <f>VLOOKUP(L1150,countries, 4,false)</f>
        <v>Europe</v>
      </c>
      <c r="O1150" s="7" t="str">
        <f>VLOOKUP(L1150,countries, 5,false)</f>
        <v>Southern Europe</v>
      </c>
      <c r="P1150" s="7" t="s">
        <v>129</v>
      </c>
      <c r="Q1150" s="7">
        <v>474.0</v>
      </c>
      <c r="R1150" s="12">
        <v>255.28</v>
      </c>
      <c r="S1150" s="12">
        <v>159.42</v>
      </c>
      <c r="T1150" s="13">
        <f t="shared" si="6"/>
        <v>121002.72</v>
      </c>
      <c r="U1150" s="13">
        <f t="shared" si="7"/>
        <v>3513759.68</v>
      </c>
      <c r="V1150" s="13">
        <f t="shared" si="8"/>
        <v>-3392756.96</v>
      </c>
      <c r="W1150" s="14">
        <f>Q1150/totals!B$2</f>
        <v>0.0000720745488</v>
      </c>
      <c r="X1150" s="14">
        <f t="shared" si="9"/>
        <v>0.8520090552</v>
      </c>
      <c r="Y1150" s="14">
        <f>T1150/totals!B$5</f>
        <v>0.00007108902497</v>
      </c>
      <c r="Z1150" s="14">
        <f t="shared" si="10"/>
        <v>0.8685339984</v>
      </c>
      <c r="AA1150" s="14">
        <f>V1150/totals!B$4</f>
        <v>-0.006765075538</v>
      </c>
      <c r="AB1150" s="14">
        <f t="shared" si="11"/>
        <v>0.8603710207</v>
      </c>
    </row>
    <row r="1151">
      <c r="A1151" s="7">
        <v>7940.0</v>
      </c>
      <c r="B1151" s="7" t="str">
        <f>VLOOKUP($A1151,product_category,2, False)</f>
        <v>Household</v>
      </c>
      <c r="C1151" s="7">
        <v>8.73432672E8</v>
      </c>
      <c r="D1151" s="9">
        <v>41892.0</v>
      </c>
      <c r="E1151" s="10">
        <f t="shared" si="1"/>
        <v>9</v>
      </c>
      <c r="F1151" s="10" t="str">
        <f t="shared" si="2"/>
        <v>Sep</v>
      </c>
      <c r="G1151" s="11">
        <f t="shared" si="3"/>
        <v>10</v>
      </c>
      <c r="H1151" s="7">
        <f t="shared" si="4"/>
        <v>2014</v>
      </c>
      <c r="I1151" s="9">
        <v>41899.0</v>
      </c>
      <c r="J1151" s="11">
        <f t="shared" si="5"/>
        <v>7</v>
      </c>
      <c r="K1151" s="7" t="s">
        <v>198</v>
      </c>
      <c r="L1151" s="7" t="s">
        <v>670</v>
      </c>
      <c r="M1151" s="7" t="str">
        <f>VLOOKUP(L1151,countries, 2,false)</f>
        <v>Slovenia</v>
      </c>
      <c r="N1151" s="7" t="str">
        <f>VLOOKUP(L1151,countries, 4,false)</f>
        <v>Europe</v>
      </c>
      <c r="O1151" s="7" t="str">
        <f>VLOOKUP(L1151,countries, 5,false)</f>
        <v>Southern Europe</v>
      </c>
      <c r="P1151" s="7" t="s">
        <v>129</v>
      </c>
      <c r="Q1151" s="7">
        <v>6992.0</v>
      </c>
      <c r="R1151" s="12">
        <v>668.27</v>
      </c>
      <c r="S1151" s="12">
        <v>502.54</v>
      </c>
      <c r="T1151" s="13">
        <f t="shared" si="6"/>
        <v>4672543.84</v>
      </c>
      <c r="U1151" s="13">
        <f t="shared" si="7"/>
        <v>2981569.82</v>
      </c>
      <c r="V1151" s="13">
        <f t="shared" si="8"/>
        <v>1690974.02</v>
      </c>
      <c r="W1151" s="14">
        <f>Q1151/totals!B$2</f>
        <v>0.001063175623</v>
      </c>
      <c r="X1151" s="14">
        <f t="shared" si="9"/>
        <v>0.8530722309</v>
      </c>
      <c r="Y1151" s="14">
        <f>T1151/totals!B$5</f>
        <v>0.002745116686</v>
      </c>
      <c r="Z1151" s="14">
        <f t="shared" si="10"/>
        <v>0.8712791151</v>
      </c>
      <c r="AA1151" s="14">
        <f>V1151/totals!B$4</f>
        <v>0.003371761406</v>
      </c>
      <c r="AB1151" s="14">
        <f t="shared" si="11"/>
        <v>0.8637427821</v>
      </c>
    </row>
    <row r="1152">
      <c r="A1152" s="7">
        <v>7940.0</v>
      </c>
      <c r="B1152" s="7" t="str">
        <f>VLOOKUP($A1152,product_category,2, False)</f>
        <v>Household</v>
      </c>
      <c r="C1152" s="7">
        <v>8.74172532E8</v>
      </c>
      <c r="D1152" s="9">
        <v>42603.0</v>
      </c>
      <c r="E1152" s="10">
        <f t="shared" si="1"/>
        <v>8</v>
      </c>
      <c r="F1152" s="10" t="str">
        <f t="shared" si="2"/>
        <v>Aug</v>
      </c>
      <c r="G1152" s="11">
        <f t="shared" si="3"/>
        <v>21</v>
      </c>
      <c r="H1152" s="7">
        <f t="shared" si="4"/>
        <v>2016</v>
      </c>
      <c r="I1152" s="9">
        <v>42645.0</v>
      </c>
      <c r="J1152" s="11">
        <f t="shared" si="5"/>
        <v>42</v>
      </c>
      <c r="K1152" s="7" t="s">
        <v>110</v>
      </c>
      <c r="L1152" s="7" t="s">
        <v>307</v>
      </c>
      <c r="M1152" s="7" t="str">
        <f>VLOOKUP(L1152,countries, 2,false)</f>
        <v>Germany</v>
      </c>
      <c r="N1152" s="7" t="str">
        <f>VLOOKUP(L1152,countries, 4,false)</f>
        <v>Europe</v>
      </c>
      <c r="O1152" s="7" t="str">
        <f>VLOOKUP(L1152,countries, 5,false)</f>
        <v>Western Europe</v>
      </c>
      <c r="P1152" s="7" t="s">
        <v>212</v>
      </c>
      <c r="Q1152" s="7">
        <v>5933.0</v>
      </c>
      <c r="R1152" s="12">
        <v>668.27</v>
      </c>
      <c r="S1152" s="12">
        <v>502.54</v>
      </c>
      <c r="T1152" s="13">
        <f t="shared" si="6"/>
        <v>3964845.91</v>
      </c>
      <c r="U1152" s="13">
        <f t="shared" si="7"/>
        <v>266495.57</v>
      </c>
      <c r="V1152" s="13">
        <f t="shared" si="8"/>
        <v>3698350.34</v>
      </c>
      <c r="W1152" s="14">
        <f>Q1152/totals!B$2</f>
        <v>0.0009021483081</v>
      </c>
      <c r="X1152" s="14">
        <f t="shared" si="9"/>
        <v>0.8539743792</v>
      </c>
      <c r="Y1152" s="14">
        <f>T1152/totals!B$5</f>
        <v>0.002329344579</v>
      </c>
      <c r="Z1152" s="14">
        <f t="shared" si="10"/>
        <v>0.8736084597</v>
      </c>
      <c r="AA1152" s="14">
        <f>V1152/totals!B$4</f>
        <v>0.007374421366</v>
      </c>
      <c r="AB1152" s="14">
        <f t="shared" si="11"/>
        <v>0.8711172035</v>
      </c>
    </row>
    <row r="1153">
      <c r="A1153" s="7">
        <v>1270.0</v>
      </c>
      <c r="B1153" s="7" t="str">
        <f>VLOOKUP($A1153,product_category,2, False)</f>
        <v>Beverages</v>
      </c>
      <c r="C1153" s="7">
        <v>8.74349772E8</v>
      </c>
      <c r="D1153" s="9">
        <v>41616.0</v>
      </c>
      <c r="E1153" s="10">
        <f t="shared" si="1"/>
        <v>12</v>
      </c>
      <c r="F1153" s="10" t="str">
        <f t="shared" si="2"/>
        <v>Dec</v>
      </c>
      <c r="G1153" s="11">
        <f t="shared" si="3"/>
        <v>8</v>
      </c>
      <c r="H1153" s="7">
        <f t="shared" si="4"/>
        <v>2013</v>
      </c>
      <c r="I1153" s="9">
        <v>41643.0</v>
      </c>
      <c r="J1153" s="11">
        <f t="shared" si="5"/>
        <v>27</v>
      </c>
      <c r="K1153" s="7" t="s">
        <v>110</v>
      </c>
      <c r="L1153" s="7" t="s">
        <v>231</v>
      </c>
      <c r="M1153" s="7" t="str">
        <f>VLOOKUP(L1153,countries, 2,false)</f>
        <v>Cyprus</v>
      </c>
      <c r="N1153" s="7" t="str">
        <f>VLOOKUP(L1153,countries, 4,false)</f>
        <v>Asia</v>
      </c>
      <c r="O1153" s="7" t="str">
        <f>VLOOKUP(L1153,countries, 5,false)</f>
        <v>Western Asia</v>
      </c>
      <c r="P1153" s="7" t="s">
        <v>129</v>
      </c>
      <c r="Q1153" s="7">
        <v>8383.0</v>
      </c>
      <c r="R1153" s="12">
        <v>47.45</v>
      </c>
      <c r="S1153" s="12">
        <v>31.79</v>
      </c>
      <c r="T1153" s="13">
        <f t="shared" si="6"/>
        <v>397773.35</v>
      </c>
      <c r="U1153" s="13">
        <f t="shared" si="7"/>
        <v>41035.6</v>
      </c>
      <c r="V1153" s="13">
        <f t="shared" si="8"/>
        <v>356737.75</v>
      </c>
      <c r="W1153" s="14">
        <f>Q1153/totals!B$2</f>
        <v>0.001274685533</v>
      </c>
      <c r="X1153" s="14">
        <f t="shared" si="9"/>
        <v>0.8552490647</v>
      </c>
      <c r="Y1153" s="14">
        <f>T1153/totals!B$5</f>
        <v>0.000233691603</v>
      </c>
      <c r="Z1153" s="14">
        <f t="shared" si="10"/>
        <v>0.8738421513</v>
      </c>
      <c r="AA1153" s="14">
        <f>V1153/totals!B$4</f>
        <v>0.0007113264682</v>
      </c>
      <c r="AB1153" s="14">
        <f t="shared" si="11"/>
        <v>0.8718285299</v>
      </c>
    </row>
    <row r="1154">
      <c r="A1154" s="7">
        <v>4594.0</v>
      </c>
      <c r="B1154" s="7" t="str">
        <f>VLOOKUP($A1154,product_category,2, False)</f>
        <v>Fruits</v>
      </c>
      <c r="C1154" s="7">
        <v>8.75220096E8</v>
      </c>
      <c r="D1154" s="9">
        <v>40476.0</v>
      </c>
      <c r="E1154" s="10">
        <f t="shared" si="1"/>
        <v>10</v>
      </c>
      <c r="F1154" s="10" t="str">
        <f t="shared" si="2"/>
        <v>Oct</v>
      </c>
      <c r="G1154" s="11">
        <f t="shared" si="3"/>
        <v>25</v>
      </c>
      <c r="H1154" s="7">
        <f t="shared" si="4"/>
        <v>2010</v>
      </c>
      <c r="I1154" s="9">
        <v>40488.0</v>
      </c>
      <c r="J1154" s="11">
        <f t="shared" si="5"/>
        <v>12</v>
      </c>
      <c r="K1154" s="7" t="s">
        <v>322</v>
      </c>
      <c r="L1154" s="7" t="s">
        <v>642</v>
      </c>
      <c r="M1154" s="7" t="str">
        <f>VLOOKUP(L1154,countries, 2,false)</f>
        <v>San Marino</v>
      </c>
      <c r="N1154" s="7" t="str">
        <f>VLOOKUP(L1154,countries, 4,false)</f>
        <v>Europe</v>
      </c>
      <c r="O1154" s="7" t="str">
        <f>VLOOKUP(L1154,countries, 5,false)</f>
        <v>Southern Europe</v>
      </c>
      <c r="P1154" s="7" t="s">
        <v>129</v>
      </c>
      <c r="Q1154" s="7">
        <v>5930.0</v>
      </c>
      <c r="R1154" s="12">
        <v>9.33</v>
      </c>
      <c r="S1154" s="12">
        <v>6.92</v>
      </c>
      <c r="T1154" s="13">
        <f t="shared" si="6"/>
        <v>55326.9</v>
      </c>
      <c r="U1154" s="13">
        <f t="shared" si="7"/>
        <v>60538.54</v>
      </c>
      <c r="V1154" s="13">
        <f t="shared" si="8"/>
        <v>-5211.64</v>
      </c>
      <c r="W1154" s="14">
        <f>Q1154/totals!B$2</f>
        <v>0.0009016921401</v>
      </c>
      <c r="X1154" s="14">
        <f t="shared" si="9"/>
        <v>0.8561507568</v>
      </c>
      <c r="Y1154" s="14">
        <f>T1154/totals!B$5</f>
        <v>0.00003250452036</v>
      </c>
      <c r="Z1154" s="14">
        <f t="shared" si="10"/>
        <v>0.8738746558</v>
      </c>
      <c r="AA1154" s="14">
        <f>V1154/totals!B$4</f>
        <v>-0.00001039188444</v>
      </c>
      <c r="AB1154" s="14">
        <f t="shared" si="11"/>
        <v>0.871818138</v>
      </c>
    </row>
    <row r="1155">
      <c r="A1155" s="7">
        <v>8875.0</v>
      </c>
      <c r="B1155" s="7" t="str">
        <f>VLOOKUP($A1155,product_category,2, False)</f>
        <v>Meat</v>
      </c>
      <c r="C1155" s="7">
        <v>8.76856458E8</v>
      </c>
      <c r="D1155" s="9">
        <v>41494.0</v>
      </c>
      <c r="E1155" s="10">
        <f t="shared" si="1"/>
        <v>8</v>
      </c>
      <c r="F1155" s="10" t="str">
        <f t="shared" si="2"/>
        <v>Aug</v>
      </c>
      <c r="G1155" s="11">
        <f t="shared" si="3"/>
        <v>8</v>
      </c>
      <c r="H1155" s="7">
        <f t="shared" si="4"/>
        <v>2013</v>
      </c>
      <c r="I1155" s="9">
        <v>41515.0</v>
      </c>
      <c r="J1155" s="11">
        <f t="shared" si="5"/>
        <v>21</v>
      </c>
      <c r="K1155" s="7" t="s">
        <v>382</v>
      </c>
      <c r="L1155" s="7" t="s">
        <v>439</v>
      </c>
      <c r="M1155" s="7" t="str">
        <f>VLOOKUP(L1155,countries, 2,false)</f>
        <v>Slovakia</v>
      </c>
      <c r="N1155" s="7" t="str">
        <f>VLOOKUP(L1155,countries, 4,false)</f>
        <v>Europe</v>
      </c>
      <c r="O1155" s="7" t="str">
        <f>VLOOKUP(L1155,countries, 5,false)</f>
        <v>Eastern Europe</v>
      </c>
      <c r="P1155" s="7" t="s">
        <v>212</v>
      </c>
      <c r="Q1155" s="7">
        <v>166.0</v>
      </c>
      <c r="R1155" s="12">
        <v>421.89</v>
      </c>
      <c r="S1155" s="12">
        <v>364.69</v>
      </c>
      <c r="T1155" s="13">
        <f t="shared" si="6"/>
        <v>70033.74</v>
      </c>
      <c r="U1155" s="13">
        <f t="shared" si="7"/>
        <v>35731.96</v>
      </c>
      <c r="V1155" s="13">
        <f t="shared" si="8"/>
        <v>34301.78</v>
      </c>
      <c r="W1155" s="14">
        <f>Q1155/totals!B$2</f>
        <v>0.00002524129768</v>
      </c>
      <c r="X1155" s="14">
        <f t="shared" si="9"/>
        <v>0.8561759981</v>
      </c>
      <c r="Y1155" s="14">
        <f>T1155/totals!B$5</f>
        <v>0.00004114477998</v>
      </c>
      <c r="Z1155" s="14">
        <f t="shared" si="10"/>
        <v>0.8739158006</v>
      </c>
      <c r="AA1155" s="14">
        <f>V1155/totals!B$4</f>
        <v>0.00006839692189</v>
      </c>
      <c r="AB1155" s="14">
        <f t="shared" si="11"/>
        <v>0.871886535</v>
      </c>
    </row>
    <row r="1156">
      <c r="A1156" s="7">
        <v>1270.0</v>
      </c>
      <c r="B1156" s="7" t="str">
        <f>VLOOKUP($A1156,product_category,2, False)</f>
        <v>Beverages</v>
      </c>
      <c r="C1156" s="7">
        <v>8.77062451E8</v>
      </c>
      <c r="D1156" s="9">
        <v>41191.0</v>
      </c>
      <c r="E1156" s="10">
        <f t="shared" si="1"/>
        <v>10</v>
      </c>
      <c r="F1156" s="10" t="str">
        <f t="shared" si="2"/>
        <v>Oct</v>
      </c>
      <c r="G1156" s="11">
        <f t="shared" si="3"/>
        <v>9</v>
      </c>
      <c r="H1156" s="7">
        <f t="shared" si="4"/>
        <v>2012</v>
      </c>
      <c r="I1156" s="9">
        <v>41211.0</v>
      </c>
      <c r="J1156" s="11">
        <f t="shared" si="5"/>
        <v>20</v>
      </c>
      <c r="K1156" s="7" t="s">
        <v>198</v>
      </c>
      <c r="L1156" s="7" t="s">
        <v>28</v>
      </c>
      <c r="M1156" s="7" t="str">
        <f>VLOOKUP(L1156,countries, 2,false)</f>
        <v>Albania</v>
      </c>
      <c r="N1156" s="7" t="str">
        <f>VLOOKUP(L1156,countries, 4,false)</f>
        <v>Europe</v>
      </c>
      <c r="O1156" s="7" t="str">
        <f>VLOOKUP(L1156,countries, 5,false)</f>
        <v>Southern Europe</v>
      </c>
      <c r="P1156" s="7" t="s">
        <v>129</v>
      </c>
      <c r="Q1156" s="7">
        <v>1124.0</v>
      </c>
      <c r="R1156" s="12">
        <v>47.45</v>
      </c>
      <c r="S1156" s="12">
        <v>31.79</v>
      </c>
      <c r="T1156" s="13">
        <f t="shared" si="6"/>
        <v>53333.8</v>
      </c>
      <c r="U1156" s="13">
        <f t="shared" si="7"/>
        <v>2818324.32</v>
      </c>
      <c r="V1156" s="13">
        <f t="shared" si="8"/>
        <v>-2764990.52</v>
      </c>
      <c r="W1156" s="14">
        <f>Q1156/totals!B$2</f>
        <v>0.0001709109554</v>
      </c>
      <c r="X1156" s="14">
        <f t="shared" si="9"/>
        <v>0.8563469091</v>
      </c>
      <c r="Y1156" s="14">
        <f>T1156/totals!B$5</f>
        <v>0.00003133357531</v>
      </c>
      <c r="Z1156" s="14">
        <f t="shared" si="10"/>
        <v>0.8739471342</v>
      </c>
      <c r="AA1156" s="14">
        <f>V1156/totals!B$4</f>
        <v>-0.005513324399</v>
      </c>
      <c r="AB1156" s="14">
        <f t="shared" si="11"/>
        <v>0.8663732106</v>
      </c>
    </row>
    <row r="1157">
      <c r="A1157" s="7">
        <v>8875.0</v>
      </c>
      <c r="B1157" s="7" t="str">
        <f>VLOOKUP($A1157,product_category,2, False)</f>
        <v>Meat</v>
      </c>
      <c r="C1157" s="7">
        <v>8.77084767E8</v>
      </c>
      <c r="D1157" s="9">
        <v>41020.0</v>
      </c>
      <c r="E1157" s="10">
        <f t="shared" si="1"/>
        <v>4</v>
      </c>
      <c r="F1157" s="10" t="str">
        <f t="shared" si="2"/>
        <v>Apr</v>
      </c>
      <c r="G1157" s="11">
        <f t="shared" si="3"/>
        <v>21</v>
      </c>
      <c r="H1157" s="7">
        <f t="shared" si="4"/>
        <v>2012</v>
      </c>
      <c r="I1157" s="9">
        <v>41069.0</v>
      </c>
      <c r="J1157" s="11">
        <f t="shared" si="5"/>
        <v>49</v>
      </c>
      <c r="K1157" s="7" t="s">
        <v>198</v>
      </c>
      <c r="L1157" s="7" t="s">
        <v>705</v>
      </c>
      <c r="M1157" s="7" t="str">
        <f>VLOOKUP(L1157,countries, 2,false)</f>
        <v>Switzerland</v>
      </c>
      <c r="N1157" s="7" t="str">
        <f>VLOOKUP(L1157,countries, 4,false)</f>
        <v>Europe</v>
      </c>
      <c r="O1157" s="7" t="str">
        <f>VLOOKUP(L1157,countries, 5,false)</f>
        <v>Western Europe</v>
      </c>
      <c r="P1157" s="7" t="s">
        <v>129</v>
      </c>
      <c r="Q1157" s="7">
        <v>7728.0</v>
      </c>
      <c r="R1157" s="12">
        <v>421.89</v>
      </c>
      <c r="S1157" s="12">
        <v>364.69</v>
      </c>
      <c r="T1157" s="13">
        <f t="shared" si="6"/>
        <v>3260365.92</v>
      </c>
      <c r="U1157" s="13">
        <f t="shared" si="7"/>
        <v>348973.86</v>
      </c>
      <c r="V1157" s="13">
        <f t="shared" si="8"/>
        <v>2911392.06</v>
      </c>
      <c r="W1157" s="14">
        <f>Q1157/totals!B$2</f>
        <v>0.001175088846</v>
      </c>
      <c r="X1157" s="14">
        <f t="shared" si="9"/>
        <v>0.8575219979</v>
      </c>
      <c r="Y1157" s="14">
        <f>T1157/totals!B$5</f>
        <v>0.00191546301</v>
      </c>
      <c r="Z1157" s="14">
        <f t="shared" si="10"/>
        <v>0.8758625972</v>
      </c>
      <c r="AA1157" s="14">
        <f>V1157/totals!B$4</f>
        <v>0.005805245539</v>
      </c>
      <c r="AB1157" s="14">
        <f t="shared" si="11"/>
        <v>0.8721784561</v>
      </c>
    </row>
    <row r="1158">
      <c r="A1158" s="7">
        <v>3127.0</v>
      </c>
      <c r="B1158" s="7" t="str">
        <f>VLOOKUP($A1158,product_category,2, False)</f>
        <v>Personal Care</v>
      </c>
      <c r="C1158" s="7">
        <v>8.77687728E8</v>
      </c>
      <c r="D1158" s="9">
        <v>42727.0</v>
      </c>
      <c r="E1158" s="10">
        <f t="shared" si="1"/>
        <v>12</v>
      </c>
      <c r="F1158" s="10" t="str">
        <f t="shared" si="2"/>
        <v>Dec</v>
      </c>
      <c r="G1158" s="11">
        <f t="shared" si="3"/>
        <v>23</v>
      </c>
      <c r="H1158" s="7">
        <f t="shared" si="4"/>
        <v>2016</v>
      </c>
      <c r="I1158" s="9">
        <v>42773.0</v>
      </c>
      <c r="J1158" s="11">
        <f t="shared" si="5"/>
        <v>46</v>
      </c>
      <c r="K1158" s="7" t="s">
        <v>198</v>
      </c>
      <c r="L1158" s="7" t="s">
        <v>439</v>
      </c>
      <c r="M1158" s="7" t="str">
        <f>VLOOKUP(L1158,countries, 2,false)</f>
        <v>Slovakia</v>
      </c>
      <c r="N1158" s="7" t="str">
        <f>VLOOKUP(L1158,countries, 4,false)</f>
        <v>Europe</v>
      </c>
      <c r="O1158" s="7" t="str">
        <f>VLOOKUP(L1158,countries, 5,false)</f>
        <v>Eastern Europe</v>
      </c>
      <c r="P1158" s="7" t="s">
        <v>212</v>
      </c>
      <c r="Q1158" s="7">
        <v>6158.0</v>
      </c>
      <c r="R1158" s="12">
        <v>81.73</v>
      </c>
      <c r="S1158" s="12">
        <v>56.67</v>
      </c>
      <c r="T1158" s="13">
        <f t="shared" si="6"/>
        <v>503293.34</v>
      </c>
      <c r="U1158" s="13">
        <f t="shared" si="7"/>
        <v>90058.86</v>
      </c>
      <c r="V1158" s="13">
        <f t="shared" si="8"/>
        <v>413234.48</v>
      </c>
      <c r="W1158" s="14">
        <f>Q1158/totals!B$2</f>
        <v>0.0009363609104</v>
      </c>
      <c r="X1158" s="14">
        <f t="shared" si="9"/>
        <v>0.8584583589</v>
      </c>
      <c r="Y1158" s="14">
        <f>T1158/totals!B$5</f>
        <v>0.0002956845335</v>
      </c>
      <c r="Z1158" s="14">
        <f t="shared" si="10"/>
        <v>0.8761582817</v>
      </c>
      <c r="AA1158" s="14">
        <f>V1158/totals!B$4</f>
        <v>0.000823979585</v>
      </c>
      <c r="AB1158" s="14">
        <f t="shared" si="11"/>
        <v>0.8730024357</v>
      </c>
    </row>
    <row r="1159">
      <c r="A1159" s="7">
        <v>8293.0</v>
      </c>
      <c r="B1159" s="7" t="str">
        <f>VLOOKUP($A1159,product_category,2, False)</f>
        <v>Cosmetics</v>
      </c>
      <c r="C1159" s="7">
        <v>8.7861427E8</v>
      </c>
      <c r="D1159" s="9">
        <v>40570.0</v>
      </c>
      <c r="E1159" s="10">
        <f t="shared" si="1"/>
        <v>1</v>
      </c>
      <c r="F1159" s="10" t="str">
        <f t="shared" si="2"/>
        <v>Jan</v>
      </c>
      <c r="G1159" s="11">
        <f t="shared" si="3"/>
        <v>27</v>
      </c>
      <c r="H1159" s="7">
        <f t="shared" si="4"/>
        <v>2011</v>
      </c>
      <c r="I1159" s="9">
        <v>40591.0</v>
      </c>
      <c r="J1159" s="11">
        <f t="shared" si="5"/>
        <v>21</v>
      </c>
      <c r="K1159" s="7" t="s">
        <v>110</v>
      </c>
      <c r="L1159" s="7" t="s">
        <v>367</v>
      </c>
      <c r="M1159" s="7" t="str">
        <f>VLOOKUP(L1159,countries, 2,false)</f>
        <v>Iceland</v>
      </c>
      <c r="N1159" s="7" t="str">
        <f>VLOOKUP(L1159,countries, 4,false)</f>
        <v>Europe</v>
      </c>
      <c r="O1159" s="7" t="str">
        <f>VLOOKUP(L1159,countries, 5,false)</f>
        <v>Northern Europe</v>
      </c>
      <c r="P1159" s="7" t="s">
        <v>129</v>
      </c>
      <c r="Q1159" s="7">
        <v>342.0</v>
      </c>
      <c r="R1159" s="12">
        <v>437.2</v>
      </c>
      <c r="S1159" s="12">
        <v>263.33</v>
      </c>
      <c r="T1159" s="13">
        <f t="shared" si="6"/>
        <v>149522.4</v>
      </c>
      <c r="U1159" s="13">
        <f t="shared" si="7"/>
        <v>139748.84</v>
      </c>
      <c r="V1159" s="13">
        <f t="shared" si="8"/>
        <v>9773.56</v>
      </c>
      <c r="W1159" s="14">
        <f>Q1159/totals!B$2</f>
        <v>0.00005200315547</v>
      </c>
      <c r="X1159" s="14">
        <f t="shared" si="9"/>
        <v>0.858510362</v>
      </c>
      <c r="Y1159" s="14">
        <f>T1159/totals!B$5</f>
        <v>0.00008784431976</v>
      </c>
      <c r="Z1159" s="14">
        <f t="shared" si="10"/>
        <v>0.876246126</v>
      </c>
      <c r="AA1159" s="14">
        <f>V1159/totals!B$4</f>
        <v>0.00001948824288</v>
      </c>
      <c r="AB1159" s="14">
        <f t="shared" si="11"/>
        <v>0.8730219239</v>
      </c>
    </row>
    <row r="1160">
      <c r="A1160" s="7">
        <v>1270.0</v>
      </c>
      <c r="B1160" s="7" t="str">
        <f>VLOOKUP($A1160,product_category,2, False)</f>
        <v>Beverages</v>
      </c>
      <c r="C1160" s="7">
        <v>8.794052E8</v>
      </c>
      <c r="D1160" s="9">
        <v>41793.0</v>
      </c>
      <c r="E1160" s="10">
        <f t="shared" si="1"/>
        <v>6</v>
      </c>
      <c r="F1160" s="10" t="str">
        <f t="shared" si="2"/>
        <v>Jun</v>
      </c>
      <c r="G1160" s="11">
        <f t="shared" si="3"/>
        <v>3</v>
      </c>
      <c r="H1160" s="7">
        <f t="shared" si="4"/>
        <v>2014</v>
      </c>
      <c r="I1160" s="9">
        <v>41840.0</v>
      </c>
      <c r="J1160" s="11">
        <f t="shared" si="5"/>
        <v>47</v>
      </c>
      <c r="K1160" s="7" t="s">
        <v>322</v>
      </c>
      <c r="L1160" s="7" t="s">
        <v>107</v>
      </c>
      <c r="M1160" s="7" t="str">
        <f>VLOOKUP(L1160,countries, 2,false)</f>
        <v>Belarus</v>
      </c>
      <c r="N1160" s="7" t="str">
        <f>VLOOKUP(L1160,countries, 4,false)</f>
        <v>Europe</v>
      </c>
      <c r="O1160" s="7" t="str">
        <f>VLOOKUP(L1160,countries, 5,false)</f>
        <v>Eastern Europe</v>
      </c>
      <c r="P1160" s="7" t="s">
        <v>129</v>
      </c>
      <c r="Q1160" s="7">
        <v>4396.0</v>
      </c>
      <c r="R1160" s="12">
        <v>47.45</v>
      </c>
      <c r="S1160" s="12">
        <v>31.79</v>
      </c>
      <c r="T1160" s="13">
        <f t="shared" si="6"/>
        <v>208590.2</v>
      </c>
      <c r="U1160" s="13">
        <f t="shared" si="7"/>
        <v>31603.64</v>
      </c>
      <c r="V1160" s="13">
        <f t="shared" si="8"/>
        <v>176986.56</v>
      </c>
      <c r="W1160" s="14">
        <f>Q1160/totals!B$2</f>
        <v>0.0006684382206</v>
      </c>
      <c r="X1160" s="14">
        <f t="shared" si="9"/>
        <v>0.8591788002</v>
      </c>
      <c r="Y1160" s="14">
        <f>T1160/totals!B$5</f>
        <v>0.0001225466166</v>
      </c>
      <c r="Z1160" s="14">
        <f t="shared" si="10"/>
        <v>0.8763686726</v>
      </c>
      <c r="AA1160" s="14">
        <f>V1160/totals!B$4</f>
        <v>0.0003529069313</v>
      </c>
      <c r="AB1160" s="14">
        <f t="shared" si="11"/>
        <v>0.8733748309</v>
      </c>
    </row>
    <row r="1161">
      <c r="A1161" s="7">
        <v>4594.0</v>
      </c>
      <c r="B1161" s="7" t="str">
        <f>VLOOKUP($A1161,product_category,2, False)</f>
        <v>Fruits</v>
      </c>
      <c r="C1161" s="7">
        <v>8.79845082E8</v>
      </c>
      <c r="D1161" s="9">
        <v>40282.0</v>
      </c>
      <c r="E1161" s="10">
        <f t="shared" si="1"/>
        <v>4</v>
      </c>
      <c r="F1161" s="10" t="str">
        <f t="shared" si="2"/>
        <v>Apr</v>
      </c>
      <c r="G1161" s="11">
        <f t="shared" si="3"/>
        <v>14</v>
      </c>
      <c r="H1161" s="7">
        <f t="shared" si="4"/>
        <v>2010</v>
      </c>
      <c r="I1161" s="9">
        <v>40299.0</v>
      </c>
      <c r="J1161" s="11">
        <f t="shared" si="5"/>
        <v>17</v>
      </c>
      <c r="K1161" s="7" t="s">
        <v>110</v>
      </c>
      <c r="L1161" s="7" t="s">
        <v>451</v>
      </c>
      <c r="M1161" s="7" t="str">
        <f>VLOOKUP(L1161,countries, 2,false)</f>
        <v>Lithuania</v>
      </c>
      <c r="N1161" s="7" t="str">
        <f>VLOOKUP(L1161,countries, 4,false)</f>
        <v>Europe</v>
      </c>
      <c r="O1161" s="7" t="str">
        <f>VLOOKUP(L1161,countries, 5,false)</f>
        <v>Northern Europe</v>
      </c>
      <c r="P1161" s="7" t="s">
        <v>212</v>
      </c>
      <c r="Q1161" s="7">
        <v>4567.0</v>
      </c>
      <c r="R1161" s="12">
        <v>9.33</v>
      </c>
      <c r="S1161" s="12">
        <v>6.92</v>
      </c>
      <c r="T1161" s="13">
        <f t="shared" si="6"/>
        <v>42610.11</v>
      </c>
      <c r="U1161" s="13">
        <f t="shared" si="7"/>
        <v>1244591.94</v>
      </c>
      <c r="V1161" s="13">
        <f t="shared" si="8"/>
        <v>-1201981.83</v>
      </c>
      <c r="W1161" s="14">
        <f>Q1161/totals!B$2</f>
        <v>0.0006944397983</v>
      </c>
      <c r="X1161" s="14">
        <f t="shared" si="9"/>
        <v>0.85987324</v>
      </c>
      <c r="Y1161" s="14">
        <f>T1161/totals!B$5</f>
        <v>0.00002503341391</v>
      </c>
      <c r="Z1161" s="14">
        <f t="shared" si="10"/>
        <v>0.8763937061</v>
      </c>
      <c r="AA1161" s="14">
        <f>V1161/totals!B$4</f>
        <v>-0.002396722775</v>
      </c>
      <c r="AB1161" s="14">
        <f t="shared" si="11"/>
        <v>0.8709781081</v>
      </c>
    </row>
    <row r="1162">
      <c r="A1162" s="7">
        <v>7331.0</v>
      </c>
      <c r="B1162" s="7" t="str">
        <f>VLOOKUP($A1162,product_category,2, False)</f>
        <v>Baby Food</v>
      </c>
      <c r="C1162" s="7">
        <v>8.79923617E8</v>
      </c>
      <c r="D1162" s="9">
        <v>41861.0</v>
      </c>
      <c r="E1162" s="10">
        <f t="shared" si="1"/>
        <v>8</v>
      </c>
      <c r="F1162" s="10" t="str">
        <f t="shared" si="2"/>
        <v>Aug</v>
      </c>
      <c r="G1162" s="11">
        <f t="shared" si="3"/>
        <v>10</v>
      </c>
      <c r="H1162" s="7">
        <f t="shared" si="4"/>
        <v>2014</v>
      </c>
      <c r="I1162" s="9">
        <v>41897.0</v>
      </c>
      <c r="J1162" s="11">
        <f t="shared" si="5"/>
        <v>36</v>
      </c>
      <c r="K1162" s="7" t="s">
        <v>110</v>
      </c>
      <c r="L1162" s="7" t="s">
        <v>364</v>
      </c>
      <c r="M1162" s="7" t="str">
        <f>VLOOKUP(L1162,countries, 2,false)</f>
        <v>Hungary</v>
      </c>
      <c r="N1162" s="7" t="str">
        <f>VLOOKUP(L1162,countries, 4,false)</f>
        <v>Europe</v>
      </c>
      <c r="O1162" s="7" t="str">
        <f>VLOOKUP(L1162,countries, 5,false)</f>
        <v>Eastern Europe</v>
      </c>
      <c r="P1162" s="7" t="s">
        <v>129</v>
      </c>
      <c r="Q1162" s="7">
        <v>7807.0</v>
      </c>
      <c r="R1162" s="12">
        <v>255.28</v>
      </c>
      <c r="S1162" s="12">
        <v>159.42</v>
      </c>
      <c r="T1162" s="13">
        <f t="shared" si="6"/>
        <v>1992970.96</v>
      </c>
      <c r="U1162" s="13">
        <f t="shared" si="7"/>
        <v>98022.4</v>
      </c>
      <c r="V1162" s="13">
        <f t="shared" si="8"/>
        <v>1894948.56</v>
      </c>
      <c r="W1162" s="14">
        <f>Q1162/totals!B$2</f>
        <v>0.001187101271</v>
      </c>
      <c r="X1162" s="14">
        <f t="shared" si="9"/>
        <v>0.8610603413</v>
      </c>
      <c r="Y1162" s="14">
        <f>T1162/totals!B$5</f>
        <v>0.001170869236</v>
      </c>
      <c r="Z1162" s="14">
        <f t="shared" si="10"/>
        <v>0.8775645753</v>
      </c>
      <c r="AA1162" s="14">
        <f>V1162/totals!B$4</f>
        <v>0.003778481718</v>
      </c>
      <c r="AB1162" s="14">
        <f t="shared" si="11"/>
        <v>0.8747565898</v>
      </c>
    </row>
    <row r="1163">
      <c r="A1163" s="7">
        <v>2455.0</v>
      </c>
      <c r="B1163" s="7" t="str">
        <f>VLOOKUP($A1163,product_category,2, False)</f>
        <v>Clothes</v>
      </c>
      <c r="C1163" s="7">
        <v>8.80176818E8</v>
      </c>
      <c r="D1163" s="9">
        <v>40452.0</v>
      </c>
      <c r="E1163" s="10">
        <f t="shared" si="1"/>
        <v>10</v>
      </c>
      <c r="F1163" s="10" t="str">
        <f t="shared" si="2"/>
        <v>Oct</v>
      </c>
      <c r="G1163" s="11">
        <f t="shared" si="3"/>
        <v>1</v>
      </c>
      <c r="H1163" s="7">
        <f t="shared" si="4"/>
        <v>2010</v>
      </c>
      <c r="I1163" s="9">
        <v>40466.0</v>
      </c>
      <c r="J1163" s="11">
        <f t="shared" si="5"/>
        <v>14</v>
      </c>
      <c r="K1163" s="7" t="s">
        <v>110</v>
      </c>
      <c r="L1163" s="7" t="s">
        <v>594</v>
      </c>
      <c r="M1163" s="7" t="str">
        <f>VLOOKUP(L1163,countries, 2,false)</f>
        <v>Poland</v>
      </c>
      <c r="N1163" s="7" t="str">
        <f>VLOOKUP(L1163,countries, 4,false)</f>
        <v>Europe</v>
      </c>
      <c r="O1163" s="7" t="str">
        <f>VLOOKUP(L1163,countries, 5,false)</f>
        <v>Eastern Europe</v>
      </c>
      <c r="P1163" s="7" t="s">
        <v>129</v>
      </c>
      <c r="Q1163" s="7">
        <v>2735.0</v>
      </c>
      <c r="R1163" s="12">
        <v>109.28</v>
      </c>
      <c r="S1163" s="12">
        <v>35.84</v>
      </c>
      <c r="T1163" s="13">
        <f t="shared" si="6"/>
        <v>298880.8</v>
      </c>
      <c r="U1163" s="13">
        <f t="shared" si="7"/>
        <v>2083566.24</v>
      </c>
      <c r="V1163" s="13">
        <f t="shared" si="8"/>
        <v>-1784685.44</v>
      </c>
      <c r="W1163" s="14">
        <f>Q1163/totals!B$2</f>
        <v>0.0004158731877</v>
      </c>
      <c r="X1163" s="14">
        <f t="shared" si="9"/>
        <v>0.8614762145</v>
      </c>
      <c r="Y1163" s="14">
        <f>T1163/totals!B$5</f>
        <v>0.0001755922896</v>
      </c>
      <c r="Z1163" s="14">
        <f t="shared" si="10"/>
        <v>0.8777401676</v>
      </c>
      <c r="AA1163" s="14">
        <f>V1163/totals!B$4</f>
        <v>-0.003558619717</v>
      </c>
      <c r="AB1163" s="14">
        <f t="shared" si="11"/>
        <v>0.8711979701</v>
      </c>
    </row>
    <row r="1164">
      <c r="A1164" s="7">
        <v>8681.0</v>
      </c>
      <c r="B1164" s="7" t="str">
        <f>VLOOKUP($A1164,product_category,2, False)</f>
        <v>Office Supplies</v>
      </c>
      <c r="C1164" s="7">
        <v>8.8119477E8</v>
      </c>
      <c r="D1164" s="9">
        <v>41583.0</v>
      </c>
      <c r="E1164" s="10">
        <f t="shared" si="1"/>
        <v>11</v>
      </c>
      <c r="F1164" s="10" t="str">
        <f t="shared" si="2"/>
        <v>Nov</v>
      </c>
      <c r="G1164" s="11">
        <f t="shared" si="3"/>
        <v>5</v>
      </c>
      <c r="H1164" s="7">
        <f t="shared" si="4"/>
        <v>2013</v>
      </c>
      <c r="I1164" s="9">
        <v>41613.0</v>
      </c>
      <c r="J1164" s="11">
        <f t="shared" si="5"/>
        <v>30</v>
      </c>
      <c r="K1164" s="7" t="s">
        <v>198</v>
      </c>
      <c r="L1164" s="7" t="s">
        <v>642</v>
      </c>
      <c r="M1164" s="7" t="str">
        <f>VLOOKUP(L1164,countries, 2,false)</f>
        <v>San Marino</v>
      </c>
      <c r="N1164" s="7" t="str">
        <f>VLOOKUP(L1164,countries, 4,false)</f>
        <v>Europe</v>
      </c>
      <c r="O1164" s="7" t="str">
        <f>VLOOKUP(L1164,countries, 5,false)</f>
        <v>Southern Europe</v>
      </c>
      <c r="P1164" s="7" t="s">
        <v>212</v>
      </c>
      <c r="Q1164" s="7">
        <v>3969.0</v>
      </c>
      <c r="R1164" s="12">
        <v>651.21</v>
      </c>
      <c r="S1164" s="12">
        <v>524.96</v>
      </c>
      <c r="T1164" s="13">
        <f t="shared" si="6"/>
        <v>2584652.49</v>
      </c>
      <c r="U1164" s="13">
        <f t="shared" si="7"/>
        <v>830578.56</v>
      </c>
      <c r="V1164" s="13">
        <f t="shared" si="8"/>
        <v>1754073.93</v>
      </c>
      <c r="W1164" s="14">
        <f>Q1164/totals!B$2</f>
        <v>0.0006035103042</v>
      </c>
      <c r="X1164" s="14">
        <f t="shared" si="9"/>
        <v>0.8620797248</v>
      </c>
      <c r="Y1164" s="14">
        <f>T1164/totals!B$5</f>
        <v>0.001518481778</v>
      </c>
      <c r="Z1164" s="14">
        <f t="shared" si="10"/>
        <v>0.8792586494</v>
      </c>
      <c r="AA1164" s="14">
        <f>V1164/totals!B$4</f>
        <v>0.003497581104</v>
      </c>
      <c r="AB1164" s="14">
        <f t="shared" si="11"/>
        <v>0.8746955512</v>
      </c>
    </row>
    <row r="1165">
      <c r="A1165" s="7">
        <v>8969.0</v>
      </c>
      <c r="B1165" s="7" t="str">
        <f>VLOOKUP($A1165,product_category,2, False)</f>
        <v>Snacks</v>
      </c>
      <c r="C1165" s="7">
        <v>8.8171705E8</v>
      </c>
      <c r="D1165" s="9">
        <v>40504.0</v>
      </c>
      <c r="E1165" s="10">
        <f t="shared" si="1"/>
        <v>11</v>
      </c>
      <c r="F1165" s="10" t="str">
        <f t="shared" si="2"/>
        <v>Nov</v>
      </c>
      <c r="G1165" s="11">
        <f t="shared" si="3"/>
        <v>22</v>
      </c>
      <c r="H1165" s="7">
        <f t="shared" si="4"/>
        <v>2010</v>
      </c>
      <c r="I1165" s="9">
        <v>40535.0</v>
      </c>
      <c r="J1165" s="11">
        <f t="shared" si="5"/>
        <v>31</v>
      </c>
      <c r="K1165" s="7" t="s">
        <v>110</v>
      </c>
      <c r="L1165" s="7" t="s">
        <v>113</v>
      </c>
      <c r="M1165" s="7" t="str">
        <f>VLOOKUP(L1165,countries, 2,false)</f>
        <v>Belgium</v>
      </c>
      <c r="N1165" s="7" t="str">
        <f>VLOOKUP(L1165,countries, 4,false)</f>
        <v>Europe</v>
      </c>
      <c r="O1165" s="7" t="str">
        <f>VLOOKUP(L1165,countries, 5,false)</f>
        <v>Western Europe</v>
      </c>
      <c r="P1165" s="7" t="s">
        <v>129</v>
      </c>
      <c r="Q1165" s="7">
        <v>8524.0</v>
      </c>
      <c r="R1165" s="12">
        <v>152.58</v>
      </c>
      <c r="S1165" s="12">
        <v>97.44</v>
      </c>
      <c r="T1165" s="13">
        <f t="shared" si="6"/>
        <v>1300591.92</v>
      </c>
      <c r="U1165" s="13">
        <f t="shared" si="7"/>
        <v>3917251.52</v>
      </c>
      <c r="V1165" s="13">
        <f t="shared" si="8"/>
        <v>-2616659.6</v>
      </c>
      <c r="W1165" s="14">
        <f>Q1165/totals!B$2</f>
        <v>0.00129612543</v>
      </c>
      <c r="X1165" s="14">
        <f t="shared" si="9"/>
        <v>0.8633758502</v>
      </c>
      <c r="Y1165" s="14">
        <f>T1165/totals!B$5</f>
        <v>0.000764096968</v>
      </c>
      <c r="Z1165" s="14">
        <f t="shared" si="10"/>
        <v>0.8800227463</v>
      </c>
      <c r="AA1165" s="14">
        <f>V1165/totals!B$4</f>
        <v>-0.005217556123</v>
      </c>
      <c r="AB1165" s="14">
        <f t="shared" si="11"/>
        <v>0.8694779951</v>
      </c>
    </row>
    <row r="1166">
      <c r="A1166" s="7">
        <v>8681.0</v>
      </c>
      <c r="B1166" s="7" t="str">
        <f>VLOOKUP($A1166,product_category,2, False)</f>
        <v>Office Supplies</v>
      </c>
      <c r="C1166" s="7">
        <v>8.83504474E8</v>
      </c>
      <c r="D1166" s="9">
        <v>41854.0</v>
      </c>
      <c r="E1166" s="10">
        <f t="shared" si="1"/>
        <v>8</v>
      </c>
      <c r="F1166" s="10" t="str">
        <f t="shared" si="2"/>
        <v>Aug</v>
      </c>
      <c r="G1166" s="11">
        <f t="shared" si="3"/>
        <v>3</v>
      </c>
      <c r="H1166" s="7">
        <f t="shared" si="4"/>
        <v>2014</v>
      </c>
      <c r="I1166" s="9">
        <v>41890.0</v>
      </c>
      <c r="J1166" s="11">
        <f t="shared" si="5"/>
        <v>36</v>
      </c>
      <c r="K1166" s="7" t="s">
        <v>382</v>
      </c>
      <c r="L1166" s="7" t="s">
        <v>77</v>
      </c>
      <c r="M1166" s="7" t="str">
        <f>VLOOKUP(L1166,countries, 2,false)</f>
        <v>Armenia</v>
      </c>
      <c r="N1166" s="7" t="str">
        <f>VLOOKUP(L1166,countries, 4,false)</f>
        <v>Asia</v>
      </c>
      <c r="O1166" s="7" t="str">
        <f>VLOOKUP(L1166,countries, 5,false)</f>
        <v>Western Asia</v>
      </c>
      <c r="P1166" s="7" t="s">
        <v>212</v>
      </c>
      <c r="Q1166" s="7">
        <v>7462.0</v>
      </c>
      <c r="R1166" s="12">
        <v>651.21</v>
      </c>
      <c r="S1166" s="12">
        <v>524.96</v>
      </c>
      <c r="T1166" s="13">
        <f t="shared" si="6"/>
        <v>4859329.02</v>
      </c>
      <c r="U1166" s="13">
        <f t="shared" si="7"/>
        <v>248883.91</v>
      </c>
      <c r="V1166" s="13">
        <f t="shared" si="8"/>
        <v>4610445.11</v>
      </c>
      <c r="W1166" s="14">
        <f>Q1166/totals!B$2</f>
        <v>0.001134641948</v>
      </c>
      <c r="X1166" s="14">
        <f t="shared" si="9"/>
        <v>0.8645104922</v>
      </c>
      <c r="Y1166" s="14">
        <f>T1166/totals!B$5</f>
        <v>0.002854852866</v>
      </c>
      <c r="Z1166" s="14">
        <f t="shared" si="10"/>
        <v>0.8828775992</v>
      </c>
      <c r="AA1166" s="14">
        <f>V1166/totals!B$4</f>
        <v>0.009193116335</v>
      </c>
      <c r="AB1166" s="14">
        <f t="shared" si="11"/>
        <v>0.8786711114</v>
      </c>
    </row>
    <row r="1167">
      <c r="A1167" s="7">
        <v>1270.0</v>
      </c>
      <c r="B1167" s="7" t="str">
        <f>VLOOKUP($A1167,product_category,2, False)</f>
        <v>Beverages</v>
      </c>
      <c r="C1167" s="7">
        <v>8.84147775E8</v>
      </c>
      <c r="D1167" s="9">
        <v>40804.0</v>
      </c>
      <c r="E1167" s="10">
        <f t="shared" si="1"/>
        <v>9</v>
      </c>
      <c r="F1167" s="10" t="str">
        <f t="shared" si="2"/>
        <v>Sep</v>
      </c>
      <c r="G1167" s="11">
        <f t="shared" si="3"/>
        <v>18</v>
      </c>
      <c r="H1167" s="7">
        <f t="shared" si="4"/>
        <v>2011</v>
      </c>
      <c r="I1167" s="9">
        <v>40835.0</v>
      </c>
      <c r="J1167" s="11">
        <f t="shared" si="5"/>
        <v>31</v>
      </c>
      <c r="K1167" s="7" t="s">
        <v>382</v>
      </c>
      <c r="L1167" s="7" t="s">
        <v>283</v>
      </c>
      <c r="M1167" s="7" t="str">
        <f>VLOOKUP(L1167,countries, 2,false)</f>
        <v>Finland</v>
      </c>
      <c r="N1167" s="7" t="str">
        <f>VLOOKUP(L1167,countries, 4,false)</f>
        <v>Europe</v>
      </c>
      <c r="O1167" s="7" t="str">
        <f>VLOOKUP(L1167,countries, 5,false)</f>
        <v>Northern Europe</v>
      </c>
      <c r="P1167" s="7" t="s">
        <v>129</v>
      </c>
      <c r="Q1167" s="7">
        <v>7829.0</v>
      </c>
      <c r="R1167" s="12">
        <v>47.45</v>
      </c>
      <c r="S1167" s="12">
        <v>31.79</v>
      </c>
      <c r="T1167" s="13">
        <f t="shared" si="6"/>
        <v>371486.05</v>
      </c>
      <c r="U1167" s="13">
        <f t="shared" si="7"/>
        <v>611053.44</v>
      </c>
      <c r="V1167" s="13">
        <f t="shared" si="8"/>
        <v>-239567.39</v>
      </c>
      <c r="W1167" s="14">
        <f>Q1167/totals!B$2</f>
        <v>0.001190446503</v>
      </c>
      <c r="X1167" s="14">
        <f t="shared" si="9"/>
        <v>0.8657009387</v>
      </c>
      <c r="Y1167" s="14">
        <f>T1167/totals!B$5</f>
        <v>0.0002182478302</v>
      </c>
      <c r="Z1167" s="14">
        <f t="shared" si="10"/>
        <v>0.883095847</v>
      </c>
      <c r="AA1167" s="14">
        <f>V1167/totals!B$4</f>
        <v>-0.0004776915968</v>
      </c>
      <c r="AB1167" s="14">
        <f t="shared" si="11"/>
        <v>0.8781934198</v>
      </c>
    </row>
    <row r="1168">
      <c r="A1168" s="7">
        <v>8681.0</v>
      </c>
      <c r="B1168" s="7" t="str">
        <f>VLOOKUP($A1168,product_category,2, False)</f>
        <v>Office Supplies</v>
      </c>
      <c r="C1168" s="7">
        <v>8.84192836E8</v>
      </c>
      <c r="D1168" s="9">
        <v>41257.0</v>
      </c>
      <c r="E1168" s="10">
        <f t="shared" si="1"/>
        <v>12</v>
      </c>
      <c r="F1168" s="10" t="str">
        <f t="shared" si="2"/>
        <v>Dec</v>
      </c>
      <c r="G1168" s="11">
        <f t="shared" si="3"/>
        <v>14</v>
      </c>
      <c r="H1168" s="7">
        <f t="shared" si="4"/>
        <v>2012</v>
      </c>
      <c r="I1168" s="9">
        <v>41289.0</v>
      </c>
      <c r="J1168" s="11">
        <f t="shared" si="5"/>
        <v>32</v>
      </c>
      <c r="K1168" s="7" t="s">
        <v>198</v>
      </c>
      <c r="L1168" s="7" t="s">
        <v>111</v>
      </c>
      <c r="M1168" s="7" t="str">
        <f>VLOOKUP(L1168,countries, 2,false)</f>
        <v>Norway</v>
      </c>
      <c r="N1168" s="7" t="str">
        <f>VLOOKUP(L1168,countries, 4,false)</f>
        <v>Europe</v>
      </c>
      <c r="O1168" s="7" t="str">
        <f>VLOOKUP(L1168,countries, 5,false)</f>
        <v>Northern Europe</v>
      </c>
      <c r="P1168" s="7" t="s">
        <v>212</v>
      </c>
      <c r="Q1168" s="7">
        <v>1164.0</v>
      </c>
      <c r="R1168" s="12">
        <v>651.21</v>
      </c>
      <c r="S1168" s="12">
        <v>524.96</v>
      </c>
      <c r="T1168" s="13">
        <f t="shared" si="6"/>
        <v>758008.44</v>
      </c>
      <c r="U1168" s="13">
        <f t="shared" si="7"/>
        <v>101727.36</v>
      </c>
      <c r="V1168" s="13">
        <f t="shared" si="8"/>
        <v>656281.08</v>
      </c>
      <c r="W1168" s="14">
        <f>Q1168/totals!B$2</f>
        <v>0.0001769931958</v>
      </c>
      <c r="X1168" s="14">
        <f t="shared" si="9"/>
        <v>0.8658779319</v>
      </c>
      <c r="Y1168" s="14">
        <f>T1168/totals!B$5</f>
        <v>0.000445329501</v>
      </c>
      <c r="Z1168" s="14">
        <f t="shared" si="10"/>
        <v>0.8835411765</v>
      </c>
      <c r="AA1168" s="14">
        <f>V1168/totals!B$4</f>
        <v>0.001308608643</v>
      </c>
      <c r="AB1168" s="14">
        <f t="shared" si="11"/>
        <v>0.8795020285</v>
      </c>
    </row>
    <row r="1169">
      <c r="A1169" s="7">
        <v>8969.0</v>
      </c>
      <c r="B1169" s="7" t="str">
        <f>VLOOKUP($A1169,product_category,2, False)</f>
        <v>Snacks</v>
      </c>
      <c r="C1169" s="7">
        <v>8.84462773E8</v>
      </c>
      <c r="D1169" s="9">
        <v>40411.0</v>
      </c>
      <c r="E1169" s="10">
        <f t="shared" si="1"/>
        <v>8</v>
      </c>
      <c r="F1169" s="10" t="str">
        <f t="shared" si="2"/>
        <v>Aug</v>
      </c>
      <c r="G1169" s="11">
        <f t="shared" si="3"/>
        <v>21</v>
      </c>
      <c r="H1169" s="7">
        <f t="shared" si="4"/>
        <v>2010</v>
      </c>
      <c r="I1169" s="9">
        <v>40456.0</v>
      </c>
      <c r="J1169" s="11">
        <f t="shared" si="5"/>
        <v>45</v>
      </c>
      <c r="K1169" s="7" t="s">
        <v>110</v>
      </c>
      <c r="L1169" s="7" t="s">
        <v>609</v>
      </c>
      <c r="M1169" s="7" t="str">
        <f>VLOOKUP(L1169,countries, 2,false)</f>
        <v>Romania</v>
      </c>
      <c r="N1169" s="7" t="str">
        <f>VLOOKUP(L1169,countries, 4,false)</f>
        <v>Europe</v>
      </c>
      <c r="O1169" s="7" t="str">
        <f>VLOOKUP(L1169,countries, 5,false)</f>
        <v>Eastern Europe</v>
      </c>
      <c r="P1169" s="7" t="s">
        <v>212</v>
      </c>
      <c r="Q1169" s="7">
        <v>1044.0</v>
      </c>
      <c r="R1169" s="12">
        <v>152.58</v>
      </c>
      <c r="S1169" s="12">
        <v>97.44</v>
      </c>
      <c r="T1169" s="13">
        <f t="shared" si="6"/>
        <v>159293.52</v>
      </c>
      <c r="U1169" s="13">
        <f t="shared" si="7"/>
        <v>2039994.56</v>
      </c>
      <c r="V1169" s="13">
        <f t="shared" si="8"/>
        <v>-1880701.04</v>
      </c>
      <c r="W1169" s="14">
        <f>Q1169/totals!B$2</f>
        <v>0.0001587464746</v>
      </c>
      <c r="X1169" s="14">
        <f t="shared" si="9"/>
        <v>0.8660366783</v>
      </c>
      <c r="Y1169" s="14">
        <f>T1169/totals!B$5</f>
        <v>0.00009358484686</v>
      </c>
      <c r="Z1169" s="14">
        <f t="shared" si="10"/>
        <v>0.8836347614</v>
      </c>
      <c r="AA1169" s="14">
        <f>V1169/totals!B$4</f>
        <v>-0.003750072507</v>
      </c>
      <c r="AB1169" s="14">
        <f t="shared" si="11"/>
        <v>0.8757519559</v>
      </c>
    </row>
    <row r="1170">
      <c r="A1170" s="7">
        <v>8681.0</v>
      </c>
      <c r="B1170" s="7" t="str">
        <f>VLOOKUP($A1170,product_category,2, False)</f>
        <v>Office Supplies</v>
      </c>
      <c r="C1170" s="7">
        <v>8.85046851E8</v>
      </c>
      <c r="D1170" s="9">
        <v>40348.0</v>
      </c>
      <c r="E1170" s="10">
        <f t="shared" si="1"/>
        <v>6</v>
      </c>
      <c r="F1170" s="10" t="str">
        <f t="shared" si="2"/>
        <v>Jun</v>
      </c>
      <c r="G1170" s="11">
        <f t="shared" si="3"/>
        <v>19</v>
      </c>
      <c r="H1170" s="7">
        <f t="shared" si="4"/>
        <v>2010</v>
      </c>
      <c r="I1170" s="9">
        <v>40378.0</v>
      </c>
      <c r="J1170" s="11">
        <f t="shared" si="5"/>
        <v>30</v>
      </c>
      <c r="K1170" s="7" t="s">
        <v>110</v>
      </c>
      <c r="L1170" s="7" t="s">
        <v>234</v>
      </c>
      <c r="M1170" s="7" t="str">
        <f>VLOOKUP(L1170,countries, 2,false)</f>
        <v>Czech Republic</v>
      </c>
      <c r="N1170" s="7" t="str">
        <f>VLOOKUP(L1170,countries, 4,false)</f>
        <v>Europe</v>
      </c>
      <c r="O1170" s="7" t="str">
        <f>VLOOKUP(L1170,countries, 5,false)</f>
        <v>Eastern Europe</v>
      </c>
      <c r="P1170" s="7" t="s">
        <v>212</v>
      </c>
      <c r="Q1170" s="7">
        <v>3886.0</v>
      </c>
      <c r="R1170" s="12">
        <v>651.21</v>
      </c>
      <c r="S1170" s="12">
        <v>524.96</v>
      </c>
      <c r="T1170" s="13">
        <f t="shared" si="6"/>
        <v>2530602.06</v>
      </c>
      <c r="U1170" s="13">
        <f t="shared" si="7"/>
        <v>2786960.98</v>
      </c>
      <c r="V1170" s="13">
        <f t="shared" si="8"/>
        <v>-256358.92</v>
      </c>
      <c r="W1170" s="14">
        <f>Q1170/totals!B$2</f>
        <v>0.0005908896554</v>
      </c>
      <c r="X1170" s="14">
        <f t="shared" si="9"/>
        <v>0.866627568</v>
      </c>
      <c r="Y1170" s="14">
        <f>T1170/totals!B$5</f>
        <v>0.001486727183</v>
      </c>
      <c r="Z1170" s="14">
        <f t="shared" si="10"/>
        <v>0.8851214886</v>
      </c>
      <c r="AA1170" s="14">
        <f>V1170/totals!B$4</f>
        <v>-0.0005111735025</v>
      </c>
      <c r="AB1170" s="14">
        <f t="shared" si="11"/>
        <v>0.8752407824</v>
      </c>
    </row>
    <row r="1171">
      <c r="A1171" s="7">
        <v>8875.0</v>
      </c>
      <c r="B1171" s="7" t="str">
        <f>VLOOKUP($A1171,product_category,2, False)</f>
        <v>Meat</v>
      </c>
      <c r="C1171" s="7">
        <v>8.85397469E8</v>
      </c>
      <c r="D1171" s="9">
        <v>42287.0</v>
      </c>
      <c r="E1171" s="10">
        <f t="shared" si="1"/>
        <v>10</v>
      </c>
      <c r="F1171" s="10" t="str">
        <f t="shared" si="2"/>
        <v>Oct</v>
      </c>
      <c r="G1171" s="11">
        <f t="shared" si="3"/>
        <v>10</v>
      </c>
      <c r="H1171" s="7">
        <f t="shared" si="4"/>
        <v>2015</v>
      </c>
      <c r="I1171" s="9">
        <v>42326.0</v>
      </c>
      <c r="J1171" s="11">
        <f t="shared" si="5"/>
        <v>39</v>
      </c>
      <c r="K1171" s="7" t="s">
        <v>110</v>
      </c>
      <c r="L1171" s="7" t="s">
        <v>670</v>
      </c>
      <c r="M1171" s="7" t="str">
        <f>VLOOKUP(L1171,countries, 2,false)</f>
        <v>Slovenia</v>
      </c>
      <c r="N1171" s="7" t="str">
        <f>VLOOKUP(L1171,countries, 4,false)</f>
        <v>Europe</v>
      </c>
      <c r="O1171" s="7" t="str">
        <f>VLOOKUP(L1171,countries, 5,false)</f>
        <v>Southern Europe</v>
      </c>
      <c r="P1171" s="7" t="s">
        <v>129</v>
      </c>
      <c r="Q1171" s="7">
        <v>7642.0</v>
      </c>
      <c r="R1171" s="12">
        <v>421.89</v>
      </c>
      <c r="S1171" s="12">
        <v>364.69</v>
      </c>
      <c r="T1171" s="13">
        <f t="shared" si="6"/>
        <v>3224083.38</v>
      </c>
      <c r="U1171" s="13">
        <f t="shared" si="7"/>
        <v>194826.24</v>
      </c>
      <c r="V1171" s="13">
        <f t="shared" si="8"/>
        <v>3029257.14</v>
      </c>
      <c r="W1171" s="14">
        <f>Q1171/totals!B$2</f>
        <v>0.001162012029</v>
      </c>
      <c r="X1171" s="14">
        <f t="shared" si="9"/>
        <v>0.86778958</v>
      </c>
      <c r="Y1171" s="14">
        <f>T1171/totals!B$5</f>
        <v>0.00189414704</v>
      </c>
      <c r="Z1171" s="14">
        <f t="shared" si="10"/>
        <v>0.8870156356</v>
      </c>
      <c r="AA1171" s="14">
        <f>V1171/totals!B$4</f>
        <v>0.006040265665</v>
      </c>
      <c r="AB1171" s="14">
        <f t="shared" si="11"/>
        <v>0.8812810481</v>
      </c>
    </row>
    <row r="1172">
      <c r="A1172" s="7">
        <v>2455.0</v>
      </c>
      <c r="B1172" s="7" t="str">
        <f>VLOOKUP($A1172,product_category,2, False)</f>
        <v>Clothes</v>
      </c>
      <c r="C1172" s="7">
        <v>8.85998284E8</v>
      </c>
      <c r="D1172" s="9">
        <v>42787.0</v>
      </c>
      <c r="E1172" s="10">
        <f t="shared" si="1"/>
        <v>2</v>
      </c>
      <c r="F1172" s="10" t="str">
        <f t="shared" si="2"/>
        <v>Feb</v>
      </c>
      <c r="G1172" s="11">
        <f t="shared" si="3"/>
        <v>21</v>
      </c>
      <c r="H1172" s="7">
        <f t="shared" si="4"/>
        <v>2017</v>
      </c>
      <c r="I1172" s="9">
        <v>42794.0</v>
      </c>
      <c r="J1172" s="11">
        <f t="shared" si="5"/>
        <v>7</v>
      </c>
      <c r="K1172" s="7" t="s">
        <v>198</v>
      </c>
      <c r="L1172" s="7" t="s">
        <v>77</v>
      </c>
      <c r="M1172" s="7" t="str">
        <f>VLOOKUP(L1172,countries, 2,false)</f>
        <v>Armenia</v>
      </c>
      <c r="N1172" s="7" t="str">
        <f>VLOOKUP(L1172,countries, 4,false)</f>
        <v>Asia</v>
      </c>
      <c r="O1172" s="7" t="str">
        <f>VLOOKUP(L1172,countries, 5,false)</f>
        <v>Western Asia</v>
      </c>
      <c r="P1172" s="7" t="s">
        <v>212</v>
      </c>
      <c r="Q1172" s="7">
        <v>5436.0</v>
      </c>
      <c r="R1172" s="12">
        <v>109.28</v>
      </c>
      <c r="S1172" s="12">
        <v>35.84</v>
      </c>
      <c r="T1172" s="13">
        <f t="shared" si="6"/>
        <v>594046.08</v>
      </c>
      <c r="U1172" s="13">
        <f t="shared" si="7"/>
        <v>4962446.88</v>
      </c>
      <c r="V1172" s="13">
        <f t="shared" si="8"/>
        <v>-4368400.8</v>
      </c>
      <c r="W1172" s="14">
        <f>Q1172/totals!B$2</f>
        <v>0.0008265764711</v>
      </c>
      <c r="X1172" s="14">
        <f t="shared" si="9"/>
        <v>0.8686161565</v>
      </c>
      <c r="Y1172" s="14">
        <f>T1172/totals!B$5</f>
        <v>0.0003490017135</v>
      </c>
      <c r="Z1172" s="14">
        <f t="shared" si="10"/>
        <v>0.8873646373</v>
      </c>
      <c r="AA1172" s="14">
        <f>V1172/totals!B$4</f>
        <v>-0.00871048582</v>
      </c>
      <c r="AB1172" s="14">
        <f t="shared" si="11"/>
        <v>0.8725705623</v>
      </c>
    </row>
    <row r="1173">
      <c r="A1173" s="7">
        <v>8681.0</v>
      </c>
      <c r="B1173" s="7" t="str">
        <f>VLOOKUP($A1173,product_category,2, False)</f>
        <v>Office Supplies</v>
      </c>
      <c r="C1173" s="7">
        <v>8.86620128E8</v>
      </c>
      <c r="D1173" s="9">
        <v>40732.0</v>
      </c>
      <c r="E1173" s="10">
        <f t="shared" si="1"/>
        <v>7</v>
      </c>
      <c r="F1173" s="10" t="str">
        <f t="shared" si="2"/>
        <v>Jul</v>
      </c>
      <c r="G1173" s="11">
        <f t="shared" si="3"/>
        <v>8</v>
      </c>
      <c r="H1173" s="7">
        <f t="shared" si="4"/>
        <v>2011</v>
      </c>
      <c r="I1173" s="9">
        <v>40749.0</v>
      </c>
      <c r="J1173" s="11">
        <f t="shared" si="5"/>
        <v>17</v>
      </c>
      <c r="K1173" s="7" t="s">
        <v>198</v>
      </c>
      <c r="L1173" s="7" t="s">
        <v>392</v>
      </c>
      <c r="M1173" s="7" t="str">
        <f>VLOOKUP(L1173,countries, 2,false)</f>
        <v>Italy</v>
      </c>
      <c r="N1173" s="7" t="str">
        <f>VLOOKUP(L1173,countries, 4,false)</f>
        <v>Europe</v>
      </c>
      <c r="O1173" s="7" t="str">
        <f>VLOOKUP(L1173,countries, 5,false)</f>
        <v>Southern Europe</v>
      </c>
      <c r="P1173" s="7" t="s">
        <v>212</v>
      </c>
      <c r="Q1173" s="7">
        <v>9453.0</v>
      </c>
      <c r="R1173" s="12">
        <v>651.21</v>
      </c>
      <c r="S1173" s="12">
        <v>524.96</v>
      </c>
      <c r="T1173" s="13">
        <f t="shared" si="6"/>
        <v>6155888.13</v>
      </c>
      <c r="U1173" s="13">
        <f t="shared" si="7"/>
        <v>181587.21</v>
      </c>
      <c r="V1173" s="13">
        <f t="shared" si="8"/>
        <v>5974300.92</v>
      </c>
      <c r="W1173" s="14">
        <f>Q1173/totals!B$2</f>
        <v>0.001437385464</v>
      </c>
      <c r="X1173" s="14">
        <f t="shared" si="9"/>
        <v>0.870053542</v>
      </c>
      <c r="Y1173" s="14">
        <f>T1173/totals!B$5</f>
        <v>0.003616580561</v>
      </c>
      <c r="Z1173" s="14">
        <f t="shared" si="10"/>
        <v>0.8909812179</v>
      </c>
      <c r="AA1173" s="14">
        <f>V1173/totals!B$4</f>
        <v>0.01191261192</v>
      </c>
      <c r="AB1173" s="14">
        <f t="shared" si="11"/>
        <v>0.8844831742</v>
      </c>
    </row>
    <row r="1174">
      <c r="A1174" s="7">
        <v>5988.0</v>
      </c>
      <c r="B1174" s="7" t="str">
        <f>VLOOKUP($A1174,product_category,2, False)</f>
        <v>Vegetables</v>
      </c>
      <c r="C1174" s="7">
        <v>8.86763894E8</v>
      </c>
      <c r="D1174" s="9">
        <v>41385.0</v>
      </c>
      <c r="E1174" s="10">
        <f t="shared" si="1"/>
        <v>4</v>
      </c>
      <c r="F1174" s="10" t="str">
        <f t="shared" si="2"/>
        <v>Apr</v>
      </c>
      <c r="G1174" s="11">
        <f t="shared" si="3"/>
        <v>21</v>
      </c>
      <c r="H1174" s="7">
        <f t="shared" si="4"/>
        <v>2013</v>
      </c>
      <c r="I1174" s="9">
        <v>41421.0</v>
      </c>
      <c r="J1174" s="11">
        <f t="shared" si="5"/>
        <v>36</v>
      </c>
      <c r="K1174" s="7" t="s">
        <v>110</v>
      </c>
      <c r="L1174" s="7" t="s">
        <v>670</v>
      </c>
      <c r="M1174" s="7" t="str">
        <f>VLOOKUP(L1174,countries, 2,false)</f>
        <v>Slovenia</v>
      </c>
      <c r="N1174" s="7" t="str">
        <f>VLOOKUP(L1174,countries, 4,false)</f>
        <v>Europe</v>
      </c>
      <c r="O1174" s="7" t="str">
        <f>VLOOKUP(L1174,countries, 5,false)</f>
        <v>Southern Europe</v>
      </c>
      <c r="P1174" s="7" t="s">
        <v>212</v>
      </c>
      <c r="Q1174" s="7">
        <v>1997.0</v>
      </c>
      <c r="R1174" s="12">
        <v>154.06</v>
      </c>
      <c r="S1174" s="12">
        <v>90.93</v>
      </c>
      <c r="T1174" s="13">
        <f t="shared" si="6"/>
        <v>307657.82</v>
      </c>
      <c r="U1174" s="13">
        <f t="shared" si="7"/>
        <v>46346.08</v>
      </c>
      <c r="V1174" s="13">
        <f t="shared" si="8"/>
        <v>261311.74</v>
      </c>
      <c r="W1174" s="14">
        <f>Q1174/totals!B$2</f>
        <v>0.0003036558522</v>
      </c>
      <c r="X1174" s="14">
        <f t="shared" si="9"/>
        <v>0.8703571978</v>
      </c>
      <c r="Y1174" s="14">
        <f>T1174/totals!B$5</f>
        <v>0.0001807487836</v>
      </c>
      <c r="Z1174" s="14">
        <f t="shared" si="10"/>
        <v>0.8911619667</v>
      </c>
      <c r="AA1174" s="14">
        <f>V1174/totals!B$4</f>
        <v>0.0005210493062</v>
      </c>
      <c r="AB1174" s="14">
        <f t="shared" si="11"/>
        <v>0.8850042235</v>
      </c>
    </row>
    <row r="1175">
      <c r="A1175" s="7">
        <v>8293.0</v>
      </c>
      <c r="B1175" s="7" t="str">
        <f>VLOOKUP($A1175,product_category,2, False)</f>
        <v>Cosmetics</v>
      </c>
      <c r="C1175" s="7">
        <v>8.8750118E8</v>
      </c>
      <c r="D1175" s="9">
        <v>42860.0</v>
      </c>
      <c r="E1175" s="10">
        <f t="shared" si="1"/>
        <v>5</v>
      </c>
      <c r="F1175" s="10" t="str">
        <f t="shared" si="2"/>
        <v>May</v>
      </c>
      <c r="G1175" s="11">
        <f t="shared" si="3"/>
        <v>5</v>
      </c>
      <c r="H1175" s="7">
        <f t="shared" si="4"/>
        <v>2017</v>
      </c>
      <c r="I1175" s="9">
        <v>42906.0</v>
      </c>
      <c r="J1175" s="11">
        <f t="shared" si="5"/>
        <v>46</v>
      </c>
      <c r="K1175" s="7" t="s">
        <v>198</v>
      </c>
      <c r="L1175" s="7" t="s">
        <v>762</v>
      </c>
      <c r="M1175" s="7" t="str">
        <f>VLOOKUP(L1175,countries, 2,false)</f>
        <v>United Kingdom</v>
      </c>
      <c r="N1175" s="7" t="str">
        <f>VLOOKUP(L1175,countries, 4,false)</f>
        <v>Europe</v>
      </c>
      <c r="O1175" s="7" t="str">
        <f>VLOOKUP(L1175,countries, 5,false)</f>
        <v>Northern Europe</v>
      </c>
      <c r="P1175" s="7" t="s">
        <v>129</v>
      </c>
      <c r="Q1175" s="7">
        <v>176.0</v>
      </c>
      <c r="R1175" s="12">
        <v>437.2</v>
      </c>
      <c r="S1175" s="12">
        <v>263.33</v>
      </c>
      <c r="T1175" s="13">
        <f t="shared" si="6"/>
        <v>76947.2</v>
      </c>
      <c r="U1175" s="13">
        <f t="shared" si="7"/>
        <v>170746.38</v>
      </c>
      <c r="V1175" s="13">
        <f t="shared" si="8"/>
        <v>-93799.18</v>
      </c>
      <c r="W1175" s="14">
        <f>Q1175/totals!B$2</f>
        <v>0.00002676185778</v>
      </c>
      <c r="X1175" s="14">
        <f t="shared" si="9"/>
        <v>0.8703839597</v>
      </c>
      <c r="Y1175" s="14">
        <f>T1175/totals!B$5</f>
        <v>0.00004520643356</v>
      </c>
      <c r="Z1175" s="14">
        <f t="shared" si="10"/>
        <v>0.8912071731</v>
      </c>
      <c r="AA1175" s="14">
        <f>V1175/totals!B$4</f>
        <v>-0.0001870333023</v>
      </c>
      <c r="AB1175" s="14">
        <f t="shared" si="11"/>
        <v>0.8848171902</v>
      </c>
    </row>
    <row r="1176">
      <c r="A1176" s="7">
        <v>2103.0</v>
      </c>
      <c r="B1176" s="7" t="str">
        <f>VLOOKUP($A1176,product_category,2, False)</f>
        <v>Cereal</v>
      </c>
      <c r="C1176" s="7">
        <v>8.89093768E8</v>
      </c>
      <c r="D1176" s="9">
        <v>40278.0</v>
      </c>
      <c r="E1176" s="10">
        <f t="shared" si="1"/>
        <v>4</v>
      </c>
      <c r="F1176" s="10" t="str">
        <f t="shared" si="2"/>
        <v>Apr</v>
      </c>
      <c r="G1176" s="11">
        <f t="shared" si="3"/>
        <v>10</v>
      </c>
      <c r="H1176" s="7">
        <f t="shared" si="4"/>
        <v>2010</v>
      </c>
      <c r="I1176" s="9">
        <v>40318.0</v>
      </c>
      <c r="J1176" s="11">
        <f t="shared" si="5"/>
        <v>40</v>
      </c>
      <c r="K1176" s="7" t="s">
        <v>110</v>
      </c>
      <c r="L1176" s="7" t="s">
        <v>283</v>
      </c>
      <c r="M1176" s="7" t="str">
        <f>VLOOKUP(L1176,countries, 2,false)</f>
        <v>Finland</v>
      </c>
      <c r="N1176" s="7" t="str">
        <f>VLOOKUP(L1176,countries, 4,false)</f>
        <v>Europe</v>
      </c>
      <c r="O1176" s="7" t="str">
        <f>VLOOKUP(L1176,countries, 5,false)</f>
        <v>Northern Europe</v>
      </c>
      <c r="P1176" s="7" t="s">
        <v>212</v>
      </c>
      <c r="Q1176" s="7">
        <v>1458.0</v>
      </c>
      <c r="R1176" s="12">
        <v>205.7</v>
      </c>
      <c r="S1176" s="12">
        <v>117.11</v>
      </c>
      <c r="T1176" s="13">
        <f t="shared" si="6"/>
        <v>299910.6</v>
      </c>
      <c r="U1176" s="13">
        <f t="shared" si="7"/>
        <v>6802.36</v>
      </c>
      <c r="V1176" s="13">
        <f t="shared" si="8"/>
        <v>293108.24</v>
      </c>
      <c r="W1176" s="14">
        <f>Q1176/totals!B$2</f>
        <v>0.0002216976628</v>
      </c>
      <c r="X1176" s="14">
        <f t="shared" si="9"/>
        <v>0.8706056573</v>
      </c>
      <c r="Y1176" s="14">
        <f>T1176/totals!B$5</f>
        <v>0.0001761972965</v>
      </c>
      <c r="Z1176" s="14">
        <f t="shared" si="10"/>
        <v>0.8913833704</v>
      </c>
      <c r="AA1176" s="14">
        <f>V1176/totals!B$4</f>
        <v>0.0005844507602</v>
      </c>
      <c r="AB1176" s="14">
        <f t="shared" si="11"/>
        <v>0.885401641</v>
      </c>
    </row>
    <row r="1177">
      <c r="A1177" s="7">
        <v>4594.0</v>
      </c>
      <c r="B1177" s="7" t="str">
        <f>VLOOKUP($A1177,product_category,2, False)</f>
        <v>Fruits</v>
      </c>
      <c r="C1177" s="7">
        <v>8.89125955E8</v>
      </c>
      <c r="D1177" s="9">
        <v>41786.0</v>
      </c>
      <c r="E1177" s="10">
        <f t="shared" si="1"/>
        <v>5</v>
      </c>
      <c r="F1177" s="10" t="str">
        <f t="shared" si="2"/>
        <v>May</v>
      </c>
      <c r="G1177" s="11">
        <f t="shared" si="3"/>
        <v>27</v>
      </c>
      <c r="H1177" s="7">
        <f t="shared" si="4"/>
        <v>2014</v>
      </c>
      <c r="I1177" s="9">
        <v>41805.0</v>
      </c>
      <c r="J1177" s="11">
        <f t="shared" si="5"/>
        <v>19</v>
      </c>
      <c r="K1177" s="7" t="s">
        <v>382</v>
      </c>
      <c r="L1177" s="7" t="s">
        <v>56</v>
      </c>
      <c r="M1177" s="7" t="str">
        <f>VLOOKUP(L1177,countries, 2,false)</f>
        <v>Andorra</v>
      </c>
      <c r="N1177" s="7" t="str">
        <f>VLOOKUP(L1177,countries, 4,false)</f>
        <v>Europe</v>
      </c>
      <c r="O1177" s="7" t="str">
        <f>VLOOKUP(L1177,countries, 5,false)</f>
        <v>Southern Europe</v>
      </c>
      <c r="P1177" s="7" t="s">
        <v>212</v>
      </c>
      <c r="Q1177" s="7">
        <v>983.0</v>
      </c>
      <c r="R1177" s="12">
        <v>9.33</v>
      </c>
      <c r="S1177" s="12">
        <v>6.92</v>
      </c>
      <c r="T1177" s="13">
        <f t="shared" si="6"/>
        <v>9171.39</v>
      </c>
      <c r="U1177" s="13">
        <f t="shared" si="7"/>
        <v>3640902.3</v>
      </c>
      <c r="V1177" s="13">
        <f t="shared" si="8"/>
        <v>-3631730.91</v>
      </c>
      <c r="W1177" s="14">
        <f>Q1177/totals!B$2</f>
        <v>0.000149471058</v>
      </c>
      <c r="X1177" s="14">
        <f t="shared" si="9"/>
        <v>0.8707551284</v>
      </c>
      <c r="Y1177" s="14">
        <f>T1177/totals!B$5</f>
        <v>0.00000538818609</v>
      </c>
      <c r="Z1177" s="14">
        <f t="shared" si="10"/>
        <v>0.8913887586</v>
      </c>
      <c r="AA1177" s="14">
        <f>V1177/totals!B$4</f>
        <v>-0.007241583829</v>
      </c>
      <c r="AB1177" s="14">
        <f t="shared" si="11"/>
        <v>0.8781600571</v>
      </c>
    </row>
    <row r="1178">
      <c r="A1178" s="7">
        <v>7940.0</v>
      </c>
      <c r="B1178" s="7" t="str">
        <f>VLOOKUP($A1178,product_category,2, False)</f>
        <v>Household</v>
      </c>
      <c r="C1178" s="7">
        <v>8.91681563E8</v>
      </c>
      <c r="D1178" s="9">
        <v>40969.0</v>
      </c>
      <c r="E1178" s="10">
        <f t="shared" si="1"/>
        <v>3</v>
      </c>
      <c r="F1178" s="10" t="str">
        <f t="shared" si="2"/>
        <v>Mar</v>
      </c>
      <c r="G1178" s="11">
        <f t="shared" si="3"/>
        <v>1</v>
      </c>
      <c r="H1178" s="7">
        <f t="shared" si="4"/>
        <v>2012</v>
      </c>
      <c r="I1178" s="9">
        <v>40995.0</v>
      </c>
      <c r="J1178" s="11">
        <f t="shared" si="5"/>
        <v>26</v>
      </c>
      <c r="K1178" s="7" t="s">
        <v>110</v>
      </c>
      <c r="L1178" s="7" t="s">
        <v>136</v>
      </c>
      <c r="M1178" s="7" t="str">
        <f>VLOOKUP(L1178,countries, 2,false)</f>
        <v>Bosnia and Herzegovina</v>
      </c>
      <c r="N1178" s="7" t="str">
        <f>VLOOKUP(L1178,countries, 4,false)</f>
        <v>Europe</v>
      </c>
      <c r="O1178" s="7" t="str">
        <f>VLOOKUP(L1178,countries, 5,false)</f>
        <v>Southern Europe</v>
      </c>
      <c r="P1178" s="7" t="s">
        <v>212</v>
      </c>
      <c r="Q1178" s="7">
        <v>7245.0</v>
      </c>
      <c r="R1178" s="12">
        <v>668.27</v>
      </c>
      <c r="S1178" s="12">
        <v>502.54</v>
      </c>
      <c r="T1178" s="13">
        <f t="shared" si="6"/>
        <v>4841616.15</v>
      </c>
      <c r="U1178" s="13">
        <f t="shared" si="7"/>
        <v>770795.7</v>
      </c>
      <c r="V1178" s="13">
        <f t="shared" si="8"/>
        <v>4070820.45</v>
      </c>
      <c r="W1178" s="14">
        <f>Q1178/totals!B$2</f>
        <v>0.001101645793</v>
      </c>
      <c r="X1178" s="14">
        <f t="shared" si="9"/>
        <v>0.8718567742</v>
      </c>
      <c r="Y1178" s="14">
        <f>T1178/totals!B$5</f>
        <v>0.002844446566</v>
      </c>
      <c r="Z1178" s="14">
        <f t="shared" si="10"/>
        <v>0.8942332051</v>
      </c>
      <c r="AA1178" s="14">
        <f>V1178/totals!B$4</f>
        <v>0.00811711778</v>
      </c>
      <c r="AB1178" s="14">
        <f t="shared" si="11"/>
        <v>0.8862771749</v>
      </c>
    </row>
    <row r="1179">
      <c r="A1179" s="7">
        <v>7331.0</v>
      </c>
      <c r="B1179" s="7" t="str">
        <f>VLOOKUP($A1179,product_category,2, False)</f>
        <v>Baby Food</v>
      </c>
      <c r="C1179" s="7">
        <v>8.91808593E8</v>
      </c>
      <c r="D1179" s="9">
        <v>41059.0</v>
      </c>
      <c r="E1179" s="10">
        <f t="shared" si="1"/>
        <v>5</v>
      </c>
      <c r="F1179" s="10" t="str">
        <f t="shared" si="2"/>
        <v>May</v>
      </c>
      <c r="G1179" s="11">
        <f t="shared" si="3"/>
        <v>30</v>
      </c>
      <c r="H1179" s="7">
        <f t="shared" si="4"/>
        <v>2012</v>
      </c>
      <c r="I1179" s="9">
        <v>41071.0</v>
      </c>
      <c r="J1179" s="11">
        <f t="shared" si="5"/>
        <v>12</v>
      </c>
      <c r="K1179" s="7" t="s">
        <v>382</v>
      </c>
      <c r="L1179" s="7" t="s">
        <v>439</v>
      </c>
      <c r="M1179" s="7" t="str">
        <f>VLOOKUP(L1179,countries, 2,false)</f>
        <v>Slovakia</v>
      </c>
      <c r="N1179" s="7" t="str">
        <f>VLOOKUP(L1179,countries, 4,false)</f>
        <v>Europe</v>
      </c>
      <c r="O1179" s="7" t="str">
        <f>VLOOKUP(L1179,countries, 5,false)</f>
        <v>Eastern Europe</v>
      </c>
      <c r="P1179" s="7" t="s">
        <v>212</v>
      </c>
      <c r="Q1179" s="7">
        <v>4835.0</v>
      </c>
      <c r="R1179" s="12">
        <v>255.28</v>
      </c>
      <c r="S1179" s="12">
        <v>159.42</v>
      </c>
      <c r="T1179" s="13">
        <f t="shared" si="6"/>
        <v>1234278.8</v>
      </c>
      <c r="U1179" s="13">
        <f t="shared" si="7"/>
        <v>1099402.75</v>
      </c>
      <c r="V1179" s="13">
        <f t="shared" si="8"/>
        <v>134876.05</v>
      </c>
      <c r="W1179" s="14">
        <f>Q1179/totals!B$2</f>
        <v>0.000735190809</v>
      </c>
      <c r="X1179" s="14">
        <f t="shared" si="9"/>
        <v>0.872591965</v>
      </c>
      <c r="Y1179" s="14">
        <f>T1179/totals!B$5</f>
        <v>0.00072513805</v>
      </c>
      <c r="Z1179" s="14">
        <f t="shared" si="10"/>
        <v>0.8949583432</v>
      </c>
      <c r="AA1179" s="14">
        <f>V1179/totals!B$4</f>
        <v>0.0002689395902</v>
      </c>
      <c r="AB1179" s="14">
        <f t="shared" si="11"/>
        <v>0.8865461145</v>
      </c>
    </row>
    <row r="1180">
      <c r="A1180" s="7">
        <v>8293.0</v>
      </c>
      <c r="B1180" s="7" t="str">
        <f>VLOOKUP($A1180,product_category,2, False)</f>
        <v>Cosmetics</v>
      </c>
      <c r="C1180" s="7">
        <v>8.92042911E8</v>
      </c>
      <c r="D1180" s="9">
        <v>40646.0</v>
      </c>
      <c r="E1180" s="10">
        <f t="shared" si="1"/>
        <v>4</v>
      </c>
      <c r="F1180" s="10" t="str">
        <f t="shared" si="2"/>
        <v>Apr</v>
      </c>
      <c r="G1180" s="11">
        <f t="shared" si="3"/>
        <v>13</v>
      </c>
      <c r="H1180" s="7">
        <f t="shared" si="4"/>
        <v>2011</v>
      </c>
      <c r="I1180" s="9">
        <v>40675.0</v>
      </c>
      <c r="J1180" s="11">
        <f t="shared" si="5"/>
        <v>29</v>
      </c>
      <c r="K1180" s="7" t="s">
        <v>382</v>
      </c>
      <c r="L1180" s="7" t="s">
        <v>594</v>
      </c>
      <c r="M1180" s="7" t="str">
        <f>VLOOKUP(L1180,countries, 2,false)</f>
        <v>Poland</v>
      </c>
      <c r="N1180" s="7" t="str">
        <f>VLOOKUP(L1180,countries, 4,false)</f>
        <v>Europe</v>
      </c>
      <c r="O1180" s="7" t="str">
        <f>VLOOKUP(L1180,countries, 5,false)</f>
        <v>Eastern Europe</v>
      </c>
      <c r="P1180" s="7" t="s">
        <v>212</v>
      </c>
      <c r="Q1180" s="7">
        <v>4175.0</v>
      </c>
      <c r="R1180" s="12">
        <v>437.2</v>
      </c>
      <c r="S1180" s="12">
        <v>263.33</v>
      </c>
      <c r="T1180" s="13">
        <f t="shared" si="6"/>
        <v>1825310</v>
      </c>
      <c r="U1180" s="13">
        <f t="shared" si="7"/>
        <v>694977.99</v>
      </c>
      <c r="V1180" s="13">
        <f t="shared" si="8"/>
        <v>1130332.01</v>
      </c>
      <c r="W1180" s="14">
        <f>Q1180/totals!B$2</f>
        <v>0.0006348338423</v>
      </c>
      <c r="X1180" s="14">
        <f t="shared" si="9"/>
        <v>0.8732267988</v>
      </c>
      <c r="Y1180" s="14">
        <f>T1180/totals!B$5</f>
        <v>0.001072368523</v>
      </c>
      <c r="Z1180" s="14">
        <f t="shared" si="10"/>
        <v>0.8960307117</v>
      </c>
      <c r="AA1180" s="14">
        <f>V1180/totals!B$4</f>
        <v>0.002253854762</v>
      </c>
      <c r="AB1180" s="14">
        <f t="shared" si="11"/>
        <v>0.8887999693</v>
      </c>
    </row>
    <row r="1181">
      <c r="A1181" s="7">
        <v>5988.0</v>
      </c>
      <c r="B1181" s="7" t="str">
        <f>VLOOKUP($A1181,product_category,2, False)</f>
        <v>Vegetables</v>
      </c>
      <c r="C1181" s="7">
        <v>8.94589078E8</v>
      </c>
      <c r="D1181" s="9">
        <v>41709.0</v>
      </c>
      <c r="E1181" s="10">
        <f t="shared" si="1"/>
        <v>3</v>
      </c>
      <c r="F1181" s="10" t="str">
        <f t="shared" si="2"/>
        <v>Mar</v>
      </c>
      <c r="G1181" s="11">
        <f t="shared" si="3"/>
        <v>11</v>
      </c>
      <c r="H1181" s="7">
        <f t="shared" si="4"/>
        <v>2014</v>
      </c>
      <c r="I1181" s="9">
        <v>41739.0</v>
      </c>
      <c r="J1181" s="11">
        <f t="shared" si="5"/>
        <v>30</v>
      </c>
      <c r="K1181" s="7" t="s">
        <v>110</v>
      </c>
      <c r="L1181" s="7" t="s">
        <v>478</v>
      </c>
      <c r="M1181" s="7" t="str">
        <f>VLOOKUP(L1181,countries, 2,false)</f>
        <v>Malta</v>
      </c>
      <c r="N1181" s="7" t="str">
        <f>VLOOKUP(L1181,countries, 4,false)</f>
        <v>Europe</v>
      </c>
      <c r="O1181" s="7" t="str">
        <f>VLOOKUP(L1181,countries, 5,false)</f>
        <v>Southern Europe</v>
      </c>
      <c r="P1181" s="7" t="s">
        <v>129</v>
      </c>
      <c r="Q1181" s="7">
        <v>7643.0</v>
      </c>
      <c r="R1181" s="12">
        <v>154.06</v>
      </c>
      <c r="S1181" s="12">
        <v>90.93</v>
      </c>
      <c r="T1181" s="13">
        <f t="shared" si="6"/>
        <v>1177480.58</v>
      </c>
      <c r="U1181" s="13">
        <f t="shared" si="7"/>
        <v>157583.03</v>
      </c>
      <c r="V1181" s="13">
        <f t="shared" si="8"/>
        <v>1019897.55</v>
      </c>
      <c r="W1181" s="14">
        <f>Q1181/totals!B$2</f>
        <v>0.001162164085</v>
      </c>
      <c r="X1181" s="14">
        <f t="shared" si="9"/>
        <v>0.8743889629</v>
      </c>
      <c r="Y1181" s="14">
        <f>T1181/totals!B$5</f>
        <v>0.0006917691301</v>
      </c>
      <c r="Z1181" s="14">
        <f t="shared" si="10"/>
        <v>0.8967224808</v>
      </c>
      <c r="AA1181" s="14">
        <f>V1181/totals!B$4</f>
        <v>0.002033651113</v>
      </c>
      <c r="AB1181" s="14">
        <f t="shared" si="11"/>
        <v>0.8908336204</v>
      </c>
    </row>
    <row r="1182">
      <c r="A1182" s="7">
        <v>1270.0</v>
      </c>
      <c r="B1182" s="7" t="str">
        <f>VLOOKUP($A1182,product_category,2, False)</f>
        <v>Beverages</v>
      </c>
      <c r="C1182" s="7">
        <v>8.97317206E8</v>
      </c>
      <c r="D1182" s="9">
        <v>42229.0</v>
      </c>
      <c r="E1182" s="10">
        <f t="shared" si="1"/>
        <v>8</v>
      </c>
      <c r="F1182" s="10" t="str">
        <f t="shared" si="2"/>
        <v>Aug</v>
      </c>
      <c r="G1182" s="11">
        <f t="shared" si="3"/>
        <v>13</v>
      </c>
      <c r="H1182" s="7">
        <f t="shared" si="4"/>
        <v>2015</v>
      </c>
      <c r="I1182" s="9">
        <v>42248.0</v>
      </c>
      <c r="J1182" s="11">
        <f t="shared" si="5"/>
        <v>19</v>
      </c>
      <c r="K1182" s="7" t="s">
        <v>382</v>
      </c>
      <c r="L1182" s="7" t="s">
        <v>392</v>
      </c>
      <c r="M1182" s="7" t="str">
        <f>VLOOKUP(L1182,countries, 2,false)</f>
        <v>Italy</v>
      </c>
      <c r="N1182" s="7" t="str">
        <f>VLOOKUP(L1182,countries, 4,false)</f>
        <v>Europe</v>
      </c>
      <c r="O1182" s="7" t="str">
        <f>VLOOKUP(L1182,countries, 5,false)</f>
        <v>Southern Europe</v>
      </c>
      <c r="P1182" s="7" t="s">
        <v>129</v>
      </c>
      <c r="Q1182" s="7">
        <v>4957.0</v>
      </c>
      <c r="R1182" s="12">
        <v>47.45</v>
      </c>
      <c r="S1182" s="12">
        <v>31.79</v>
      </c>
      <c r="T1182" s="13">
        <f t="shared" si="6"/>
        <v>235209.65</v>
      </c>
      <c r="U1182" s="13">
        <f t="shared" si="7"/>
        <v>1165244.5</v>
      </c>
      <c r="V1182" s="13">
        <f t="shared" si="8"/>
        <v>-930034.85</v>
      </c>
      <c r="W1182" s="14">
        <f>Q1182/totals!B$2</f>
        <v>0.0007537416422</v>
      </c>
      <c r="X1182" s="14">
        <f t="shared" si="9"/>
        <v>0.8751427046</v>
      </c>
      <c r="Y1182" s="14">
        <f>T1182/totals!B$5</f>
        <v>0.0001381855274</v>
      </c>
      <c r="Z1182" s="14">
        <f t="shared" si="10"/>
        <v>0.8968606664</v>
      </c>
      <c r="AA1182" s="14">
        <f>V1182/totals!B$4</f>
        <v>-0.001854467056</v>
      </c>
      <c r="AB1182" s="14">
        <f t="shared" si="11"/>
        <v>0.8889791533</v>
      </c>
    </row>
    <row r="1183">
      <c r="A1183" s="7">
        <v>2103.0</v>
      </c>
      <c r="B1183" s="7" t="str">
        <f>VLOOKUP($A1183,product_category,2, False)</f>
        <v>Cereal</v>
      </c>
      <c r="C1183" s="7">
        <v>8.97638213E8</v>
      </c>
      <c r="D1183" s="9">
        <v>41896.0</v>
      </c>
      <c r="E1183" s="10">
        <f t="shared" si="1"/>
        <v>9</v>
      </c>
      <c r="F1183" s="10" t="str">
        <f t="shared" si="2"/>
        <v>Sep</v>
      </c>
      <c r="G1183" s="11">
        <f t="shared" si="3"/>
        <v>14</v>
      </c>
      <c r="H1183" s="7">
        <f t="shared" si="4"/>
        <v>2014</v>
      </c>
      <c r="I1183" s="9">
        <v>41920.0</v>
      </c>
      <c r="J1183" s="11">
        <f t="shared" si="5"/>
        <v>24</v>
      </c>
      <c r="K1183" s="7" t="s">
        <v>110</v>
      </c>
      <c r="L1183" s="7" t="s">
        <v>597</v>
      </c>
      <c r="M1183" s="7" t="str">
        <f>VLOOKUP(L1183,countries, 2,false)</f>
        <v>Portugal</v>
      </c>
      <c r="N1183" s="7" t="str">
        <f>VLOOKUP(L1183,countries, 4,false)</f>
        <v>Europe</v>
      </c>
      <c r="O1183" s="7" t="str">
        <f>VLOOKUP(L1183,countries, 5,false)</f>
        <v>Southern Europe</v>
      </c>
      <c r="P1183" s="7" t="s">
        <v>212</v>
      </c>
      <c r="Q1183" s="7">
        <v>9950.0</v>
      </c>
      <c r="R1183" s="12">
        <v>205.7</v>
      </c>
      <c r="S1183" s="12">
        <v>117.11</v>
      </c>
      <c r="T1183" s="13">
        <f t="shared" si="6"/>
        <v>2046715</v>
      </c>
      <c r="U1183" s="13">
        <f t="shared" si="7"/>
        <v>1908754.56</v>
      </c>
      <c r="V1183" s="13">
        <f t="shared" si="8"/>
        <v>137960.44</v>
      </c>
      <c r="W1183" s="14">
        <f>Q1183/totals!B$2</f>
        <v>0.001512957301</v>
      </c>
      <c r="X1183" s="14">
        <f t="shared" si="9"/>
        <v>0.8766556619</v>
      </c>
      <c r="Y1183" s="14">
        <f>T1183/totals!B$5</f>
        <v>0.001202443827</v>
      </c>
      <c r="Z1183" s="14">
        <f t="shared" si="10"/>
        <v>0.8980631102</v>
      </c>
      <c r="AA1183" s="14">
        <f>V1183/totals!B$4</f>
        <v>0.0002750897895</v>
      </c>
      <c r="AB1183" s="14">
        <f t="shared" si="11"/>
        <v>0.8892542431</v>
      </c>
    </row>
    <row r="1184">
      <c r="A1184" s="7">
        <v>8681.0</v>
      </c>
      <c r="B1184" s="7" t="str">
        <f>VLOOKUP($A1184,product_category,2, False)</f>
        <v>Office Supplies</v>
      </c>
      <c r="C1184" s="7">
        <v>8.97785842E8</v>
      </c>
      <c r="D1184" s="9">
        <v>41402.0</v>
      </c>
      <c r="E1184" s="10">
        <f t="shared" si="1"/>
        <v>5</v>
      </c>
      <c r="F1184" s="10" t="str">
        <f t="shared" si="2"/>
        <v>May</v>
      </c>
      <c r="G1184" s="11">
        <f t="shared" si="3"/>
        <v>8</v>
      </c>
      <c r="H1184" s="7">
        <f t="shared" si="4"/>
        <v>2013</v>
      </c>
      <c r="I1184" s="9">
        <v>41406.0</v>
      </c>
      <c r="J1184" s="11">
        <f t="shared" si="5"/>
        <v>4</v>
      </c>
      <c r="K1184" s="7" t="s">
        <v>322</v>
      </c>
      <c r="L1184" s="7" t="s">
        <v>231</v>
      </c>
      <c r="M1184" s="7" t="str">
        <f>VLOOKUP(L1184,countries, 2,false)</f>
        <v>Cyprus</v>
      </c>
      <c r="N1184" s="7" t="str">
        <f>VLOOKUP(L1184,countries, 4,false)</f>
        <v>Asia</v>
      </c>
      <c r="O1184" s="7" t="str">
        <f>VLOOKUP(L1184,countries, 5,false)</f>
        <v>Western Asia</v>
      </c>
      <c r="P1184" s="7" t="s">
        <v>212</v>
      </c>
      <c r="Q1184" s="7">
        <v>3636.0</v>
      </c>
      <c r="R1184" s="12">
        <v>651.21</v>
      </c>
      <c r="S1184" s="12">
        <v>524.96</v>
      </c>
      <c r="T1184" s="13">
        <f t="shared" si="6"/>
        <v>2367799.56</v>
      </c>
      <c r="U1184" s="13">
        <f t="shared" si="7"/>
        <v>66542.72</v>
      </c>
      <c r="V1184" s="13">
        <f t="shared" si="8"/>
        <v>2301256.84</v>
      </c>
      <c r="W1184" s="14">
        <f>Q1184/totals!B$2</f>
        <v>0.0005528756529</v>
      </c>
      <c r="X1184" s="14">
        <f t="shared" si="9"/>
        <v>0.8772085375</v>
      </c>
      <c r="Y1184" s="14">
        <f>T1184/totals!B$5</f>
        <v>0.001391080812</v>
      </c>
      <c r="Z1184" s="14">
        <f t="shared" si="10"/>
        <v>0.899454191</v>
      </c>
      <c r="AA1184" s="14">
        <f>V1184/totals!B$4</f>
        <v>0.004588650628</v>
      </c>
      <c r="AB1184" s="14">
        <f t="shared" si="11"/>
        <v>0.8938428937</v>
      </c>
    </row>
    <row r="1185">
      <c r="A1185" s="7">
        <v>4594.0</v>
      </c>
      <c r="B1185" s="7" t="str">
        <f>VLOOKUP($A1185,product_category,2, False)</f>
        <v>Fruits</v>
      </c>
      <c r="C1185" s="7">
        <v>8.98211562E8</v>
      </c>
      <c r="D1185" s="9">
        <v>41330.0</v>
      </c>
      <c r="E1185" s="10">
        <f t="shared" si="1"/>
        <v>2</v>
      </c>
      <c r="F1185" s="10" t="str">
        <f t="shared" si="2"/>
        <v>Feb</v>
      </c>
      <c r="G1185" s="11">
        <f t="shared" si="3"/>
        <v>25</v>
      </c>
      <c r="H1185" s="7">
        <f t="shared" si="4"/>
        <v>2013</v>
      </c>
      <c r="I1185" s="9">
        <v>41345.0</v>
      </c>
      <c r="J1185" s="11">
        <f t="shared" si="5"/>
        <v>15</v>
      </c>
      <c r="K1185" s="7" t="s">
        <v>322</v>
      </c>
      <c r="L1185" s="7" t="s">
        <v>264</v>
      </c>
      <c r="M1185" s="7" t="str">
        <f>VLOOKUP(L1185,countries, 2,false)</f>
        <v>Estonia</v>
      </c>
      <c r="N1185" s="7" t="str">
        <f>VLOOKUP(L1185,countries, 4,false)</f>
        <v>Europe</v>
      </c>
      <c r="O1185" s="7" t="str">
        <f>VLOOKUP(L1185,countries, 5,false)</f>
        <v>Northern Europe</v>
      </c>
      <c r="P1185" s="7" t="s">
        <v>212</v>
      </c>
      <c r="Q1185" s="7">
        <v>9616.0</v>
      </c>
      <c r="R1185" s="12">
        <v>9.33</v>
      </c>
      <c r="S1185" s="12">
        <v>6.92</v>
      </c>
      <c r="T1185" s="13">
        <f t="shared" si="6"/>
        <v>89717.28</v>
      </c>
      <c r="U1185" s="13">
        <f t="shared" si="7"/>
        <v>67961.32</v>
      </c>
      <c r="V1185" s="13">
        <f t="shared" si="8"/>
        <v>21755.96</v>
      </c>
      <c r="W1185" s="14">
        <f>Q1185/totals!B$2</f>
        <v>0.001462170593</v>
      </c>
      <c r="X1185" s="14">
        <f t="shared" si="9"/>
        <v>0.8786707081</v>
      </c>
      <c r="Y1185" s="14">
        <f>T1185/totals!B$5</f>
        <v>0.00005270884785</v>
      </c>
      <c r="Z1185" s="14">
        <f t="shared" si="10"/>
        <v>0.8995068999</v>
      </c>
      <c r="AA1185" s="14">
        <f>V1185/totals!B$4</f>
        <v>0.00004338085944</v>
      </c>
      <c r="AB1185" s="14">
        <f t="shared" si="11"/>
        <v>0.8938862746</v>
      </c>
    </row>
    <row r="1186">
      <c r="A1186" s="7">
        <v>4594.0</v>
      </c>
      <c r="B1186" s="7" t="str">
        <f>VLOOKUP($A1186,product_category,2, False)</f>
        <v>Fruits</v>
      </c>
      <c r="C1186" s="7">
        <v>8.99868094E8</v>
      </c>
      <c r="D1186" s="9">
        <v>40970.0</v>
      </c>
      <c r="E1186" s="10">
        <f t="shared" si="1"/>
        <v>3</v>
      </c>
      <c r="F1186" s="10" t="str">
        <f t="shared" si="2"/>
        <v>Mar</v>
      </c>
      <c r="G1186" s="11">
        <f t="shared" si="3"/>
        <v>2</v>
      </c>
      <c r="H1186" s="7">
        <f t="shared" si="4"/>
        <v>2012</v>
      </c>
      <c r="I1186" s="9">
        <v>40994.0</v>
      </c>
      <c r="J1186" s="11">
        <f t="shared" si="5"/>
        <v>24</v>
      </c>
      <c r="K1186" s="7" t="s">
        <v>198</v>
      </c>
      <c r="L1186" s="7" t="e">
        <v>#N/A</v>
      </c>
      <c r="M1186" s="7"/>
      <c r="N1186" s="7"/>
      <c r="O1186" s="7"/>
      <c r="P1186" s="7" t="s">
        <v>129</v>
      </c>
      <c r="Q1186" s="7">
        <v>9821.0</v>
      </c>
      <c r="R1186" s="12">
        <v>9.33</v>
      </c>
      <c r="S1186" s="12">
        <v>6.92</v>
      </c>
      <c r="T1186" s="13">
        <f t="shared" si="6"/>
        <v>91629.93</v>
      </c>
      <c r="U1186" s="13">
        <f t="shared" si="7"/>
        <v>2158252.68</v>
      </c>
      <c r="V1186" s="13">
        <f t="shared" si="8"/>
        <v>-2066622.75</v>
      </c>
      <c r="W1186" s="14">
        <f>Q1186/totals!B$2</f>
        <v>0.001493342076</v>
      </c>
      <c r="X1186" s="14">
        <f t="shared" si="9"/>
        <v>0.8801640502</v>
      </c>
      <c r="Y1186" s="14">
        <f>T1186/totals!B$5</f>
        <v>0.00005383252857</v>
      </c>
      <c r="Z1186" s="14">
        <f t="shared" si="10"/>
        <v>0.8995607324</v>
      </c>
      <c r="AA1186" s="14">
        <f>V1186/totals!B$4</f>
        <v>-0.004120795912</v>
      </c>
      <c r="AB1186" s="14">
        <f t="shared" si="11"/>
        <v>0.8897654787</v>
      </c>
    </row>
    <row r="1187">
      <c r="A1187" s="7">
        <v>8293.0</v>
      </c>
      <c r="B1187" s="7" t="str">
        <f>VLOOKUP($A1187,product_category,2, False)</f>
        <v>Cosmetics</v>
      </c>
      <c r="C1187" s="7">
        <v>9.00808799E8</v>
      </c>
      <c r="D1187" s="9">
        <v>42906.0</v>
      </c>
      <c r="E1187" s="10">
        <f t="shared" si="1"/>
        <v>6</v>
      </c>
      <c r="F1187" s="10" t="str">
        <f t="shared" si="2"/>
        <v>Jun</v>
      </c>
      <c r="G1187" s="11">
        <f t="shared" si="3"/>
        <v>20</v>
      </c>
      <c r="H1187" s="7">
        <f t="shared" si="4"/>
        <v>2017</v>
      </c>
      <c r="I1187" s="9">
        <v>42914.0</v>
      </c>
      <c r="J1187" s="11">
        <f t="shared" si="5"/>
        <v>8</v>
      </c>
      <c r="K1187" s="7" t="s">
        <v>198</v>
      </c>
      <c r="L1187" s="7" t="s">
        <v>316</v>
      </c>
      <c r="M1187" s="7" t="str">
        <f>VLOOKUP(L1187,countries, 2,false)</f>
        <v>Greece</v>
      </c>
      <c r="N1187" s="7" t="str">
        <f>VLOOKUP(L1187,countries, 4,false)</f>
        <v>Europe</v>
      </c>
      <c r="O1187" s="7" t="str">
        <f>VLOOKUP(L1187,countries, 5,false)</f>
        <v>Southern Europe</v>
      </c>
      <c r="P1187" s="7" t="s">
        <v>129</v>
      </c>
      <c r="Q1187" s="7">
        <v>8196.0</v>
      </c>
      <c r="R1187" s="12">
        <v>437.2</v>
      </c>
      <c r="S1187" s="12">
        <v>263.33</v>
      </c>
      <c r="T1187" s="13">
        <f t="shared" si="6"/>
        <v>3583291.2</v>
      </c>
      <c r="U1187" s="13">
        <f t="shared" si="7"/>
        <v>302887.83</v>
      </c>
      <c r="V1187" s="13">
        <f t="shared" si="8"/>
        <v>3280403.37</v>
      </c>
      <c r="W1187" s="14">
        <f>Q1187/totals!B$2</f>
        <v>0.001246251059</v>
      </c>
      <c r="X1187" s="14">
        <f t="shared" si="9"/>
        <v>0.8814103012</v>
      </c>
      <c r="Y1187" s="14">
        <f>T1187/totals!B$5</f>
        <v>0.002105181417</v>
      </c>
      <c r="Z1187" s="14">
        <f t="shared" si="10"/>
        <v>0.9016659138</v>
      </c>
      <c r="AA1187" s="14">
        <f>V1187/totals!B$4</f>
        <v>0.006541045189</v>
      </c>
      <c r="AB1187" s="14">
        <f t="shared" si="11"/>
        <v>0.8963065239</v>
      </c>
    </row>
    <row r="1188">
      <c r="A1188" s="7">
        <v>5988.0</v>
      </c>
      <c r="B1188" s="7" t="str">
        <f>VLOOKUP($A1188,product_category,2, False)</f>
        <v>Vegetables</v>
      </c>
      <c r="C1188" s="7">
        <v>9.01670968E8</v>
      </c>
      <c r="D1188" s="9">
        <v>40498.0</v>
      </c>
      <c r="E1188" s="10">
        <f t="shared" si="1"/>
        <v>11</v>
      </c>
      <c r="F1188" s="10" t="str">
        <f t="shared" si="2"/>
        <v>Nov</v>
      </c>
      <c r="G1188" s="11">
        <f t="shared" si="3"/>
        <v>16</v>
      </c>
      <c r="H1188" s="7">
        <f t="shared" si="4"/>
        <v>2010</v>
      </c>
      <c r="I1188" s="9">
        <v>40523.0</v>
      </c>
      <c r="J1188" s="11">
        <f t="shared" si="5"/>
        <v>25</v>
      </c>
      <c r="K1188" s="7" t="s">
        <v>198</v>
      </c>
      <c r="L1188" s="7" t="s">
        <v>383</v>
      </c>
      <c r="M1188" s="7" t="str">
        <f>VLOOKUP(L1188,countries, 2,false)</f>
        <v>Ireland</v>
      </c>
      <c r="N1188" s="7" t="str">
        <f>VLOOKUP(L1188,countries, 4,false)</f>
        <v>Europe</v>
      </c>
      <c r="O1188" s="7" t="str">
        <f>VLOOKUP(L1188,countries, 5,false)</f>
        <v>Northern Europe</v>
      </c>
      <c r="P1188" s="7" t="s">
        <v>212</v>
      </c>
      <c r="Q1188" s="7">
        <v>3331.0</v>
      </c>
      <c r="R1188" s="12">
        <v>154.06</v>
      </c>
      <c r="S1188" s="12">
        <v>90.93</v>
      </c>
      <c r="T1188" s="13">
        <f t="shared" si="6"/>
        <v>513173.86</v>
      </c>
      <c r="U1188" s="13">
        <f t="shared" si="7"/>
        <v>3103147.21</v>
      </c>
      <c r="V1188" s="13">
        <f t="shared" si="8"/>
        <v>-2589973.35</v>
      </c>
      <c r="W1188" s="14">
        <f>Q1188/totals!B$2</f>
        <v>0.0005064985698</v>
      </c>
      <c r="X1188" s="14">
        <f t="shared" si="9"/>
        <v>0.8819167998</v>
      </c>
      <c r="Y1188" s="14">
        <f>T1188/totals!B$5</f>
        <v>0.000301489333</v>
      </c>
      <c r="Z1188" s="14">
        <f t="shared" si="10"/>
        <v>0.9019674031</v>
      </c>
      <c r="AA1188" s="14">
        <f>V1188/totals!B$4</f>
        <v>-0.005164344384</v>
      </c>
      <c r="AB1188" s="14">
        <f t="shared" si="11"/>
        <v>0.8911421795</v>
      </c>
    </row>
    <row r="1189">
      <c r="A1189" s="7">
        <v>8875.0</v>
      </c>
      <c r="B1189" s="7" t="str">
        <f>VLOOKUP($A1189,product_category,2, False)</f>
        <v>Meat</v>
      </c>
      <c r="C1189" s="7">
        <v>9.01789844E8</v>
      </c>
      <c r="D1189" s="9">
        <v>42087.0</v>
      </c>
      <c r="E1189" s="10">
        <f t="shared" si="1"/>
        <v>3</v>
      </c>
      <c r="F1189" s="10" t="str">
        <f t="shared" si="2"/>
        <v>Mar</v>
      </c>
      <c r="G1189" s="11">
        <f t="shared" si="3"/>
        <v>24</v>
      </c>
      <c r="H1189" s="7">
        <f t="shared" si="4"/>
        <v>2015</v>
      </c>
      <c r="I1189" s="9">
        <v>42129.0</v>
      </c>
      <c r="J1189" s="11">
        <f t="shared" si="5"/>
        <v>42</v>
      </c>
      <c r="K1189" s="7" t="s">
        <v>382</v>
      </c>
      <c r="L1189" s="7" t="s">
        <v>478</v>
      </c>
      <c r="M1189" s="7" t="str">
        <f>VLOOKUP(L1189,countries, 2,false)</f>
        <v>Malta</v>
      </c>
      <c r="N1189" s="7" t="str">
        <f>VLOOKUP(L1189,countries, 4,false)</f>
        <v>Europe</v>
      </c>
      <c r="O1189" s="7" t="str">
        <f>VLOOKUP(L1189,countries, 5,false)</f>
        <v>Southern Europe</v>
      </c>
      <c r="P1189" s="7" t="s">
        <v>129</v>
      </c>
      <c r="Q1189" s="7">
        <v>8509.0</v>
      </c>
      <c r="R1189" s="12">
        <v>421.89</v>
      </c>
      <c r="S1189" s="12">
        <v>364.69</v>
      </c>
      <c r="T1189" s="13">
        <f t="shared" si="6"/>
        <v>3589862.01</v>
      </c>
      <c r="U1189" s="13">
        <f t="shared" si="7"/>
        <v>3624848.8</v>
      </c>
      <c r="V1189" s="13">
        <f t="shared" si="8"/>
        <v>-34986.79</v>
      </c>
      <c r="W1189" s="14">
        <f>Q1189/totals!B$2</f>
        <v>0.00129384459</v>
      </c>
      <c r="X1189" s="14">
        <f t="shared" si="9"/>
        <v>0.8832106444</v>
      </c>
      <c r="Y1189" s="14">
        <f>T1189/totals!B$5</f>
        <v>0.002109041764</v>
      </c>
      <c r="Z1189" s="14">
        <f t="shared" si="10"/>
        <v>0.9040764449</v>
      </c>
      <c r="AA1189" s="14">
        <f>V1189/totals!B$4</f>
        <v>-0.0000697628153</v>
      </c>
      <c r="AB1189" s="14">
        <f t="shared" si="11"/>
        <v>0.8910724167</v>
      </c>
    </row>
    <row r="1190">
      <c r="A1190" s="7">
        <v>8681.0</v>
      </c>
      <c r="B1190" s="7" t="str">
        <f>VLOOKUP($A1190,product_category,2, False)</f>
        <v>Office Supplies</v>
      </c>
      <c r="C1190" s="7">
        <v>9.04589211E8</v>
      </c>
      <c r="D1190" s="9">
        <v>41742.0</v>
      </c>
      <c r="E1190" s="10">
        <f t="shared" si="1"/>
        <v>4</v>
      </c>
      <c r="F1190" s="10" t="str">
        <f t="shared" si="2"/>
        <v>Apr</v>
      </c>
      <c r="G1190" s="11">
        <f t="shared" si="3"/>
        <v>13</v>
      </c>
      <c r="H1190" s="7">
        <f t="shared" si="4"/>
        <v>2014</v>
      </c>
      <c r="I1190" s="9">
        <v>41763.0</v>
      </c>
      <c r="J1190" s="11">
        <f t="shared" si="5"/>
        <v>21</v>
      </c>
      <c r="K1190" s="7" t="s">
        <v>382</v>
      </c>
      <c r="L1190" s="7" t="s">
        <v>642</v>
      </c>
      <c r="M1190" s="7" t="str">
        <f>VLOOKUP(L1190,countries, 2,false)</f>
        <v>San Marino</v>
      </c>
      <c r="N1190" s="7" t="str">
        <f>VLOOKUP(L1190,countries, 4,false)</f>
        <v>Europe</v>
      </c>
      <c r="O1190" s="7" t="str">
        <f>VLOOKUP(L1190,countries, 5,false)</f>
        <v>Southern Europe</v>
      </c>
      <c r="P1190" s="7" t="s">
        <v>129</v>
      </c>
      <c r="Q1190" s="7">
        <v>6905.0</v>
      </c>
      <c r="R1190" s="12">
        <v>651.21</v>
      </c>
      <c r="S1190" s="12">
        <v>524.96</v>
      </c>
      <c r="T1190" s="13">
        <f t="shared" si="6"/>
        <v>4496605.05</v>
      </c>
      <c r="U1190" s="13">
        <f t="shared" si="7"/>
        <v>21237.48</v>
      </c>
      <c r="V1190" s="13">
        <f t="shared" si="8"/>
        <v>4475367.57</v>
      </c>
      <c r="W1190" s="14">
        <f>Q1190/totals!B$2</f>
        <v>0.00104994675</v>
      </c>
      <c r="X1190" s="14">
        <f t="shared" si="9"/>
        <v>0.8842605912</v>
      </c>
      <c r="Y1190" s="14">
        <f>T1190/totals!B$5</f>
        <v>0.002641752753</v>
      </c>
      <c r="Z1190" s="14">
        <f t="shared" si="10"/>
        <v>0.9067181977</v>
      </c>
      <c r="AA1190" s="14">
        <f>V1190/totals!B$4</f>
        <v>0.008923774979</v>
      </c>
      <c r="AB1190" s="14">
        <f t="shared" si="11"/>
        <v>0.8999961917</v>
      </c>
    </row>
    <row r="1191">
      <c r="A1191" s="7">
        <v>4594.0</v>
      </c>
      <c r="B1191" s="7" t="str">
        <f>VLOOKUP($A1191,product_category,2, False)</f>
        <v>Fruits</v>
      </c>
      <c r="C1191" s="7">
        <v>9.048128E8</v>
      </c>
      <c r="D1191" s="9">
        <v>40825.0</v>
      </c>
      <c r="E1191" s="10">
        <f t="shared" si="1"/>
        <v>10</v>
      </c>
      <c r="F1191" s="10" t="str">
        <f t="shared" si="2"/>
        <v>Oct</v>
      </c>
      <c r="G1191" s="11">
        <f t="shared" si="3"/>
        <v>9</v>
      </c>
      <c r="H1191" s="7">
        <f t="shared" si="4"/>
        <v>2011</v>
      </c>
      <c r="I1191" s="9">
        <v>40871.0</v>
      </c>
      <c r="J1191" s="11">
        <f t="shared" si="5"/>
        <v>46</v>
      </c>
      <c r="K1191" s="7" t="s">
        <v>110</v>
      </c>
      <c r="L1191" s="7" t="s">
        <v>609</v>
      </c>
      <c r="M1191" s="7" t="str">
        <f>VLOOKUP(L1191,countries, 2,false)</f>
        <v>Romania</v>
      </c>
      <c r="N1191" s="7" t="str">
        <f>VLOOKUP(L1191,countries, 4,false)</f>
        <v>Europe</v>
      </c>
      <c r="O1191" s="7" t="str">
        <f>VLOOKUP(L1191,countries, 5,false)</f>
        <v>Eastern Europe</v>
      </c>
      <c r="P1191" s="7" t="s">
        <v>212</v>
      </c>
      <c r="Q1191" s="7">
        <v>3069.0</v>
      </c>
      <c r="R1191" s="12">
        <v>9.33</v>
      </c>
      <c r="S1191" s="12">
        <v>6.92</v>
      </c>
      <c r="T1191" s="13">
        <f t="shared" si="6"/>
        <v>28633.77</v>
      </c>
      <c r="U1191" s="13">
        <f t="shared" si="7"/>
        <v>1081393.74</v>
      </c>
      <c r="V1191" s="13">
        <f t="shared" si="8"/>
        <v>-1052759.97</v>
      </c>
      <c r="W1191" s="14">
        <f>Q1191/totals!B$2</f>
        <v>0.0004666598951</v>
      </c>
      <c r="X1191" s="14">
        <f t="shared" si="9"/>
        <v>0.8847272511</v>
      </c>
      <c r="Y1191" s="14">
        <f>T1191/totals!B$5</f>
        <v>0.00001682232259</v>
      </c>
      <c r="Z1191" s="14">
        <f t="shared" si="10"/>
        <v>0.90673502</v>
      </c>
      <c r="AA1191" s="14">
        <f>V1191/totals!B$4</f>
        <v>-0.002099177985</v>
      </c>
      <c r="AB1191" s="14">
        <f t="shared" si="11"/>
        <v>0.8978970137</v>
      </c>
    </row>
    <row r="1192">
      <c r="A1192" s="7">
        <v>2103.0</v>
      </c>
      <c r="B1192" s="7" t="str">
        <f>VLOOKUP($A1192,product_category,2, False)</f>
        <v>Cereal</v>
      </c>
      <c r="C1192" s="7">
        <v>9.05036389E8</v>
      </c>
      <c r="D1192" s="9">
        <v>42675.0</v>
      </c>
      <c r="E1192" s="10">
        <f t="shared" si="1"/>
        <v>11</v>
      </c>
      <c r="F1192" s="10" t="str">
        <f t="shared" si="2"/>
        <v>Nov</v>
      </c>
      <c r="G1192" s="11">
        <f t="shared" si="3"/>
        <v>1</v>
      </c>
      <c r="H1192" s="7">
        <f t="shared" si="4"/>
        <v>2016</v>
      </c>
      <c r="I1192" s="9">
        <v>42694.0</v>
      </c>
      <c r="J1192" s="11">
        <f t="shared" si="5"/>
        <v>19</v>
      </c>
      <c r="K1192" s="7" t="s">
        <v>322</v>
      </c>
      <c r="L1192" s="7" t="s">
        <v>594</v>
      </c>
      <c r="M1192" s="7" t="str">
        <f>VLOOKUP(L1192,countries, 2,false)</f>
        <v>Poland</v>
      </c>
      <c r="N1192" s="7" t="str">
        <f>VLOOKUP(L1192,countries, 4,false)</f>
        <v>Europe</v>
      </c>
      <c r="O1192" s="7" t="str">
        <f>VLOOKUP(L1192,countries, 5,false)</f>
        <v>Eastern Europe</v>
      </c>
      <c r="P1192" s="7" t="s">
        <v>129</v>
      </c>
      <c r="Q1192" s="7">
        <v>9234.0</v>
      </c>
      <c r="R1192" s="12">
        <v>205.7</v>
      </c>
      <c r="S1192" s="12">
        <v>117.11</v>
      </c>
      <c r="T1192" s="13">
        <f t="shared" si="6"/>
        <v>1899433.8</v>
      </c>
      <c r="U1192" s="13">
        <f t="shared" si="7"/>
        <v>4679149.94</v>
      </c>
      <c r="V1192" s="13">
        <f t="shared" si="8"/>
        <v>-2779716.14</v>
      </c>
      <c r="W1192" s="14">
        <f>Q1192/totals!B$2</f>
        <v>0.001404085198</v>
      </c>
      <c r="X1192" s="14">
        <f t="shared" si="9"/>
        <v>0.8861313362</v>
      </c>
      <c r="Y1192" s="14">
        <f>T1192/totals!B$5</f>
        <v>0.001115916211</v>
      </c>
      <c r="Z1192" s="14">
        <f t="shared" si="10"/>
        <v>0.9078509362</v>
      </c>
      <c r="AA1192" s="14">
        <f>V1192/totals!B$4</f>
        <v>-0.00554268693</v>
      </c>
      <c r="AB1192" s="14">
        <f t="shared" si="11"/>
        <v>0.8923543267</v>
      </c>
    </row>
    <row r="1193">
      <c r="A1193" s="7">
        <v>7940.0</v>
      </c>
      <c r="B1193" s="7" t="str">
        <f>VLOOKUP($A1193,product_category,2, False)</f>
        <v>Household</v>
      </c>
      <c r="C1193" s="7">
        <v>9.05509746E8</v>
      </c>
      <c r="D1193" s="9">
        <v>42290.0</v>
      </c>
      <c r="E1193" s="10">
        <f t="shared" si="1"/>
        <v>10</v>
      </c>
      <c r="F1193" s="10" t="str">
        <f t="shared" si="2"/>
        <v>Oct</v>
      </c>
      <c r="G1193" s="11">
        <f t="shared" si="3"/>
        <v>13</v>
      </c>
      <c r="H1193" s="7">
        <f t="shared" si="4"/>
        <v>2015</v>
      </c>
      <c r="I1193" s="9">
        <v>42297.0</v>
      </c>
      <c r="J1193" s="11">
        <f t="shared" si="5"/>
        <v>7</v>
      </c>
      <c r="K1193" s="7" t="s">
        <v>322</v>
      </c>
      <c r="L1193" s="7" t="s">
        <v>460</v>
      </c>
      <c r="M1193" s="7" t="str">
        <f>VLOOKUP(L1193,countries, 2,false)</f>
        <v>Macedonia</v>
      </c>
      <c r="N1193" s="7" t="str">
        <f>VLOOKUP(L1193,countries, 4,false)</f>
        <v>Europe</v>
      </c>
      <c r="O1193" s="7" t="str">
        <f>VLOOKUP(L1193,countries, 5,false)</f>
        <v>Southern Europe</v>
      </c>
      <c r="P1193" s="7" t="s">
        <v>212</v>
      </c>
      <c r="Q1193" s="7">
        <v>9311.0</v>
      </c>
      <c r="R1193" s="12">
        <v>668.27</v>
      </c>
      <c r="S1193" s="12">
        <v>502.54</v>
      </c>
      <c r="T1193" s="13">
        <f t="shared" si="6"/>
        <v>6222261.97</v>
      </c>
      <c r="U1193" s="13">
        <f t="shared" si="7"/>
        <v>1036072.17</v>
      </c>
      <c r="V1193" s="13">
        <f t="shared" si="8"/>
        <v>5186189.8</v>
      </c>
      <c r="W1193" s="14">
        <f>Q1193/totals!B$2</f>
        <v>0.00141579351</v>
      </c>
      <c r="X1193" s="14">
        <f t="shared" si="9"/>
        <v>0.8875471298</v>
      </c>
      <c r="Y1193" s="14">
        <f>T1193/totals!B$5</f>
        <v>0.003655575152</v>
      </c>
      <c r="Z1193" s="14">
        <f t="shared" si="10"/>
        <v>0.9115065113</v>
      </c>
      <c r="AA1193" s="14">
        <f>V1193/totals!B$4</f>
        <v>0.01034113736</v>
      </c>
      <c r="AB1193" s="14">
        <f t="shared" si="11"/>
        <v>0.9026954641</v>
      </c>
    </row>
    <row r="1194">
      <c r="A1194" s="7">
        <v>2103.0</v>
      </c>
      <c r="B1194" s="7" t="str">
        <f>VLOOKUP($A1194,product_category,2, False)</f>
        <v>Cereal</v>
      </c>
      <c r="C1194" s="7">
        <v>9.05947482E8</v>
      </c>
      <c r="D1194" s="9">
        <v>42338.0</v>
      </c>
      <c r="E1194" s="10">
        <f t="shared" si="1"/>
        <v>11</v>
      </c>
      <c r="F1194" s="10" t="str">
        <f t="shared" si="2"/>
        <v>Nov</v>
      </c>
      <c r="G1194" s="11">
        <f t="shared" si="3"/>
        <v>30</v>
      </c>
      <c r="H1194" s="7">
        <f t="shared" si="4"/>
        <v>2015</v>
      </c>
      <c r="I1194" s="9">
        <v>42387.0</v>
      </c>
      <c r="J1194" s="11">
        <f t="shared" si="5"/>
        <v>49</v>
      </c>
      <c r="K1194" s="7" t="s">
        <v>198</v>
      </c>
      <c r="L1194" s="7" t="s">
        <v>237</v>
      </c>
      <c r="M1194" s="7" t="str">
        <f>VLOOKUP(L1194,countries, 2,false)</f>
        <v>Denmark</v>
      </c>
      <c r="N1194" s="7" t="str">
        <f>VLOOKUP(L1194,countries, 4,false)</f>
        <v>Europe</v>
      </c>
      <c r="O1194" s="7" t="str">
        <f>VLOOKUP(L1194,countries, 5,false)</f>
        <v>Northern Europe</v>
      </c>
      <c r="P1194" s="7" t="s">
        <v>129</v>
      </c>
      <c r="Q1194" s="7">
        <v>8847.0</v>
      </c>
      <c r="R1194" s="12">
        <v>205.7</v>
      </c>
      <c r="S1194" s="12">
        <v>117.11</v>
      </c>
      <c r="T1194" s="13">
        <f t="shared" si="6"/>
        <v>1819827.9</v>
      </c>
      <c r="U1194" s="13">
        <f t="shared" si="7"/>
        <v>212961.21</v>
      </c>
      <c r="V1194" s="13">
        <f t="shared" si="8"/>
        <v>1606866.69</v>
      </c>
      <c r="W1194" s="14">
        <f>Q1194/totals!B$2</f>
        <v>0.001345239522</v>
      </c>
      <c r="X1194" s="14">
        <f t="shared" si="9"/>
        <v>0.8888923693</v>
      </c>
      <c r="Y1194" s="14">
        <f>T1194/totals!B$5</f>
        <v>0.001069147793</v>
      </c>
      <c r="Z1194" s="14">
        <f t="shared" si="10"/>
        <v>0.9125756591</v>
      </c>
      <c r="AA1194" s="14">
        <f>V1194/totals!B$4</f>
        <v>0.003204053419</v>
      </c>
      <c r="AB1194" s="14">
        <f t="shared" si="11"/>
        <v>0.9058995175</v>
      </c>
    </row>
    <row r="1195">
      <c r="A1195" s="7">
        <v>1270.0</v>
      </c>
      <c r="B1195" s="7" t="str">
        <f>VLOOKUP($A1195,product_category,2, False)</f>
        <v>Beverages</v>
      </c>
      <c r="C1195" s="7">
        <v>9.06345736E8</v>
      </c>
      <c r="D1195" s="9">
        <v>41200.0</v>
      </c>
      <c r="E1195" s="10">
        <f t="shared" si="1"/>
        <v>10</v>
      </c>
      <c r="F1195" s="10" t="str">
        <f t="shared" si="2"/>
        <v>Oct</v>
      </c>
      <c r="G1195" s="11">
        <f t="shared" si="3"/>
        <v>18</v>
      </c>
      <c r="H1195" s="7">
        <f t="shared" si="4"/>
        <v>2012</v>
      </c>
      <c r="I1195" s="9">
        <v>41234.0</v>
      </c>
      <c r="J1195" s="11">
        <f t="shared" si="5"/>
        <v>34</v>
      </c>
      <c r="K1195" s="7" t="s">
        <v>198</v>
      </c>
      <c r="L1195" s="7" t="s">
        <v>534</v>
      </c>
      <c r="M1195" s="7" t="str">
        <f>VLOOKUP(L1195,countries, 2,false)</f>
        <v>Netherlands</v>
      </c>
      <c r="N1195" s="7" t="str">
        <f>VLOOKUP(L1195,countries, 4,false)</f>
        <v>Europe</v>
      </c>
      <c r="O1195" s="7" t="str">
        <f>VLOOKUP(L1195,countries, 5,false)</f>
        <v>Western Europe</v>
      </c>
      <c r="P1195" s="7" t="s">
        <v>212</v>
      </c>
      <c r="Q1195" s="7">
        <v>6699.0</v>
      </c>
      <c r="R1195" s="12">
        <v>47.45</v>
      </c>
      <c r="S1195" s="12">
        <v>31.79</v>
      </c>
      <c r="T1195" s="13">
        <f t="shared" si="6"/>
        <v>317867.55</v>
      </c>
      <c r="U1195" s="13">
        <f t="shared" si="7"/>
        <v>177694.72</v>
      </c>
      <c r="V1195" s="13">
        <f t="shared" si="8"/>
        <v>140172.83</v>
      </c>
      <c r="W1195" s="14">
        <f>Q1195/totals!B$2</f>
        <v>0.001018623212</v>
      </c>
      <c r="X1195" s="14">
        <f t="shared" si="9"/>
        <v>0.8899109925</v>
      </c>
      <c r="Y1195" s="14">
        <f>T1195/totals!B$5</f>
        <v>0.0001867469938</v>
      </c>
      <c r="Z1195" s="14">
        <f t="shared" si="10"/>
        <v>0.9127624061</v>
      </c>
      <c r="AA1195" s="14">
        <f>V1195/totals!B$4</f>
        <v>0.0002795012417</v>
      </c>
      <c r="AB1195" s="14">
        <f t="shared" si="11"/>
        <v>0.9061790188</v>
      </c>
    </row>
    <row r="1196">
      <c r="A1196" s="7">
        <v>2455.0</v>
      </c>
      <c r="B1196" s="7" t="str">
        <f>VLOOKUP($A1196,product_category,2, False)</f>
        <v>Clothes</v>
      </c>
      <c r="C1196" s="7">
        <v>9.06508815E8</v>
      </c>
      <c r="D1196" s="9">
        <v>41652.0</v>
      </c>
      <c r="E1196" s="10">
        <f t="shared" si="1"/>
        <v>1</v>
      </c>
      <c r="F1196" s="10" t="str">
        <f t="shared" si="2"/>
        <v>Jan</v>
      </c>
      <c r="G1196" s="11">
        <f t="shared" si="3"/>
        <v>13</v>
      </c>
      <c r="H1196" s="7">
        <f t="shared" si="4"/>
        <v>2014</v>
      </c>
      <c r="I1196" s="9">
        <v>41662.0</v>
      </c>
      <c r="J1196" s="11">
        <f t="shared" si="5"/>
        <v>10</v>
      </c>
      <c r="K1196" s="7" t="s">
        <v>382</v>
      </c>
      <c r="L1196" s="7" t="s">
        <v>222</v>
      </c>
      <c r="M1196" s="7" t="str">
        <f>VLOOKUP(L1196,countries, 2,false)</f>
        <v>Croatia</v>
      </c>
      <c r="N1196" s="7" t="str">
        <f>VLOOKUP(L1196,countries, 4,false)</f>
        <v>Europe</v>
      </c>
      <c r="O1196" s="7" t="str">
        <f>VLOOKUP(L1196,countries, 5,false)</f>
        <v>Southern Europe</v>
      </c>
      <c r="P1196" s="7" t="s">
        <v>129</v>
      </c>
      <c r="Q1196" s="7">
        <v>4958.0</v>
      </c>
      <c r="R1196" s="12">
        <v>109.28</v>
      </c>
      <c r="S1196" s="12">
        <v>35.84</v>
      </c>
      <c r="T1196" s="13">
        <f t="shared" si="6"/>
        <v>541810.24</v>
      </c>
      <c r="U1196" s="13">
        <f t="shared" si="7"/>
        <v>337254.4</v>
      </c>
      <c r="V1196" s="13">
        <f t="shared" si="8"/>
        <v>204555.84</v>
      </c>
      <c r="W1196" s="14">
        <f>Q1196/totals!B$2</f>
        <v>0.0007538936983</v>
      </c>
      <c r="X1196" s="14">
        <f t="shared" si="9"/>
        <v>0.8906648862</v>
      </c>
      <c r="Y1196" s="14">
        <f>T1196/totals!B$5</f>
        <v>0.000318313189</v>
      </c>
      <c r="Z1196" s="14">
        <f t="shared" si="10"/>
        <v>0.9130807193</v>
      </c>
      <c r="AA1196" s="14">
        <f>V1196/totals!B$4</f>
        <v>0.0004078794106</v>
      </c>
      <c r="AB1196" s="14">
        <f t="shared" si="11"/>
        <v>0.9065868982</v>
      </c>
    </row>
    <row r="1197">
      <c r="A1197" s="7">
        <v>2455.0</v>
      </c>
      <c r="B1197" s="7" t="str">
        <f>VLOOKUP($A1197,product_category,2, False)</f>
        <v>Clothes</v>
      </c>
      <c r="C1197" s="7">
        <v>9.06794202E8</v>
      </c>
      <c r="D1197" s="9">
        <v>41751.0</v>
      </c>
      <c r="E1197" s="10">
        <f t="shared" si="1"/>
        <v>4</v>
      </c>
      <c r="F1197" s="10" t="str">
        <f t="shared" si="2"/>
        <v>Apr</v>
      </c>
      <c r="G1197" s="11">
        <f t="shared" si="3"/>
        <v>22</v>
      </c>
      <c r="H1197" s="7">
        <f t="shared" si="4"/>
        <v>2014</v>
      </c>
      <c r="I1197" s="9">
        <v>41770.0</v>
      </c>
      <c r="J1197" s="11">
        <f t="shared" si="5"/>
        <v>19</v>
      </c>
      <c r="K1197" s="7" t="s">
        <v>322</v>
      </c>
      <c r="L1197" s="7" t="s">
        <v>283</v>
      </c>
      <c r="M1197" s="7" t="str">
        <f>VLOOKUP(L1197,countries, 2,false)</f>
        <v>Finland</v>
      </c>
      <c r="N1197" s="7" t="str">
        <f>VLOOKUP(L1197,countries, 4,false)</f>
        <v>Europe</v>
      </c>
      <c r="O1197" s="7" t="str">
        <f>VLOOKUP(L1197,countries, 5,false)</f>
        <v>Northern Europe</v>
      </c>
      <c r="P1197" s="7" t="s">
        <v>129</v>
      </c>
      <c r="Q1197" s="7">
        <v>9410.0</v>
      </c>
      <c r="R1197" s="12">
        <v>109.28</v>
      </c>
      <c r="S1197" s="12">
        <v>35.84</v>
      </c>
      <c r="T1197" s="13">
        <f t="shared" si="6"/>
        <v>1028324.8</v>
      </c>
      <c r="U1197" s="13">
        <f t="shared" si="7"/>
        <v>1582025.22</v>
      </c>
      <c r="V1197" s="13">
        <f t="shared" si="8"/>
        <v>-553700.42</v>
      </c>
      <c r="W1197" s="14">
        <f>Q1197/totals!B$2</f>
        <v>0.001430847055</v>
      </c>
      <c r="X1197" s="14">
        <f t="shared" si="9"/>
        <v>0.8920957332</v>
      </c>
      <c r="Y1197" s="14">
        <f>T1197/totals!B$5</f>
        <v>0.0006041401994</v>
      </c>
      <c r="Z1197" s="14">
        <f t="shared" si="10"/>
        <v>0.9136848595</v>
      </c>
      <c r="AA1197" s="14">
        <f>V1197/totals!B$4</f>
        <v>-0.001104065281</v>
      </c>
      <c r="AB1197" s="14">
        <f t="shared" si="11"/>
        <v>0.9054828329</v>
      </c>
    </row>
    <row r="1198">
      <c r="A1198" s="7">
        <v>8875.0</v>
      </c>
      <c r="B1198" s="7" t="str">
        <f>VLOOKUP($A1198,product_category,2, False)</f>
        <v>Meat</v>
      </c>
      <c r="C1198" s="7">
        <v>9.07047402E8</v>
      </c>
      <c r="D1198" s="9">
        <v>40342.0</v>
      </c>
      <c r="E1198" s="10">
        <f t="shared" si="1"/>
        <v>6</v>
      </c>
      <c r="F1198" s="10" t="str">
        <f t="shared" si="2"/>
        <v>Jun</v>
      </c>
      <c r="G1198" s="11">
        <f t="shared" si="3"/>
        <v>13</v>
      </c>
      <c r="H1198" s="7">
        <f t="shared" si="4"/>
        <v>2010</v>
      </c>
      <c r="I1198" s="9">
        <v>40391.0</v>
      </c>
      <c r="J1198" s="11">
        <f t="shared" si="5"/>
        <v>49</v>
      </c>
      <c r="K1198" s="7" t="s">
        <v>110</v>
      </c>
      <c r="L1198" s="7" t="e">
        <v>#N/A</v>
      </c>
      <c r="M1198" s="7"/>
      <c r="N1198" s="7"/>
      <c r="O1198" s="7"/>
      <c r="P1198" s="7" t="s">
        <v>129</v>
      </c>
      <c r="Q1198" s="7">
        <v>4338.0</v>
      </c>
      <c r="R1198" s="12">
        <v>421.89</v>
      </c>
      <c r="S1198" s="12">
        <v>364.69</v>
      </c>
      <c r="T1198" s="13">
        <f t="shared" si="6"/>
        <v>1830158.82</v>
      </c>
      <c r="U1198" s="13">
        <f t="shared" si="7"/>
        <v>985644.19</v>
      </c>
      <c r="V1198" s="13">
        <f t="shared" si="8"/>
        <v>844514.63</v>
      </c>
      <c r="W1198" s="14">
        <f>Q1198/totals!B$2</f>
        <v>0.000659618972</v>
      </c>
      <c r="X1198" s="14">
        <f t="shared" si="9"/>
        <v>0.8927553522</v>
      </c>
      <c r="Y1198" s="14">
        <f>T1198/totals!B$5</f>
        <v>0.001075217202</v>
      </c>
      <c r="Z1198" s="14">
        <f t="shared" si="10"/>
        <v>0.9147600767</v>
      </c>
      <c r="AA1198" s="14">
        <f>V1198/totals!B$4</f>
        <v>0.001683941801</v>
      </c>
      <c r="AB1198" s="14">
        <f t="shared" si="11"/>
        <v>0.9071667747</v>
      </c>
    </row>
    <row r="1199">
      <c r="A1199" s="7">
        <v>8293.0</v>
      </c>
      <c r="B1199" s="7" t="str">
        <f>VLOOKUP($A1199,product_category,2, False)</f>
        <v>Cosmetics</v>
      </c>
      <c r="C1199" s="7">
        <v>9.07349526E8</v>
      </c>
      <c r="D1199" s="9">
        <v>41004.0</v>
      </c>
      <c r="E1199" s="10">
        <f t="shared" si="1"/>
        <v>4</v>
      </c>
      <c r="F1199" s="10" t="str">
        <f t="shared" si="2"/>
        <v>Apr</v>
      </c>
      <c r="G1199" s="11">
        <f t="shared" si="3"/>
        <v>5</v>
      </c>
      <c r="H1199" s="7">
        <f t="shared" si="4"/>
        <v>2012</v>
      </c>
      <c r="I1199" s="9">
        <v>41045.0</v>
      </c>
      <c r="J1199" s="11">
        <f t="shared" si="5"/>
        <v>41</v>
      </c>
      <c r="K1199" s="7" t="s">
        <v>198</v>
      </c>
      <c r="L1199" s="7" t="s">
        <v>367</v>
      </c>
      <c r="M1199" s="7" t="str">
        <f>VLOOKUP(L1199,countries, 2,false)</f>
        <v>Iceland</v>
      </c>
      <c r="N1199" s="7" t="str">
        <f>VLOOKUP(L1199,countries, 4,false)</f>
        <v>Europe</v>
      </c>
      <c r="O1199" s="7" t="str">
        <f>VLOOKUP(L1199,countries, 5,false)</f>
        <v>Northern Europe</v>
      </c>
      <c r="P1199" s="7" t="s">
        <v>129</v>
      </c>
      <c r="Q1199" s="7">
        <v>3743.0</v>
      </c>
      <c r="R1199" s="12">
        <v>437.2</v>
      </c>
      <c r="S1199" s="12">
        <v>263.33</v>
      </c>
      <c r="T1199" s="13">
        <f t="shared" si="6"/>
        <v>1636439.6</v>
      </c>
      <c r="U1199" s="13">
        <f t="shared" si="7"/>
        <v>595621.46</v>
      </c>
      <c r="V1199" s="13">
        <f t="shared" si="8"/>
        <v>1040818.14</v>
      </c>
      <c r="W1199" s="14">
        <f>Q1199/totals!B$2</f>
        <v>0.0005691456459</v>
      </c>
      <c r="X1199" s="14">
        <f t="shared" si="9"/>
        <v>0.8933244979</v>
      </c>
      <c r="Y1199" s="14">
        <f>T1199/totals!B$5</f>
        <v>0.0009614072773</v>
      </c>
      <c r="Z1199" s="14">
        <f t="shared" si="10"/>
        <v>0.915721484</v>
      </c>
      <c r="AA1199" s="14">
        <f>V1199/totals!B$4</f>
        <v>0.002075366264</v>
      </c>
      <c r="AB1199" s="14">
        <f t="shared" si="11"/>
        <v>0.909242141</v>
      </c>
    </row>
    <row r="1200">
      <c r="A1200" s="7">
        <v>2103.0</v>
      </c>
      <c r="B1200" s="7" t="str">
        <f>VLOOKUP($A1200,product_category,2, False)</f>
        <v>Cereal</v>
      </c>
      <c r="C1200" s="7">
        <v>9.07691991E8</v>
      </c>
      <c r="D1200" s="9">
        <v>41676.0</v>
      </c>
      <c r="E1200" s="10">
        <f t="shared" si="1"/>
        <v>2</v>
      </c>
      <c r="F1200" s="10" t="str">
        <f t="shared" si="2"/>
        <v>Feb</v>
      </c>
      <c r="G1200" s="11">
        <f t="shared" si="3"/>
        <v>6</v>
      </c>
      <c r="H1200" s="7">
        <f t="shared" si="4"/>
        <v>2014</v>
      </c>
      <c r="I1200" s="9">
        <v>41707.0</v>
      </c>
      <c r="J1200" s="11">
        <f t="shared" si="5"/>
        <v>31</v>
      </c>
      <c r="K1200" s="7" t="s">
        <v>110</v>
      </c>
      <c r="L1200" s="7" t="s">
        <v>451</v>
      </c>
      <c r="M1200" s="7" t="str">
        <f>VLOOKUP(L1200,countries, 2,false)</f>
        <v>Lithuania</v>
      </c>
      <c r="N1200" s="7" t="str">
        <f>VLOOKUP(L1200,countries, 4,false)</f>
        <v>Europe</v>
      </c>
      <c r="O1200" s="7" t="str">
        <f>VLOOKUP(L1200,countries, 5,false)</f>
        <v>Northern Europe</v>
      </c>
      <c r="P1200" s="7" t="s">
        <v>212</v>
      </c>
      <c r="Q1200" s="7">
        <v>5086.0</v>
      </c>
      <c r="R1200" s="12">
        <v>205.7</v>
      </c>
      <c r="S1200" s="12">
        <v>117.11</v>
      </c>
      <c r="T1200" s="13">
        <f t="shared" si="6"/>
        <v>1046190.2</v>
      </c>
      <c r="U1200" s="13">
        <f t="shared" si="7"/>
        <v>2280174.47</v>
      </c>
      <c r="V1200" s="13">
        <f t="shared" si="8"/>
        <v>-1233984.27</v>
      </c>
      <c r="W1200" s="14">
        <f>Q1200/totals!B$2</f>
        <v>0.0007733568675</v>
      </c>
      <c r="X1200" s="14">
        <f t="shared" si="9"/>
        <v>0.8940978547</v>
      </c>
      <c r="Y1200" s="14">
        <f>T1200/totals!B$5</f>
        <v>0.0006146361111</v>
      </c>
      <c r="Z1200" s="14">
        <f t="shared" si="10"/>
        <v>0.9163361201</v>
      </c>
      <c r="AA1200" s="14">
        <f>V1200/totals!B$4</f>
        <v>-0.002460534868</v>
      </c>
      <c r="AB1200" s="14">
        <f t="shared" si="11"/>
        <v>0.9067816061</v>
      </c>
    </row>
    <row r="1201">
      <c r="A1201" s="7">
        <v>8293.0</v>
      </c>
      <c r="B1201" s="7" t="str">
        <f>VLOOKUP($A1201,product_category,2, False)</f>
        <v>Cosmetics</v>
      </c>
      <c r="C1201" s="7">
        <v>9.10610234E8</v>
      </c>
      <c r="D1201" s="9">
        <v>42919.0</v>
      </c>
      <c r="E1201" s="10">
        <f t="shared" si="1"/>
        <v>7</v>
      </c>
      <c r="F1201" s="10" t="str">
        <f t="shared" si="2"/>
        <v>Jul</v>
      </c>
      <c r="G1201" s="11">
        <f t="shared" si="3"/>
        <v>3</v>
      </c>
      <c r="H1201" s="7">
        <f t="shared" si="4"/>
        <v>2017</v>
      </c>
      <c r="I1201" s="9">
        <v>42947.0</v>
      </c>
      <c r="J1201" s="11">
        <f t="shared" si="5"/>
        <v>28</v>
      </c>
      <c r="K1201" s="7" t="s">
        <v>322</v>
      </c>
      <c r="L1201" s="7" t="s">
        <v>702</v>
      </c>
      <c r="M1201" s="7" t="str">
        <f>VLOOKUP(L1201,countries, 2,false)</f>
        <v>Sweden</v>
      </c>
      <c r="N1201" s="7" t="str">
        <f>VLOOKUP(L1201,countries, 4,false)</f>
        <v>Europe</v>
      </c>
      <c r="O1201" s="7" t="str">
        <f>VLOOKUP(L1201,countries, 5,false)</f>
        <v>Northern Europe</v>
      </c>
      <c r="P1201" s="7" t="s">
        <v>129</v>
      </c>
      <c r="Q1201" s="7">
        <v>8659.0</v>
      </c>
      <c r="R1201" s="12">
        <v>437.2</v>
      </c>
      <c r="S1201" s="12">
        <v>263.33</v>
      </c>
      <c r="T1201" s="13">
        <f t="shared" si="6"/>
        <v>3785714.8</v>
      </c>
      <c r="U1201" s="13">
        <f t="shared" si="7"/>
        <v>10077.43</v>
      </c>
      <c r="V1201" s="13">
        <f t="shared" si="8"/>
        <v>3775637.37</v>
      </c>
      <c r="W1201" s="14">
        <f>Q1201/totals!B$2</f>
        <v>0.001316652992</v>
      </c>
      <c r="X1201" s="14">
        <f t="shared" si="9"/>
        <v>0.8954145077</v>
      </c>
      <c r="Y1201" s="14">
        <f>T1201/totals!B$5</f>
        <v>0.00222410516</v>
      </c>
      <c r="Z1201" s="14">
        <f t="shared" si="10"/>
        <v>0.9185602253</v>
      </c>
      <c r="AA1201" s="14">
        <f>V1201/totals!B$4</f>
        <v>0.007528529839</v>
      </c>
      <c r="AB1201" s="14">
        <f t="shared" si="11"/>
        <v>0.9143101359</v>
      </c>
    </row>
    <row r="1202">
      <c r="A1202" s="7">
        <v>1270.0</v>
      </c>
      <c r="B1202" s="7" t="str">
        <f>VLOOKUP($A1202,product_category,2, False)</f>
        <v>Beverages</v>
      </c>
      <c r="C1202" s="7">
        <v>9.1088618E8</v>
      </c>
      <c r="D1202" s="9">
        <v>42134.0</v>
      </c>
      <c r="E1202" s="10">
        <f t="shared" si="1"/>
        <v>5</v>
      </c>
      <c r="F1202" s="10" t="str">
        <f t="shared" si="2"/>
        <v>May</v>
      </c>
      <c r="G1202" s="11">
        <f t="shared" si="3"/>
        <v>10</v>
      </c>
      <c r="H1202" s="7">
        <f t="shared" si="4"/>
        <v>2015</v>
      </c>
      <c r="I1202" s="9">
        <v>42165.0</v>
      </c>
      <c r="J1202" s="11">
        <f t="shared" si="5"/>
        <v>31</v>
      </c>
      <c r="K1202" s="7" t="s">
        <v>110</v>
      </c>
      <c r="L1202" s="7" t="s">
        <v>609</v>
      </c>
      <c r="M1202" s="7" t="str">
        <f>VLOOKUP(L1202,countries, 2,false)</f>
        <v>Romania</v>
      </c>
      <c r="N1202" s="7" t="str">
        <f>VLOOKUP(L1202,countries, 4,false)</f>
        <v>Europe</v>
      </c>
      <c r="O1202" s="7" t="str">
        <f>VLOOKUP(L1202,countries, 5,false)</f>
        <v>Eastern Europe</v>
      </c>
      <c r="P1202" s="7" t="s">
        <v>129</v>
      </c>
      <c r="Q1202" s="7">
        <v>317.0</v>
      </c>
      <c r="R1202" s="12">
        <v>47.45</v>
      </c>
      <c r="S1202" s="12">
        <v>31.79</v>
      </c>
      <c r="T1202" s="13">
        <f t="shared" si="6"/>
        <v>15041.65</v>
      </c>
      <c r="U1202" s="13">
        <f t="shared" si="7"/>
        <v>53574.64</v>
      </c>
      <c r="V1202" s="13">
        <f t="shared" si="8"/>
        <v>-38532.99</v>
      </c>
      <c r="W1202" s="14">
        <f>Q1202/totals!B$2</f>
        <v>0.00004820175521</v>
      </c>
      <c r="X1202" s="14">
        <f t="shared" si="9"/>
        <v>0.8954627095</v>
      </c>
      <c r="Y1202" s="14">
        <f>T1202/totals!B$5</f>
        <v>0.000008836960297</v>
      </c>
      <c r="Z1202" s="14">
        <f t="shared" si="10"/>
        <v>0.9185690622</v>
      </c>
      <c r="AA1202" s="14">
        <f>V1202/totals!B$4</f>
        <v>-0.00007683385256</v>
      </c>
      <c r="AB1202" s="14">
        <f t="shared" si="11"/>
        <v>0.9142333021</v>
      </c>
    </row>
    <row r="1203">
      <c r="A1203" s="7">
        <v>4594.0</v>
      </c>
      <c r="B1203" s="7" t="str">
        <f>VLOOKUP($A1203,product_category,2, False)</f>
        <v>Fruits</v>
      </c>
      <c r="C1203" s="7">
        <v>9.11891257E8</v>
      </c>
      <c r="D1203" s="9">
        <v>41555.0</v>
      </c>
      <c r="E1203" s="10">
        <f t="shared" si="1"/>
        <v>10</v>
      </c>
      <c r="F1203" s="10" t="str">
        <f t="shared" si="2"/>
        <v>Oct</v>
      </c>
      <c r="G1203" s="11">
        <f t="shared" si="3"/>
        <v>8</v>
      </c>
      <c r="H1203" s="7">
        <f t="shared" si="4"/>
        <v>2013</v>
      </c>
      <c r="I1203" s="9">
        <v>41579.0</v>
      </c>
      <c r="J1203" s="11">
        <f t="shared" si="5"/>
        <v>24</v>
      </c>
      <c r="K1203" s="7" t="s">
        <v>198</v>
      </c>
      <c r="L1203" s="7" t="s">
        <v>155</v>
      </c>
      <c r="M1203" s="7" t="str">
        <f>VLOOKUP(L1203,countries, 2,false)</f>
        <v>Bulgaria</v>
      </c>
      <c r="N1203" s="7" t="str">
        <f>VLOOKUP(L1203,countries, 4,false)</f>
        <v>Europe</v>
      </c>
      <c r="O1203" s="7" t="str">
        <f>VLOOKUP(L1203,countries, 5,false)</f>
        <v>Eastern Europe</v>
      </c>
      <c r="P1203" s="7" t="s">
        <v>212</v>
      </c>
      <c r="Q1203" s="7">
        <v>7742.0</v>
      </c>
      <c r="R1203" s="12">
        <v>9.33</v>
      </c>
      <c r="S1203" s="12">
        <v>6.92</v>
      </c>
      <c r="T1203" s="13">
        <f t="shared" si="6"/>
        <v>72232.86</v>
      </c>
      <c r="U1203" s="13">
        <f t="shared" si="7"/>
        <v>445992.9</v>
      </c>
      <c r="V1203" s="13">
        <f t="shared" si="8"/>
        <v>-373760.04</v>
      </c>
      <c r="W1203" s="14">
        <f>Q1203/totals!B$2</f>
        <v>0.00117721763</v>
      </c>
      <c r="X1203" s="14">
        <f t="shared" si="9"/>
        <v>0.8966399271</v>
      </c>
      <c r="Y1203" s="14">
        <f>T1203/totals!B$5</f>
        <v>0.00004243676165</v>
      </c>
      <c r="Z1203" s="14">
        <f t="shared" si="10"/>
        <v>0.918611499</v>
      </c>
      <c r="AA1203" s="14">
        <f>V1203/totals!B$4</f>
        <v>-0.0007452685039</v>
      </c>
      <c r="AB1203" s="14">
        <f t="shared" si="11"/>
        <v>0.9134880336</v>
      </c>
    </row>
    <row r="1204">
      <c r="A1204" s="7">
        <v>3127.0</v>
      </c>
      <c r="B1204" s="7" t="str">
        <f>VLOOKUP($A1204,product_category,2, False)</f>
        <v>Personal Care</v>
      </c>
      <c r="C1204" s="7">
        <v>9.13074433E8</v>
      </c>
      <c r="D1204" s="9">
        <v>41580.0</v>
      </c>
      <c r="E1204" s="10">
        <f t="shared" si="1"/>
        <v>11</v>
      </c>
      <c r="F1204" s="10" t="str">
        <f t="shared" si="2"/>
        <v>Nov</v>
      </c>
      <c r="G1204" s="11">
        <f t="shared" si="3"/>
        <v>2</v>
      </c>
      <c r="H1204" s="7">
        <f t="shared" si="4"/>
        <v>2013</v>
      </c>
      <c r="I1204" s="9">
        <v>41625.0</v>
      </c>
      <c r="J1204" s="11">
        <f t="shared" si="5"/>
        <v>45</v>
      </c>
      <c r="K1204" s="7" t="s">
        <v>382</v>
      </c>
      <c r="L1204" s="7" t="s">
        <v>432</v>
      </c>
      <c r="M1204" s="7" t="str">
        <f>VLOOKUP(L1204,countries, 2,false)</f>
        <v>Latvia</v>
      </c>
      <c r="N1204" s="7" t="str">
        <f>VLOOKUP(L1204,countries, 4,false)</f>
        <v>Europe</v>
      </c>
      <c r="O1204" s="7" t="str">
        <f>VLOOKUP(L1204,countries, 5,false)</f>
        <v>Northern Europe</v>
      </c>
      <c r="P1204" s="7" t="s">
        <v>212</v>
      </c>
      <c r="Q1204" s="7">
        <v>7870.0</v>
      </c>
      <c r="R1204" s="12">
        <v>81.73</v>
      </c>
      <c r="S1204" s="12">
        <v>56.67</v>
      </c>
      <c r="T1204" s="13">
        <f t="shared" si="6"/>
        <v>643215.1</v>
      </c>
      <c r="U1204" s="13">
        <f t="shared" si="7"/>
        <v>653889.17</v>
      </c>
      <c r="V1204" s="13">
        <f t="shared" si="8"/>
        <v>-10674.07</v>
      </c>
      <c r="W1204" s="14">
        <f>Q1204/totals!B$2</f>
        <v>0.0011966808</v>
      </c>
      <c r="X1204" s="14">
        <f t="shared" si="9"/>
        <v>0.8978366079</v>
      </c>
      <c r="Y1204" s="14">
        <f>T1204/totals!B$5</f>
        <v>0.000377888483</v>
      </c>
      <c r="Z1204" s="14">
        <f t="shared" si="10"/>
        <v>0.9189893875</v>
      </c>
      <c r="AA1204" s="14">
        <f>V1204/totals!B$4</f>
        <v>-0.0000212838381</v>
      </c>
      <c r="AB1204" s="14">
        <f t="shared" si="11"/>
        <v>0.9134667497</v>
      </c>
    </row>
    <row r="1205">
      <c r="A1205" s="7">
        <v>8875.0</v>
      </c>
      <c r="B1205" s="7" t="str">
        <f>VLOOKUP($A1205,product_category,2, False)</f>
        <v>Meat</v>
      </c>
      <c r="C1205" s="7">
        <v>9.13729751E8</v>
      </c>
      <c r="D1205" s="9">
        <v>40651.0</v>
      </c>
      <c r="E1205" s="10">
        <f t="shared" si="1"/>
        <v>4</v>
      </c>
      <c r="F1205" s="10" t="str">
        <f t="shared" si="2"/>
        <v>Apr</v>
      </c>
      <c r="G1205" s="11">
        <f t="shared" si="3"/>
        <v>18</v>
      </c>
      <c r="H1205" s="7">
        <f t="shared" si="4"/>
        <v>2011</v>
      </c>
      <c r="I1205" s="9">
        <v>40672.0</v>
      </c>
      <c r="J1205" s="11">
        <f t="shared" si="5"/>
        <v>21</v>
      </c>
      <c r="K1205" s="7" t="s">
        <v>110</v>
      </c>
      <c r="L1205" s="7" t="s">
        <v>304</v>
      </c>
      <c r="M1205" s="7" t="str">
        <f>VLOOKUP(L1205,countries, 2,false)</f>
        <v>Georgia</v>
      </c>
      <c r="N1205" s="7" t="str">
        <f>VLOOKUP(L1205,countries, 4,false)</f>
        <v>Asia</v>
      </c>
      <c r="O1205" s="7" t="str">
        <f>VLOOKUP(L1205,countries, 5,false)</f>
        <v>Western Asia</v>
      </c>
      <c r="P1205" s="7" t="s">
        <v>129</v>
      </c>
      <c r="Q1205" s="7">
        <v>1793.0</v>
      </c>
      <c r="R1205" s="12">
        <v>421.89</v>
      </c>
      <c r="S1205" s="12">
        <v>364.69</v>
      </c>
      <c r="T1205" s="13">
        <f t="shared" si="6"/>
        <v>756448.77</v>
      </c>
      <c r="U1205" s="13">
        <f t="shared" si="7"/>
        <v>4476.61</v>
      </c>
      <c r="V1205" s="13">
        <f t="shared" si="8"/>
        <v>751972.16</v>
      </c>
      <c r="W1205" s="14">
        <f>Q1205/totals!B$2</f>
        <v>0.0002726364262</v>
      </c>
      <c r="X1205" s="14">
        <f t="shared" si="9"/>
        <v>0.8981092443</v>
      </c>
      <c r="Y1205" s="14">
        <f>T1205/totals!B$5</f>
        <v>0.0004444131958</v>
      </c>
      <c r="Z1205" s="14">
        <f t="shared" si="10"/>
        <v>0.9194338007</v>
      </c>
      <c r="AA1205" s="14">
        <f>V1205/totals!B$4</f>
        <v>0.001499414348</v>
      </c>
      <c r="AB1205" s="14">
        <f t="shared" si="11"/>
        <v>0.9149661641</v>
      </c>
    </row>
    <row r="1206">
      <c r="A1206" s="7">
        <v>8293.0</v>
      </c>
      <c r="B1206" s="7" t="str">
        <f>VLOOKUP($A1206,product_category,2, False)</f>
        <v>Cosmetics</v>
      </c>
      <c r="C1206" s="7">
        <v>9.16089236E8</v>
      </c>
      <c r="D1206" s="9">
        <v>41817.0</v>
      </c>
      <c r="E1206" s="10">
        <f t="shared" si="1"/>
        <v>6</v>
      </c>
      <c r="F1206" s="10" t="str">
        <f t="shared" si="2"/>
        <v>Jun</v>
      </c>
      <c r="G1206" s="11">
        <f t="shared" si="3"/>
        <v>27</v>
      </c>
      <c r="H1206" s="7">
        <f t="shared" si="4"/>
        <v>2014</v>
      </c>
      <c r="I1206" s="9">
        <v>41848.0</v>
      </c>
      <c r="J1206" s="11">
        <f t="shared" si="5"/>
        <v>31</v>
      </c>
      <c r="K1206" s="7" t="s">
        <v>198</v>
      </c>
      <c r="L1206" s="7" t="s">
        <v>113</v>
      </c>
      <c r="M1206" s="7" t="str">
        <f>VLOOKUP(L1206,countries, 2,false)</f>
        <v>Belgium</v>
      </c>
      <c r="N1206" s="7" t="str">
        <f>VLOOKUP(L1206,countries, 4,false)</f>
        <v>Europe</v>
      </c>
      <c r="O1206" s="7" t="str">
        <f>VLOOKUP(L1206,countries, 5,false)</f>
        <v>Western Europe</v>
      </c>
      <c r="P1206" s="7" t="s">
        <v>212</v>
      </c>
      <c r="Q1206" s="7">
        <v>17.0</v>
      </c>
      <c r="R1206" s="12">
        <v>437.2</v>
      </c>
      <c r="S1206" s="12">
        <v>263.33</v>
      </c>
      <c r="T1206" s="13">
        <f t="shared" si="6"/>
        <v>7432.4</v>
      </c>
      <c r="U1206" s="13">
        <f t="shared" si="7"/>
        <v>499941.12</v>
      </c>
      <c r="V1206" s="13">
        <f t="shared" si="8"/>
        <v>-492508.72</v>
      </c>
      <c r="W1206" s="14">
        <f>Q1206/totals!B$2</f>
        <v>0.000002584952172</v>
      </c>
      <c r="X1206" s="14">
        <f t="shared" si="9"/>
        <v>0.8981118293</v>
      </c>
      <c r="Y1206" s="14">
        <f>T1206/totals!B$5</f>
        <v>0.000004366530514</v>
      </c>
      <c r="Z1206" s="14">
        <f t="shared" si="10"/>
        <v>0.9194381672</v>
      </c>
      <c r="AA1206" s="14">
        <f>V1206/totals!B$4</f>
        <v>-0.0009820505073</v>
      </c>
      <c r="AB1206" s="14">
        <f t="shared" si="11"/>
        <v>0.9139841136</v>
      </c>
    </row>
    <row r="1207">
      <c r="A1207" s="7">
        <v>7331.0</v>
      </c>
      <c r="B1207" s="7" t="str">
        <f>VLOOKUP($A1207,product_category,2, False)</f>
        <v>Baby Food</v>
      </c>
      <c r="C1207" s="7">
        <v>9.17485272E8</v>
      </c>
      <c r="D1207" s="9">
        <v>40422.0</v>
      </c>
      <c r="E1207" s="10">
        <f t="shared" si="1"/>
        <v>9</v>
      </c>
      <c r="F1207" s="10" t="str">
        <f t="shared" si="2"/>
        <v>Sep</v>
      </c>
      <c r="G1207" s="11">
        <f t="shared" si="3"/>
        <v>1</v>
      </c>
      <c r="H1207" s="7">
        <f t="shared" si="4"/>
        <v>2010</v>
      </c>
      <c r="I1207" s="9">
        <v>40454.0</v>
      </c>
      <c r="J1207" s="11">
        <f t="shared" si="5"/>
        <v>32</v>
      </c>
      <c r="K1207" s="7" t="s">
        <v>322</v>
      </c>
      <c r="L1207" s="7" t="s">
        <v>432</v>
      </c>
      <c r="M1207" s="7" t="str">
        <f>VLOOKUP(L1207,countries, 2,false)</f>
        <v>Latvia</v>
      </c>
      <c r="N1207" s="7" t="str">
        <f>VLOOKUP(L1207,countries, 4,false)</f>
        <v>Europe</v>
      </c>
      <c r="O1207" s="7" t="str">
        <f>VLOOKUP(L1207,countries, 5,false)</f>
        <v>Northern Europe</v>
      </c>
      <c r="P1207" s="7" t="s">
        <v>129</v>
      </c>
      <c r="Q1207" s="7">
        <v>3136.0</v>
      </c>
      <c r="R1207" s="12">
        <v>255.28</v>
      </c>
      <c r="S1207" s="12">
        <v>159.42</v>
      </c>
      <c r="T1207" s="13">
        <f t="shared" si="6"/>
        <v>800558.08</v>
      </c>
      <c r="U1207" s="13">
        <f t="shared" si="7"/>
        <v>805094.22</v>
      </c>
      <c r="V1207" s="13">
        <f t="shared" si="8"/>
        <v>-4536.14</v>
      </c>
      <c r="W1207" s="14">
        <f>Q1207/totals!B$2</f>
        <v>0.0004768476478</v>
      </c>
      <c r="X1207" s="14">
        <f t="shared" si="9"/>
        <v>0.8985886769</v>
      </c>
      <c r="Y1207" s="14">
        <f>T1207/totals!B$5</f>
        <v>0.0004703273888</v>
      </c>
      <c r="Z1207" s="14">
        <f t="shared" si="10"/>
        <v>0.9199084946</v>
      </c>
      <c r="AA1207" s="14">
        <f>V1207/totals!B$4</f>
        <v>-0.000009044953739</v>
      </c>
      <c r="AB1207" s="14">
        <f t="shared" si="11"/>
        <v>0.9139750686</v>
      </c>
    </row>
    <row r="1208">
      <c r="A1208" s="7">
        <v>5988.0</v>
      </c>
      <c r="B1208" s="7" t="str">
        <f>VLOOKUP($A1208,product_category,2, False)</f>
        <v>Vegetables</v>
      </c>
      <c r="C1208" s="7">
        <v>9.17639768E8</v>
      </c>
      <c r="D1208" s="9">
        <v>41578.0</v>
      </c>
      <c r="E1208" s="10">
        <f t="shared" si="1"/>
        <v>10</v>
      </c>
      <c r="F1208" s="10" t="str">
        <f t="shared" si="2"/>
        <v>Oct</v>
      </c>
      <c r="G1208" s="11">
        <f t="shared" si="3"/>
        <v>31</v>
      </c>
      <c r="H1208" s="7">
        <f t="shared" si="4"/>
        <v>2013</v>
      </c>
      <c r="I1208" s="9">
        <v>41622.0</v>
      </c>
      <c r="J1208" s="11">
        <f t="shared" si="5"/>
        <v>44</v>
      </c>
      <c r="K1208" s="7" t="s">
        <v>322</v>
      </c>
      <c r="L1208" s="7" t="s">
        <v>200</v>
      </c>
      <c r="M1208" s="7" t="str">
        <f>VLOOKUP(L1208,countries, 2,false)</f>
        <v>Serbia</v>
      </c>
      <c r="N1208" s="7" t="str">
        <f>VLOOKUP(L1208,countries, 4,false)</f>
        <v>Europe</v>
      </c>
      <c r="O1208" s="7" t="str">
        <f>VLOOKUP(L1208,countries, 5,false)</f>
        <v>Southern Europe</v>
      </c>
      <c r="P1208" s="7" t="s">
        <v>129</v>
      </c>
      <c r="Q1208" s="7">
        <v>8854.0</v>
      </c>
      <c r="R1208" s="12">
        <v>154.06</v>
      </c>
      <c r="S1208" s="12">
        <v>90.93</v>
      </c>
      <c r="T1208" s="13">
        <f t="shared" si="6"/>
        <v>1364047.24</v>
      </c>
      <c r="U1208" s="13">
        <f t="shared" si="7"/>
        <v>141137.92</v>
      </c>
      <c r="V1208" s="13">
        <f t="shared" si="8"/>
        <v>1222909.32</v>
      </c>
      <c r="W1208" s="14">
        <f>Q1208/totals!B$2</f>
        <v>0.001346303914</v>
      </c>
      <c r="X1208" s="14">
        <f t="shared" si="9"/>
        <v>0.8999349809</v>
      </c>
      <c r="Y1208" s="14">
        <f>T1208/totals!B$5</f>
        <v>0.0008013769302</v>
      </c>
      <c r="Z1208" s="14">
        <f t="shared" si="10"/>
        <v>0.9207098715</v>
      </c>
      <c r="AA1208" s="14">
        <f>V1208/totals!B$4</f>
        <v>0.002438451685</v>
      </c>
      <c r="AB1208" s="14">
        <f t="shared" si="11"/>
        <v>0.9164135203</v>
      </c>
    </row>
    <row r="1209">
      <c r="A1209" s="7">
        <v>2455.0</v>
      </c>
      <c r="B1209" s="7" t="str">
        <f>VLOOKUP($A1209,product_category,2, False)</f>
        <v>Clothes</v>
      </c>
      <c r="C1209" s="7">
        <v>9.17792117E8</v>
      </c>
      <c r="D1209" s="9">
        <v>41527.0</v>
      </c>
      <c r="E1209" s="10">
        <f t="shared" si="1"/>
        <v>9</v>
      </c>
      <c r="F1209" s="10" t="str">
        <f t="shared" si="2"/>
        <v>Sep</v>
      </c>
      <c r="G1209" s="11">
        <f t="shared" si="3"/>
        <v>10</v>
      </c>
      <c r="H1209" s="7">
        <f t="shared" si="4"/>
        <v>2013</v>
      </c>
      <c r="I1209" s="9">
        <v>41554.0</v>
      </c>
      <c r="J1209" s="11">
        <f t="shared" si="5"/>
        <v>27</v>
      </c>
      <c r="K1209" s="7" t="s">
        <v>110</v>
      </c>
      <c r="L1209" s="7" t="s">
        <v>367</v>
      </c>
      <c r="M1209" s="7" t="str">
        <f>VLOOKUP(L1209,countries, 2,false)</f>
        <v>Iceland</v>
      </c>
      <c r="N1209" s="7" t="str">
        <f>VLOOKUP(L1209,countries, 4,false)</f>
        <v>Europe</v>
      </c>
      <c r="O1209" s="7" t="str">
        <f>VLOOKUP(L1209,countries, 5,false)</f>
        <v>Northern Europe</v>
      </c>
      <c r="P1209" s="7" t="s">
        <v>129</v>
      </c>
      <c r="Q1209" s="7">
        <v>3938.0</v>
      </c>
      <c r="R1209" s="12">
        <v>109.28</v>
      </c>
      <c r="S1209" s="12">
        <v>35.84</v>
      </c>
      <c r="T1209" s="13">
        <f t="shared" si="6"/>
        <v>430344.64</v>
      </c>
      <c r="U1209" s="13">
        <f t="shared" si="7"/>
        <v>603502.41</v>
      </c>
      <c r="V1209" s="13">
        <f t="shared" si="8"/>
        <v>-173157.77</v>
      </c>
      <c r="W1209" s="14">
        <f>Q1209/totals!B$2</f>
        <v>0.0005987965679</v>
      </c>
      <c r="X1209" s="14">
        <f t="shared" si="9"/>
        <v>0.9005337774</v>
      </c>
      <c r="Y1209" s="14">
        <f>T1209/totals!B$5</f>
        <v>0.0002528272163</v>
      </c>
      <c r="Z1209" s="14">
        <f t="shared" si="10"/>
        <v>0.9209626987</v>
      </c>
      <c r="AA1209" s="14">
        <f>V1209/totals!B$4</f>
        <v>-0.0003452724164</v>
      </c>
      <c r="AB1209" s="14">
        <f t="shared" si="11"/>
        <v>0.9160682479</v>
      </c>
    </row>
    <row r="1210">
      <c r="A1210" s="7">
        <v>5988.0</v>
      </c>
      <c r="B1210" s="7" t="str">
        <f>VLOOKUP($A1210,product_category,2, False)</f>
        <v>Vegetables</v>
      </c>
      <c r="C1210" s="7">
        <v>9.17835032E8</v>
      </c>
      <c r="D1210" s="9">
        <v>40772.0</v>
      </c>
      <c r="E1210" s="10">
        <f t="shared" si="1"/>
        <v>8</v>
      </c>
      <c r="F1210" s="10" t="str">
        <f t="shared" si="2"/>
        <v>Aug</v>
      </c>
      <c r="G1210" s="11">
        <f t="shared" si="3"/>
        <v>17</v>
      </c>
      <c r="H1210" s="7">
        <f t="shared" si="4"/>
        <v>2011</v>
      </c>
      <c r="I1210" s="9">
        <v>40822.0</v>
      </c>
      <c r="J1210" s="11">
        <f t="shared" si="5"/>
        <v>50</v>
      </c>
      <c r="K1210" s="7" t="s">
        <v>198</v>
      </c>
      <c r="L1210" s="7" t="s">
        <v>88</v>
      </c>
      <c r="M1210" s="7" t="str">
        <f>VLOOKUP(L1210,countries, 2,false)</f>
        <v>Austria</v>
      </c>
      <c r="N1210" s="7" t="str">
        <f>VLOOKUP(L1210,countries, 4,false)</f>
        <v>Europe</v>
      </c>
      <c r="O1210" s="7" t="str">
        <f>VLOOKUP(L1210,countries, 5,false)</f>
        <v>Western Europe</v>
      </c>
      <c r="P1210" s="7" t="s">
        <v>212</v>
      </c>
      <c r="Q1210" s="7">
        <v>6637.0</v>
      </c>
      <c r="R1210" s="12">
        <v>154.06</v>
      </c>
      <c r="S1210" s="12">
        <v>90.93</v>
      </c>
      <c r="T1210" s="13">
        <f t="shared" si="6"/>
        <v>1022496.22</v>
      </c>
      <c r="U1210" s="13">
        <f t="shared" si="7"/>
        <v>2988269.86</v>
      </c>
      <c r="V1210" s="13">
        <f t="shared" si="8"/>
        <v>-1965773.64</v>
      </c>
      <c r="W1210" s="14">
        <f>Q1210/totals!B$2</f>
        <v>0.001009195739</v>
      </c>
      <c r="X1210" s="14">
        <f t="shared" si="9"/>
        <v>0.9015429732</v>
      </c>
      <c r="Y1210" s="14">
        <f>T1210/totals!B$5</f>
        <v>0.0006007159121</v>
      </c>
      <c r="Z1210" s="14">
        <f t="shared" si="10"/>
        <v>0.9215634146</v>
      </c>
      <c r="AA1210" s="14">
        <f>V1210/totals!B$4</f>
        <v>-0.003919705219</v>
      </c>
      <c r="AB1210" s="14">
        <f t="shared" si="11"/>
        <v>0.9121485427</v>
      </c>
    </row>
    <row r="1211">
      <c r="A1211" s="7">
        <v>8875.0</v>
      </c>
      <c r="B1211" s="7" t="str">
        <f>VLOOKUP($A1211,product_category,2, False)</f>
        <v>Meat</v>
      </c>
      <c r="C1211" s="7">
        <v>9.17874085E8</v>
      </c>
      <c r="D1211" s="9">
        <v>41164.0</v>
      </c>
      <c r="E1211" s="10">
        <f t="shared" si="1"/>
        <v>9</v>
      </c>
      <c r="F1211" s="10" t="str">
        <f t="shared" si="2"/>
        <v>Sep</v>
      </c>
      <c r="G1211" s="11">
        <f t="shared" si="3"/>
        <v>12</v>
      </c>
      <c r="H1211" s="7">
        <f t="shared" si="4"/>
        <v>2012</v>
      </c>
      <c r="I1211" s="9">
        <v>41175.0</v>
      </c>
      <c r="J1211" s="11">
        <f t="shared" si="5"/>
        <v>11</v>
      </c>
      <c r="K1211" s="7" t="s">
        <v>110</v>
      </c>
      <c r="L1211" s="7" t="s">
        <v>111</v>
      </c>
      <c r="M1211" s="7" t="str">
        <f>VLOOKUP(L1211,countries, 2,false)</f>
        <v>Norway</v>
      </c>
      <c r="N1211" s="7" t="str">
        <f>VLOOKUP(L1211,countries, 4,false)</f>
        <v>Europe</v>
      </c>
      <c r="O1211" s="7" t="str">
        <f>VLOOKUP(L1211,countries, 5,false)</f>
        <v>Northern Europe</v>
      </c>
      <c r="P1211" s="7" t="s">
        <v>212</v>
      </c>
      <c r="Q1211" s="7">
        <v>8194.0</v>
      </c>
      <c r="R1211" s="12">
        <v>421.89</v>
      </c>
      <c r="S1211" s="12">
        <v>364.69</v>
      </c>
      <c r="T1211" s="13">
        <f t="shared" si="6"/>
        <v>3456966.66</v>
      </c>
      <c r="U1211" s="13">
        <f t="shared" si="7"/>
        <v>415844.46</v>
      </c>
      <c r="V1211" s="13">
        <f t="shared" si="8"/>
        <v>3041122.2</v>
      </c>
      <c r="W1211" s="14">
        <f>Q1211/totals!B$2</f>
        <v>0.001245946947</v>
      </c>
      <c r="X1211" s="14">
        <f t="shared" si="9"/>
        <v>0.9027889201</v>
      </c>
      <c r="Y1211" s="14">
        <f>T1211/totals!B$5</f>
        <v>0.002030965826</v>
      </c>
      <c r="Z1211" s="14">
        <f t="shared" si="10"/>
        <v>0.9235943805</v>
      </c>
      <c r="AA1211" s="14">
        <f>V1211/totals!B$4</f>
        <v>0.006063924308</v>
      </c>
      <c r="AB1211" s="14">
        <f t="shared" si="11"/>
        <v>0.918212467</v>
      </c>
    </row>
    <row r="1212">
      <c r="A1212" s="7">
        <v>3127.0</v>
      </c>
      <c r="B1212" s="7" t="str">
        <f>VLOOKUP($A1212,product_category,2, False)</f>
        <v>Personal Care</v>
      </c>
      <c r="C1212" s="7">
        <v>9.17904984E8</v>
      </c>
      <c r="D1212" s="9">
        <v>40289.0</v>
      </c>
      <c r="E1212" s="10">
        <f t="shared" si="1"/>
        <v>4</v>
      </c>
      <c r="F1212" s="10" t="str">
        <f t="shared" si="2"/>
        <v>Apr</v>
      </c>
      <c r="G1212" s="11">
        <f t="shared" si="3"/>
        <v>21</v>
      </c>
      <c r="H1212" s="7">
        <f t="shared" si="4"/>
        <v>2010</v>
      </c>
      <c r="I1212" s="9">
        <v>40292.0</v>
      </c>
      <c r="J1212" s="11">
        <f t="shared" si="5"/>
        <v>3</v>
      </c>
      <c r="K1212" s="7" t="s">
        <v>322</v>
      </c>
      <c r="L1212" s="7" t="s">
        <v>609</v>
      </c>
      <c r="M1212" s="7" t="str">
        <f>VLOOKUP(L1212,countries, 2,false)</f>
        <v>Romania</v>
      </c>
      <c r="N1212" s="7" t="str">
        <f>VLOOKUP(L1212,countries, 4,false)</f>
        <v>Europe</v>
      </c>
      <c r="O1212" s="7" t="str">
        <f>VLOOKUP(L1212,countries, 5,false)</f>
        <v>Eastern Europe</v>
      </c>
      <c r="P1212" s="7" t="s">
        <v>129</v>
      </c>
      <c r="Q1212" s="7">
        <v>7338.0</v>
      </c>
      <c r="R1212" s="12">
        <v>81.73</v>
      </c>
      <c r="S1212" s="12">
        <v>56.67</v>
      </c>
      <c r="T1212" s="13">
        <f t="shared" si="6"/>
        <v>599734.74</v>
      </c>
      <c r="U1212" s="13">
        <f t="shared" si="7"/>
        <v>314049.12</v>
      </c>
      <c r="V1212" s="13">
        <f t="shared" si="8"/>
        <v>285685.62</v>
      </c>
      <c r="W1212" s="14">
        <f>Q1212/totals!B$2</f>
        <v>0.001115787002</v>
      </c>
      <c r="X1212" s="14">
        <f t="shared" si="9"/>
        <v>0.9039047071</v>
      </c>
      <c r="Y1212" s="14">
        <f>T1212/totals!B$5</f>
        <v>0.0003523437978</v>
      </c>
      <c r="Z1212" s="14">
        <f t="shared" si="10"/>
        <v>0.9239467243</v>
      </c>
      <c r="AA1212" s="14">
        <f>V1212/totals!B$4</f>
        <v>0.0005696502349</v>
      </c>
      <c r="AB1212" s="14">
        <f t="shared" si="11"/>
        <v>0.9187821172</v>
      </c>
    </row>
    <row r="1213">
      <c r="A1213" s="7">
        <v>8969.0</v>
      </c>
      <c r="B1213" s="7" t="str">
        <f>VLOOKUP($A1213,product_category,2, False)</f>
        <v>Snacks</v>
      </c>
      <c r="C1213" s="7">
        <v>9.18364179E8</v>
      </c>
      <c r="D1213" s="9">
        <v>41343.0</v>
      </c>
      <c r="E1213" s="10">
        <f t="shared" si="1"/>
        <v>3</v>
      </c>
      <c r="F1213" s="10" t="str">
        <f t="shared" si="2"/>
        <v>Mar</v>
      </c>
      <c r="G1213" s="11">
        <f t="shared" si="3"/>
        <v>10</v>
      </c>
      <c r="H1213" s="7">
        <f t="shared" si="4"/>
        <v>2013</v>
      </c>
      <c r="I1213" s="9">
        <v>41375.0</v>
      </c>
      <c r="J1213" s="11">
        <f t="shared" si="5"/>
        <v>32</v>
      </c>
      <c r="K1213" s="7" t="s">
        <v>382</v>
      </c>
      <c r="L1213" s="7" t="s">
        <v>283</v>
      </c>
      <c r="M1213" s="7" t="str">
        <f>VLOOKUP(L1213,countries, 2,false)</f>
        <v>Finland</v>
      </c>
      <c r="N1213" s="7" t="str">
        <f>VLOOKUP(L1213,countries, 4,false)</f>
        <v>Europe</v>
      </c>
      <c r="O1213" s="7" t="str">
        <f>VLOOKUP(L1213,countries, 5,false)</f>
        <v>Northern Europe</v>
      </c>
      <c r="P1213" s="7" t="s">
        <v>212</v>
      </c>
      <c r="Q1213" s="7">
        <v>3223.0</v>
      </c>
      <c r="R1213" s="12">
        <v>152.58</v>
      </c>
      <c r="S1213" s="12">
        <v>97.44</v>
      </c>
      <c r="T1213" s="13">
        <f t="shared" si="6"/>
        <v>491765.34</v>
      </c>
      <c r="U1213" s="13">
        <f t="shared" si="7"/>
        <v>33223.68</v>
      </c>
      <c r="V1213" s="13">
        <f t="shared" si="8"/>
        <v>458541.66</v>
      </c>
      <c r="W1213" s="14">
        <f>Q1213/totals!B$2</f>
        <v>0.0004900765207</v>
      </c>
      <c r="X1213" s="14">
        <f t="shared" si="9"/>
        <v>0.9043947836</v>
      </c>
      <c r="Y1213" s="14">
        <f>T1213/totals!B$5</f>
        <v>0.0002889118404</v>
      </c>
      <c r="Z1213" s="14">
        <f t="shared" si="10"/>
        <v>0.9242356361</v>
      </c>
      <c r="AA1213" s="14">
        <f>V1213/totals!B$4</f>
        <v>0.000914321009</v>
      </c>
      <c r="AB1213" s="14">
        <f t="shared" si="11"/>
        <v>0.9196964382</v>
      </c>
    </row>
    <row r="1214">
      <c r="A1214" s="7">
        <v>2455.0</v>
      </c>
      <c r="B1214" s="7" t="str">
        <f>VLOOKUP($A1214,product_category,2, False)</f>
        <v>Clothes</v>
      </c>
      <c r="C1214" s="7">
        <v>9.19133651E8</v>
      </c>
      <c r="D1214" s="9">
        <v>41561.0</v>
      </c>
      <c r="E1214" s="10">
        <f t="shared" si="1"/>
        <v>10</v>
      </c>
      <c r="F1214" s="10" t="str">
        <f t="shared" si="2"/>
        <v>Oct</v>
      </c>
      <c r="G1214" s="11">
        <f t="shared" si="3"/>
        <v>14</v>
      </c>
      <c r="H1214" s="7">
        <f t="shared" si="4"/>
        <v>2013</v>
      </c>
      <c r="I1214" s="9">
        <v>41582.0</v>
      </c>
      <c r="J1214" s="11">
        <f t="shared" si="5"/>
        <v>21</v>
      </c>
      <c r="K1214" s="7" t="s">
        <v>110</v>
      </c>
      <c r="L1214" s="7" t="s">
        <v>136</v>
      </c>
      <c r="M1214" s="7" t="str">
        <f>VLOOKUP(L1214,countries, 2,false)</f>
        <v>Bosnia and Herzegovina</v>
      </c>
      <c r="N1214" s="7" t="str">
        <f>VLOOKUP(L1214,countries, 4,false)</f>
        <v>Europe</v>
      </c>
      <c r="O1214" s="7" t="str">
        <f>VLOOKUP(L1214,countries, 5,false)</f>
        <v>Southern Europe</v>
      </c>
      <c r="P1214" s="7" t="s">
        <v>129</v>
      </c>
      <c r="Q1214" s="7">
        <v>927.0</v>
      </c>
      <c r="R1214" s="12">
        <v>109.28</v>
      </c>
      <c r="S1214" s="12">
        <v>35.84</v>
      </c>
      <c r="T1214" s="13">
        <f t="shared" si="6"/>
        <v>101302.56</v>
      </c>
      <c r="U1214" s="13">
        <f t="shared" si="7"/>
        <v>29195.48</v>
      </c>
      <c r="V1214" s="13">
        <f t="shared" si="8"/>
        <v>72107.08</v>
      </c>
      <c r="W1214" s="14">
        <f>Q1214/totals!B$2</f>
        <v>0.0001409559214</v>
      </c>
      <c r="X1214" s="14">
        <f t="shared" si="9"/>
        <v>0.9045357395</v>
      </c>
      <c r="Y1214" s="14">
        <f>T1214/totals!B$5</f>
        <v>0.00005951519286</v>
      </c>
      <c r="Z1214" s="14">
        <f t="shared" si="10"/>
        <v>0.9242951513</v>
      </c>
      <c r="AA1214" s="14">
        <f>V1214/totals!B$4</f>
        <v>0.0001437797781</v>
      </c>
      <c r="AB1214" s="14">
        <f t="shared" si="11"/>
        <v>0.919840218</v>
      </c>
    </row>
    <row r="1215">
      <c r="A1215" s="7">
        <v>4594.0</v>
      </c>
      <c r="B1215" s="7" t="str">
        <f>VLOOKUP($A1215,product_category,2, False)</f>
        <v>Fruits</v>
      </c>
      <c r="C1215" s="7">
        <v>9.19922006E8</v>
      </c>
      <c r="D1215" s="9">
        <v>40782.0</v>
      </c>
      <c r="E1215" s="10">
        <f t="shared" si="1"/>
        <v>8</v>
      </c>
      <c r="F1215" s="10" t="str">
        <f t="shared" si="2"/>
        <v>Aug</v>
      </c>
      <c r="G1215" s="11">
        <f t="shared" si="3"/>
        <v>27</v>
      </c>
      <c r="H1215" s="7">
        <f t="shared" si="4"/>
        <v>2011</v>
      </c>
      <c r="I1215" s="9">
        <v>40804.0</v>
      </c>
      <c r="J1215" s="11">
        <f t="shared" si="5"/>
        <v>22</v>
      </c>
      <c r="K1215" s="7" t="s">
        <v>322</v>
      </c>
      <c r="L1215" s="7" t="e">
        <v>#N/A</v>
      </c>
      <c r="M1215" s="7"/>
      <c r="N1215" s="7"/>
      <c r="O1215" s="7"/>
      <c r="P1215" s="7" t="s">
        <v>129</v>
      </c>
      <c r="Q1215" s="7">
        <v>4219.0</v>
      </c>
      <c r="R1215" s="12">
        <v>9.33</v>
      </c>
      <c r="S1215" s="12">
        <v>6.92</v>
      </c>
      <c r="T1215" s="13">
        <f t="shared" si="6"/>
        <v>39363.27</v>
      </c>
      <c r="U1215" s="13">
        <f t="shared" si="7"/>
        <v>231213.46</v>
      </c>
      <c r="V1215" s="13">
        <f t="shared" si="8"/>
        <v>-191850.19</v>
      </c>
      <c r="W1215" s="14">
        <f>Q1215/totals!B$2</f>
        <v>0.0006415243068</v>
      </c>
      <c r="X1215" s="14">
        <f t="shared" si="9"/>
        <v>0.9051772639</v>
      </c>
      <c r="Y1215" s="14">
        <f>T1215/totals!B$5</f>
        <v>0.00002312589737</v>
      </c>
      <c r="Z1215" s="14">
        <f t="shared" si="10"/>
        <v>0.9243182772</v>
      </c>
      <c r="AA1215" s="14">
        <f>V1215/totals!B$4</f>
        <v>-0.000382544651</v>
      </c>
      <c r="AB1215" s="14">
        <f t="shared" si="11"/>
        <v>0.9194576734</v>
      </c>
    </row>
    <row r="1216">
      <c r="A1216" s="7">
        <v>8875.0</v>
      </c>
      <c r="B1216" s="7" t="str">
        <f>VLOOKUP($A1216,product_category,2, False)</f>
        <v>Meat</v>
      </c>
      <c r="C1216" s="7">
        <v>9.2001127E8</v>
      </c>
      <c r="D1216" s="9">
        <v>42864.0</v>
      </c>
      <c r="E1216" s="10">
        <f t="shared" si="1"/>
        <v>5</v>
      </c>
      <c r="F1216" s="10" t="str">
        <f t="shared" si="2"/>
        <v>May</v>
      </c>
      <c r="G1216" s="11">
        <f t="shared" si="3"/>
        <v>9</v>
      </c>
      <c r="H1216" s="7">
        <f t="shared" si="4"/>
        <v>2017</v>
      </c>
      <c r="I1216" s="9">
        <v>42898.0</v>
      </c>
      <c r="J1216" s="11">
        <f t="shared" si="5"/>
        <v>34</v>
      </c>
      <c r="K1216" s="7" t="s">
        <v>110</v>
      </c>
      <c r="L1216" s="7" t="s">
        <v>234</v>
      </c>
      <c r="M1216" s="7" t="str">
        <f>VLOOKUP(L1216,countries, 2,false)</f>
        <v>Czech Republic</v>
      </c>
      <c r="N1216" s="7" t="str">
        <f>VLOOKUP(L1216,countries, 4,false)</f>
        <v>Europe</v>
      </c>
      <c r="O1216" s="7" t="str">
        <f>VLOOKUP(L1216,countries, 5,false)</f>
        <v>Eastern Europe</v>
      </c>
      <c r="P1216" s="7" t="s">
        <v>212</v>
      </c>
      <c r="Q1216" s="7">
        <v>634.0</v>
      </c>
      <c r="R1216" s="12">
        <v>421.89</v>
      </c>
      <c r="S1216" s="12">
        <v>364.69</v>
      </c>
      <c r="T1216" s="13">
        <f t="shared" si="6"/>
        <v>267478.26</v>
      </c>
      <c r="U1216" s="13">
        <f t="shared" si="7"/>
        <v>185086.62</v>
      </c>
      <c r="V1216" s="13">
        <f t="shared" si="8"/>
        <v>82391.64</v>
      </c>
      <c r="W1216" s="14">
        <f>Q1216/totals!B$2</f>
        <v>0.00009640351043</v>
      </c>
      <c r="X1216" s="14">
        <f t="shared" si="9"/>
        <v>0.9052736674</v>
      </c>
      <c r="Y1216" s="14">
        <f>T1216/totals!B$5</f>
        <v>0.0001571433163</v>
      </c>
      <c r="Z1216" s="14">
        <f t="shared" si="10"/>
        <v>0.9244754205</v>
      </c>
      <c r="AA1216" s="14">
        <f>V1216/totals!B$4</f>
        <v>0.0001642869427</v>
      </c>
      <c r="AB1216" s="14">
        <f t="shared" si="11"/>
        <v>0.9196219603</v>
      </c>
    </row>
    <row r="1217">
      <c r="A1217" s="7">
        <v>7331.0</v>
      </c>
      <c r="B1217" s="7" t="str">
        <f>VLOOKUP($A1217,product_category,2, False)</f>
        <v>Baby Food</v>
      </c>
      <c r="C1217" s="7">
        <v>9.20688903E8</v>
      </c>
      <c r="D1217" s="9">
        <v>41764.0</v>
      </c>
      <c r="E1217" s="10">
        <f t="shared" si="1"/>
        <v>5</v>
      </c>
      <c r="F1217" s="10" t="str">
        <f t="shared" si="2"/>
        <v>May</v>
      </c>
      <c r="G1217" s="11">
        <f t="shared" si="3"/>
        <v>5</v>
      </c>
      <c r="H1217" s="7">
        <f t="shared" si="4"/>
        <v>2014</v>
      </c>
      <c r="I1217" s="9">
        <v>41802.0</v>
      </c>
      <c r="J1217" s="11">
        <f t="shared" si="5"/>
        <v>38</v>
      </c>
      <c r="K1217" s="7" t="s">
        <v>322</v>
      </c>
      <c r="L1217" s="7" t="s">
        <v>756</v>
      </c>
      <c r="M1217" s="7" t="str">
        <f>VLOOKUP(L1217,countries, 2,false)</f>
        <v>Ukraine</v>
      </c>
      <c r="N1217" s="7" t="str">
        <f>VLOOKUP(L1217,countries, 4,false)</f>
        <v>Europe</v>
      </c>
      <c r="O1217" s="7" t="str">
        <f>VLOOKUP(L1217,countries, 5,false)</f>
        <v>Eastern Europe</v>
      </c>
      <c r="P1217" s="7" t="s">
        <v>212</v>
      </c>
      <c r="Q1217" s="7">
        <v>1161.0</v>
      </c>
      <c r="R1217" s="12">
        <v>255.28</v>
      </c>
      <c r="S1217" s="12">
        <v>159.42</v>
      </c>
      <c r="T1217" s="13">
        <f t="shared" si="6"/>
        <v>296380.08</v>
      </c>
      <c r="U1217" s="13">
        <f t="shared" si="7"/>
        <v>278288.64</v>
      </c>
      <c r="V1217" s="13">
        <f t="shared" si="8"/>
        <v>18091.44</v>
      </c>
      <c r="W1217" s="14">
        <f>Q1217/totals!B$2</f>
        <v>0.0001765370278</v>
      </c>
      <c r="X1217" s="14">
        <f t="shared" si="9"/>
        <v>0.9054502044</v>
      </c>
      <c r="Y1217" s="14">
        <f>T1217/totals!B$5</f>
        <v>0.0001741231181</v>
      </c>
      <c r="Z1217" s="14">
        <f t="shared" si="10"/>
        <v>0.9246495436</v>
      </c>
      <c r="AA1217" s="14">
        <f>V1217/totals!B$4</f>
        <v>0.00003607389496</v>
      </c>
      <c r="AB1217" s="14">
        <f t="shared" si="11"/>
        <v>0.9196580342</v>
      </c>
    </row>
    <row r="1218">
      <c r="A1218" s="7">
        <v>8969.0</v>
      </c>
      <c r="B1218" s="7" t="str">
        <f>VLOOKUP($A1218,product_category,2, False)</f>
        <v>Snacks</v>
      </c>
      <c r="C1218" s="7">
        <v>9.21133935E8</v>
      </c>
      <c r="D1218" s="9">
        <v>41491.0</v>
      </c>
      <c r="E1218" s="10">
        <f t="shared" si="1"/>
        <v>8</v>
      </c>
      <c r="F1218" s="10" t="str">
        <f t="shared" si="2"/>
        <v>Aug</v>
      </c>
      <c r="G1218" s="11">
        <f t="shared" si="3"/>
        <v>5</v>
      </c>
      <c r="H1218" s="7">
        <f t="shared" si="4"/>
        <v>2013</v>
      </c>
      <c r="I1218" s="9">
        <v>41497.0</v>
      </c>
      <c r="J1218" s="11">
        <f t="shared" si="5"/>
        <v>6</v>
      </c>
      <c r="K1218" s="7" t="s">
        <v>322</v>
      </c>
      <c r="L1218" s="7" t="s">
        <v>113</v>
      </c>
      <c r="M1218" s="7" t="str">
        <f>VLOOKUP(L1218,countries, 2,false)</f>
        <v>Belgium</v>
      </c>
      <c r="N1218" s="7" t="str">
        <f>VLOOKUP(L1218,countries, 4,false)</f>
        <v>Europe</v>
      </c>
      <c r="O1218" s="7" t="str">
        <f>VLOOKUP(L1218,countries, 5,false)</f>
        <v>Western Europe</v>
      </c>
      <c r="P1218" s="7" t="s">
        <v>129</v>
      </c>
      <c r="Q1218" s="7">
        <v>2856.0</v>
      </c>
      <c r="R1218" s="12">
        <v>152.58</v>
      </c>
      <c r="S1218" s="12">
        <v>97.44</v>
      </c>
      <c r="T1218" s="13">
        <f t="shared" si="6"/>
        <v>435768.48</v>
      </c>
      <c r="U1218" s="13">
        <f t="shared" si="7"/>
        <v>207724.26</v>
      </c>
      <c r="V1218" s="13">
        <f t="shared" si="8"/>
        <v>228044.22</v>
      </c>
      <c r="W1218" s="14">
        <f>Q1218/totals!B$2</f>
        <v>0.0004342719649</v>
      </c>
      <c r="X1218" s="14">
        <f t="shared" si="9"/>
        <v>0.9058844764</v>
      </c>
      <c r="Y1218" s="14">
        <f>T1218/totals!B$5</f>
        <v>0.000256013719</v>
      </c>
      <c r="Z1218" s="14">
        <f t="shared" si="10"/>
        <v>0.9249055574</v>
      </c>
      <c r="AA1218" s="14">
        <f>V1218/totals!B$4</f>
        <v>0.0004547146738</v>
      </c>
      <c r="AB1218" s="14">
        <f t="shared" si="11"/>
        <v>0.9201127489</v>
      </c>
    </row>
    <row r="1219">
      <c r="A1219" s="7">
        <v>7331.0</v>
      </c>
      <c r="B1219" s="7" t="str">
        <f>VLOOKUP($A1219,product_category,2, False)</f>
        <v>Baby Food</v>
      </c>
      <c r="C1219" s="7">
        <v>9.21230065E8</v>
      </c>
      <c r="D1219" s="9">
        <v>42456.0</v>
      </c>
      <c r="E1219" s="10">
        <f t="shared" si="1"/>
        <v>3</v>
      </c>
      <c r="F1219" s="10" t="str">
        <f t="shared" si="2"/>
        <v>Mar</v>
      </c>
      <c r="G1219" s="11">
        <f t="shared" si="3"/>
        <v>27</v>
      </c>
      <c r="H1219" s="7">
        <f t="shared" si="4"/>
        <v>2016</v>
      </c>
      <c r="I1219" s="9">
        <v>42506.0</v>
      </c>
      <c r="J1219" s="11">
        <f t="shared" si="5"/>
        <v>50</v>
      </c>
      <c r="K1219" s="7" t="s">
        <v>110</v>
      </c>
      <c r="L1219" s="7" t="s">
        <v>597</v>
      </c>
      <c r="M1219" s="7" t="str">
        <f>VLOOKUP(L1219,countries, 2,false)</f>
        <v>Portugal</v>
      </c>
      <c r="N1219" s="7" t="str">
        <f>VLOOKUP(L1219,countries, 4,false)</f>
        <v>Europe</v>
      </c>
      <c r="O1219" s="7" t="str">
        <f>VLOOKUP(L1219,countries, 5,false)</f>
        <v>Southern Europe</v>
      </c>
      <c r="P1219" s="7" t="s">
        <v>212</v>
      </c>
      <c r="Q1219" s="7">
        <v>1303.0</v>
      </c>
      <c r="R1219" s="12">
        <v>255.28</v>
      </c>
      <c r="S1219" s="12">
        <v>159.42</v>
      </c>
      <c r="T1219" s="13">
        <f t="shared" si="6"/>
        <v>332629.84</v>
      </c>
      <c r="U1219" s="13">
        <f t="shared" si="7"/>
        <v>780724.98</v>
      </c>
      <c r="V1219" s="13">
        <f t="shared" si="8"/>
        <v>-448095.14</v>
      </c>
      <c r="W1219" s="14">
        <f>Q1219/totals!B$2</f>
        <v>0.0001981289812</v>
      </c>
      <c r="X1219" s="14">
        <f t="shared" si="9"/>
        <v>0.9060826053</v>
      </c>
      <c r="Y1219" s="14">
        <f>T1219/totals!B$5</f>
        <v>0.0001954198302</v>
      </c>
      <c r="Z1219" s="14">
        <f t="shared" si="10"/>
        <v>0.9251009772</v>
      </c>
      <c r="AA1219" s="14">
        <f>V1219/totals!B$4</f>
        <v>-0.0008934909001</v>
      </c>
      <c r="AB1219" s="14">
        <f t="shared" si="11"/>
        <v>0.919219258</v>
      </c>
    </row>
    <row r="1220">
      <c r="A1220" s="7">
        <v>5988.0</v>
      </c>
      <c r="B1220" s="7" t="str">
        <f>VLOOKUP($A1220,product_category,2, False)</f>
        <v>Vegetables</v>
      </c>
      <c r="C1220" s="7">
        <v>9.2169398E8</v>
      </c>
      <c r="D1220" s="9">
        <v>41186.0</v>
      </c>
      <c r="E1220" s="10">
        <f t="shared" si="1"/>
        <v>10</v>
      </c>
      <c r="F1220" s="10" t="str">
        <f t="shared" si="2"/>
        <v>Oct</v>
      </c>
      <c r="G1220" s="11">
        <f t="shared" si="3"/>
        <v>4</v>
      </c>
      <c r="H1220" s="7">
        <f t="shared" si="4"/>
        <v>2012</v>
      </c>
      <c r="I1220" s="9">
        <v>41217.0</v>
      </c>
      <c r="J1220" s="11">
        <f t="shared" si="5"/>
        <v>31</v>
      </c>
      <c r="K1220" s="7" t="s">
        <v>110</v>
      </c>
      <c r="L1220" s="7" t="s">
        <v>316</v>
      </c>
      <c r="M1220" s="7" t="str">
        <f>VLOOKUP(L1220,countries, 2,false)</f>
        <v>Greece</v>
      </c>
      <c r="N1220" s="7" t="str">
        <f>VLOOKUP(L1220,countries, 4,false)</f>
        <v>Europe</v>
      </c>
      <c r="O1220" s="7" t="str">
        <f>VLOOKUP(L1220,countries, 5,false)</f>
        <v>Southern Europe</v>
      </c>
      <c r="P1220" s="7" t="s">
        <v>129</v>
      </c>
      <c r="Q1220" s="7">
        <v>8586.0</v>
      </c>
      <c r="R1220" s="12">
        <v>154.06</v>
      </c>
      <c r="S1220" s="12">
        <v>90.93</v>
      </c>
      <c r="T1220" s="13">
        <f t="shared" si="6"/>
        <v>1322759.16</v>
      </c>
      <c r="U1220" s="13">
        <f t="shared" si="7"/>
        <v>240128</v>
      </c>
      <c r="V1220" s="13">
        <f t="shared" si="8"/>
        <v>1082631.16</v>
      </c>
      <c r="W1220" s="14">
        <f>Q1220/totals!B$2</f>
        <v>0.001305552903</v>
      </c>
      <c r="X1220" s="14">
        <f t="shared" si="9"/>
        <v>0.9073881582</v>
      </c>
      <c r="Y1220" s="14">
        <f>T1220/totals!B$5</f>
        <v>0.0007771202081</v>
      </c>
      <c r="Z1220" s="14">
        <f t="shared" si="10"/>
        <v>0.9258780974</v>
      </c>
      <c r="AA1220" s="14">
        <f>V1220/totals!B$4</f>
        <v>0.002158740418</v>
      </c>
      <c r="AB1220" s="14">
        <f t="shared" si="11"/>
        <v>0.9213779984</v>
      </c>
    </row>
    <row r="1221">
      <c r="A1221" s="7">
        <v>2455.0</v>
      </c>
      <c r="B1221" s="7" t="str">
        <f>VLOOKUP($A1221,product_category,2, False)</f>
        <v>Clothes</v>
      </c>
      <c r="C1221" s="7">
        <v>9.2236346E8</v>
      </c>
      <c r="D1221" s="9">
        <v>41585.0</v>
      </c>
      <c r="E1221" s="10">
        <f t="shared" si="1"/>
        <v>11</v>
      </c>
      <c r="F1221" s="10" t="str">
        <f t="shared" si="2"/>
        <v>Nov</v>
      </c>
      <c r="G1221" s="11">
        <f t="shared" si="3"/>
        <v>7</v>
      </c>
      <c r="H1221" s="7">
        <f t="shared" si="4"/>
        <v>2013</v>
      </c>
      <c r="I1221" s="9">
        <v>41601.0</v>
      </c>
      <c r="J1221" s="11">
        <f t="shared" si="5"/>
        <v>16</v>
      </c>
      <c r="K1221" s="7" t="s">
        <v>382</v>
      </c>
      <c r="L1221" s="7" t="s">
        <v>454</v>
      </c>
      <c r="M1221" s="7" t="str">
        <f>VLOOKUP(L1221,countries, 2,false)</f>
        <v>Luxembourg</v>
      </c>
      <c r="N1221" s="7" t="str">
        <f>VLOOKUP(L1221,countries, 4,false)</f>
        <v>Europe</v>
      </c>
      <c r="O1221" s="7" t="str">
        <f>VLOOKUP(L1221,countries, 5,false)</f>
        <v>Western Europe</v>
      </c>
      <c r="P1221" s="7" t="s">
        <v>129</v>
      </c>
      <c r="Q1221" s="7">
        <v>6700.0</v>
      </c>
      <c r="R1221" s="12">
        <v>109.28</v>
      </c>
      <c r="S1221" s="12">
        <v>35.84</v>
      </c>
      <c r="T1221" s="13">
        <f t="shared" si="6"/>
        <v>732176</v>
      </c>
      <c r="U1221" s="13">
        <f t="shared" si="7"/>
        <v>3082580.36</v>
      </c>
      <c r="V1221" s="13">
        <f t="shared" si="8"/>
        <v>-2350404.36</v>
      </c>
      <c r="W1221" s="14">
        <f>Q1221/totals!B$2</f>
        <v>0.001018775268</v>
      </c>
      <c r="X1221" s="14">
        <f t="shared" si="9"/>
        <v>0.9084069335</v>
      </c>
      <c r="Y1221" s="14">
        <f>T1221/totals!B$5</f>
        <v>0.0004301529581</v>
      </c>
      <c r="Z1221" s="14">
        <f t="shared" si="10"/>
        <v>0.9263082504</v>
      </c>
      <c r="AA1221" s="14">
        <f>V1221/totals!B$4</f>
        <v>-0.004686649597</v>
      </c>
      <c r="AB1221" s="14">
        <f t="shared" si="11"/>
        <v>0.9166913488</v>
      </c>
    </row>
    <row r="1222">
      <c r="A1222" s="7">
        <v>7940.0</v>
      </c>
      <c r="B1222" s="7" t="str">
        <f>VLOOKUP($A1222,product_category,2, False)</f>
        <v>Household</v>
      </c>
      <c r="C1222" s="7">
        <v>9.22564303E8</v>
      </c>
      <c r="D1222" s="9">
        <v>42811.0</v>
      </c>
      <c r="E1222" s="10">
        <f t="shared" si="1"/>
        <v>3</v>
      </c>
      <c r="F1222" s="10" t="str">
        <f t="shared" si="2"/>
        <v>Mar</v>
      </c>
      <c r="G1222" s="11">
        <f t="shared" si="3"/>
        <v>17</v>
      </c>
      <c r="H1222" s="7">
        <f t="shared" si="4"/>
        <v>2017</v>
      </c>
      <c r="I1222" s="9">
        <v>42827.0</v>
      </c>
      <c r="J1222" s="11">
        <f t="shared" si="5"/>
        <v>16</v>
      </c>
      <c r="K1222" s="7" t="s">
        <v>322</v>
      </c>
      <c r="L1222" s="7" t="e">
        <v>#N/A</v>
      </c>
      <c r="M1222" s="7"/>
      <c r="N1222" s="7"/>
      <c r="O1222" s="7"/>
      <c r="P1222" s="7" t="s">
        <v>212</v>
      </c>
      <c r="Q1222" s="7">
        <v>6134.0</v>
      </c>
      <c r="R1222" s="12">
        <v>668.27</v>
      </c>
      <c r="S1222" s="12">
        <v>502.54</v>
      </c>
      <c r="T1222" s="13">
        <f t="shared" si="6"/>
        <v>4099168.18</v>
      </c>
      <c r="U1222" s="13">
        <f t="shared" si="7"/>
        <v>90711.04</v>
      </c>
      <c r="V1222" s="13">
        <f t="shared" si="8"/>
        <v>4008457.14</v>
      </c>
      <c r="W1222" s="14">
        <f>Q1222/totals!B$2</f>
        <v>0.0009327115662</v>
      </c>
      <c r="X1222" s="14">
        <f t="shared" si="9"/>
        <v>0.9093396451</v>
      </c>
      <c r="Y1222" s="14">
        <f>T1222/totals!B$5</f>
        <v>0.002408258832</v>
      </c>
      <c r="Z1222" s="14">
        <f t="shared" si="10"/>
        <v>0.9287165092</v>
      </c>
      <c r="AA1222" s="14">
        <f>V1222/totals!B$4</f>
        <v>0.007992766845</v>
      </c>
      <c r="AB1222" s="14">
        <f t="shared" si="11"/>
        <v>0.9246841156</v>
      </c>
    </row>
    <row r="1223">
      <c r="A1223" s="7">
        <v>2455.0</v>
      </c>
      <c r="B1223" s="7" t="str">
        <f>VLOOKUP($A1223,product_category,2, False)</f>
        <v>Clothes</v>
      </c>
      <c r="C1223" s="7">
        <v>9.23160398E8</v>
      </c>
      <c r="D1223" s="9">
        <v>42869.0</v>
      </c>
      <c r="E1223" s="10">
        <f t="shared" si="1"/>
        <v>5</v>
      </c>
      <c r="F1223" s="10" t="str">
        <f t="shared" si="2"/>
        <v>May</v>
      </c>
      <c r="G1223" s="11">
        <f t="shared" si="3"/>
        <v>14</v>
      </c>
      <c r="H1223" s="7">
        <f t="shared" si="4"/>
        <v>2017</v>
      </c>
      <c r="I1223" s="9">
        <v>42901.0</v>
      </c>
      <c r="J1223" s="11">
        <f t="shared" si="5"/>
        <v>32</v>
      </c>
      <c r="K1223" s="7" t="s">
        <v>322</v>
      </c>
      <c r="L1223" s="7" t="s">
        <v>56</v>
      </c>
      <c r="M1223" s="7" t="str">
        <f>VLOOKUP(L1223,countries, 2,false)</f>
        <v>Andorra</v>
      </c>
      <c r="N1223" s="7" t="str">
        <f>VLOOKUP(L1223,countries, 4,false)</f>
        <v>Europe</v>
      </c>
      <c r="O1223" s="7" t="str">
        <f>VLOOKUP(L1223,countries, 5,false)</f>
        <v>Southern Europe</v>
      </c>
      <c r="P1223" s="7" t="s">
        <v>212</v>
      </c>
      <c r="Q1223" s="7">
        <v>2531.0</v>
      </c>
      <c r="R1223" s="12">
        <v>109.28</v>
      </c>
      <c r="S1223" s="12">
        <v>35.84</v>
      </c>
      <c r="T1223" s="13">
        <f t="shared" si="6"/>
        <v>276587.68</v>
      </c>
      <c r="U1223" s="13">
        <f t="shared" si="7"/>
        <v>734350.68</v>
      </c>
      <c r="V1223" s="13">
        <f t="shared" si="8"/>
        <v>-457763</v>
      </c>
      <c r="W1223" s="14">
        <f>Q1223/totals!B$2</f>
        <v>0.0003848537617</v>
      </c>
      <c r="X1223" s="14">
        <f t="shared" si="9"/>
        <v>0.9097244988</v>
      </c>
      <c r="Y1223" s="14">
        <f>T1223/totals!B$5</f>
        <v>0.0001624950951</v>
      </c>
      <c r="Z1223" s="14">
        <f t="shared" si="10"/>
        <v>0.9288790043</v>
      </c>
      <c r="AA1223" s="14">
        <f>V1223/totals!B$4</f>
        <v>-0.0009127683798</v>
      </c>
      <c r="AB1223" s="14">
        <f t="shared" si="11"/>
        <v>0.9237713473</v>
      </c>
    </row>
    <row r="1224">
      <c r="A1224" s="7">
        <v>5988.0</v>
      </c>
      <c r="B1224" s="7" t="str">
        <f>VLOOKUP($A1224,product_category,2, False)</f>
        <v>Vegetables</v>
      </c>
      <c r="C1224" s="7">
        <v>9.23922574E8</v>
      </c>
      <c r="D1224" s="9">
        <v>40642.0</v>
      </c>
      <c r="E1224" s="10">
        <f t="shared" si="1"/>
        <v>4</v>
      </c>
      <c r="F1224" s="10" t="str">
        <f t="shared" si="2"/>
        <v>Apr</v>
      </c>
      <c r="G1224" s="11">
        <f t="shared" si="3"/>
        <v>9</v>
      </c>
      <c r="H1224" s="7">
        <f t="shared" si="4"/>
        <v>2011</v>
      </c>
      <c r="I1224" s="9">
        <v>40686.0</v>
      </c>
      <c r="J1224" s="11">
        <f t="shared" si="5"/>
        <v>44</v>
      </c>
      <c r="K1224" s="7" t="s">
        <v>110</v>
      </c>
      <c r="L1224" s="7" t="s">
        <v>383</v>
      </c>
      <c r="M1224" s="7" t="str">
        <f>VLOOKUP(L1224,countries, 2,false)</f>
        <v>Ireland</v>
      </c>
      <c r="N1224" s="7" t="str">
        <f>VLOOKUP(L1224,countries, 4,false)</f>
        <v>Europe</v>
      </c>
      <c r="O1224" s="7" t="str">
        <f>VLOOKUP(L1224,countries, 5,false)</f>
        <v>Northern Europe</v>
      </c>
      <c r="P1224" s="7" t="s">
        <v>212</v>
      </c>
      <c r="Q1224" s="7">
        <v>8076.0</v>
      </c>
      <c r="R1224" s="12">
        <v>154.06</v>
      </c>
      <c r="S1224" s="12">
        <v>90.93</v>
      </c>
      <c r="T1224" s="13">
        <f t="shared" si="6"/>
        <v>1244188.56</v>
      </c>
      <c r="U1224" s="13">
        <f t="shared" si="7"/>
        <v>1004248.48</v>
      </c>
      <c r="V1224" s="13">
        <f t="shared" si="8"/>
        <v>239940.08</v>
      </c>
      <c r="W1224" s="14">
        <f>Q1224/totals!B$2</f>
        <v>0.001228004338</v>
      </c>
      <c r="X1224" s="14">
        <f t="shared" si="9"/>
        <v>0.9109525032</v>
      </c>
      <c r="Y1224" s="14">
        <f>T1224/totals!B$5</f>
        <v>0.0007309600281</v>
      </c>
      <c r="Z1224" s="14">
        <f t="shared" si="10"/>
        <v>0.9296099643</v>
      </c>
      <c r="AA1224" s="14">
        <f>V1224/totals!B$4</f>
        <v>0.0004784347316</v>
      </c>
      <c r="AB1224" s="14">
        <f t="shared" si="11"/>
        <v>0.924249782</v>
      </c>
    </row>
    <row r="1225">
      <c r="A1225" s="7">
        <v>8681.0</v>
      </c>
      <c r="B1225" s="7" t="str">
        <f>VLOOKUP($A1225,product_category,2, False)</f>
        <v>Office Supplies</v>
      </c>
      <c r="C1225" s="7">
        <v>9.26064479E8</v>
      </c>
      <c r="D1225" s="9">
        <v>42784.0</v>
      </c>
      <c r="E1225" s="10">
        <f t="shared" si="1"/>
        <v>2</v>
      </c>
      <c r="F1225" s="10" t="str">
        <f t="shared" si="2"/>
        <v>Feb</v>
      </c>
      <c r="G1225" s="11">
        <f t="shared" si="3"/>
        <v>18</v>
      </c>
      <c r="H1225" s="7">
        <f t="shared" si="4"/>
        <v>2017</v>
      </c>
      <c r="I1225" s="9">
        <v>42804.0</v>
      </c>
      <c r="J1225" s="11">
        <f t="shared" si="5"/>
        <v>20</v>
      </c>
      <c r="K1225" s="7" t="s">
        <v>322</v>
      </c>
      <c r="L1225" s="7" t="s">
        <v>88</v>
      </c>
      <c r="M1225" s="7" t="str">
        <f>VLOOKUP(L1225,countries, 2,false)</f>
        <v>Austria</v>
      </c>
      <c r="N1225" s="7" t="str">
        <f>VLOOKUP(L1225,countries, 4,false)</f>
        <v>Europe</v>
      </c>
      <c r="O1225" s="7" t="str">
        <f>VLOOKUP(L1225,countries, 5,false)</f>
        <v>Western Europe</v>
      </c>
      <c r="P1225" s="7" t="s">
        <v>129</v>
      </c>
      <c r="Q1225" s="7">
        <v>1913.0</v>
      </c>
      <c r="R1225" s="12">
        <v>651.21</v>
      </c>
      <c r="S1225" s="12">
        <v>524.96</v>
      </c>
      <c r="T1225" s="13">
        <f t="shared" si="6"/>
        <v>1245764.73</v>
      </c>
      <c r="U1225" s="13">
        <f t="shared" si="7"/>
        <v>188165.01</v>
      </c>
      <c r="V1225" s="13">
        <f t="shared" si="8"/>
        <v>1057599.72</v>
      </c>
      <c r="W1225" s="14">
        <f>Q1225/totals!B$2</f>
        <v>0.0002908831474</v>
      </c>
      <c r="X1225" s="14">
        <f t="shared" si="9"/>
        <v>0.9112433863</v>
      </c>
      <c r="Y1225" s="14">
        <f>T1225/totals!B$5</f>
        <v>0.000731886027</v>
      </c>
      <c r="Z1225" s="14">
        <f t="shared" si="10"/>
        <v>0.9303418503</v>
      </c>
      <c r="AA1225" s="14">
        <f>V1225/totals!B$4</f>
        <v>0.00210882833</v>
      </c>
      <c r="AB1225" s="14">
        <f t="shared" si="11"/>
        <v>0.9263586103</v>
      </c>
    </row>
    <row r="1226">
      <c r="A1226" s="7">
        <v>1270.0</v>
      </c>
      <c r="B1226" s="7" t="str">
        <f>VLOOKUP($A1226,product_category,2, False)</f>
        <v>Beverages</v>
      </c>
      <c r="C1226" s="7">
        <v>9.26280772E8</v>
      </c>
      <c r="D1226" s="9">
        <v>42190.0</v>
      </c>
      <c r="E1226" s="10">
        <f t="shared" si="1"/>
        <v>7</v>
      </c>
      <c r="F1226" s="10" t="str">
        <f t="shared" si="2"/>
        <v>Jul</v>
      </c>
      <c r="G1226" s="11">
        <f t="shared" si="3"/>
        <v>5</v>
      </c>
      <c r="H1226" s="7">
        <f t="shared" si="4"/>
        <v>2015</v>
      </c>
      <c r="I1226" s="9">
        <v>42206.0</v>
      </c>
      <c r="J1226" s="11">
        <f t="shared" si="5"/>
        <v>16</v>
      </c>
      <c r="K1226" s="7" t="s">
        <v>382</v>
      </c>
      <c r="L1226" s="7" t="s">
        <v>451</v>
      </c>
      <c r="M1226" s="7" t="str">
        <f>VLOOKUP(L1226,countries, 2,false)</f>
        <v>Lithuania</v>
      </c>
      <c r="N1226" s="7" t="str">
        <f>VLOOKUP(L1226,countries, 4,false)</f>
        <v>Europe</v>
      </c>
      <c r="O1226" s="7" t="str">
        <f>VLOOKUP(L1226,countries, 5,false)</f>
        <v>Northern Europe</v>
      </c>
      <c r="P1226" s="7" t="s">
        <v>212</v>
      </c>
      <c r="Q1226" s="7">
        <v>5919.0</v>
      </c>
      <c r="R1226" s="12">
        <v>47.45</v>
      </c>
      <c r="S1226" s="12">
        <v>31.79</v>
      </c>
      <c r="T1226" s="13">
        <f t="shared" si="6"/>
        <v>280856.55</v>
      </c>
      <c r="U1226" s="13">
        <f t="shared" si="7"/>
        <v>315033.6</v>
      </c>
      <c r="V1226" s="13">
        <f t="shared" si="8"/>
        <v>-34177.05</v>
      </c>
      <c r="W1226" s="14">
        <f>Q1226/totals!B$2</f>
        <v>0.000900019524</v>
      </c>
      <c r="X1226" s="14">
        <f t="shared" si="9"/>
        <v>0.9121434058</v>
      </c>
      <c r="Y1226" s="14">
        <f>T1226/totals!B$5</f>
        <v>0.0001650030536</v>
      </c>
      <c r="Z1226" s="14">
        <f t="shared" si="10"/>
        <v>0.9305068534</v>
      </c>
      <c r="AA1226" s="14">
        <f>V1226/totals!B$4</f>
        <v>-0.00006814821328</v>
      </c>
      <c r="AB1226" s="14">
        <f t="shared" si="11"/>
        <v>0.9262904621</v>
      </c>
    </row>
    <row r="1227">
      <c r="A1227" s="7">
        <v>2455.0</v>
      </c>
      <c r="B1227" s="7" t="str">
        <f>VLOOKUP($A1227,product_category,2, False)</f>
        <v>Clothes</v>
      </c>
      <c r="C1227" s="7">
        <v>9.2676357E8</v>
      </c>
      <c r="D1227" s="9">
        <v>42690.0</v>
      </c>
      <c r="E1227" s="10">
        <f t="shared" si="1"/>
        <v>11</v>
      </c>
      <c r="F1227" s="10" t="str">
        <f t="shared" si="2"/>
        <v>Nov</v>
      </c>
      <c r="G1227" s="11">
        <f t="shared" si="3"/>
        <v>16</v>
      </c>
      <c r="H1227" s="7">
        <f t="shared" si="4"/>
        <v>2016</v>
      </c>
      <c r="I1227" s="9">
        <v>42699.0</v>
      </c>
      <c r="J1227" s="11">
        <f t="shared" si="5"/>
        <v>9</v>
      </c>
      <c r="K1227" s="7" t="s">
        <v>382</v>
      </c>
      <c r="L1227" s="7" t="s">
        <v>505</v>
      </c>
      <c r="M1227" s="7" t="str">
        <f>VLOOKUP(L1227,countries, 2,false)</f>
        <v>Monaco</v>
      </c>
      <c r="N1227" s="7" t="str">
        <f>VLOOKUP(L1227,countries, 4,false)</f>
        <v>Europe</v>
      </c>
      <c r="O1227" s="7" t="str">
        <f>VLOOKUP(L1227,countries, 5,false)</f>
        <v>Western Europe</v>
      </c>
      <c r="P1227" s="7" t="s">
        <v>212</v>
      </c>
      <c r="Q1227" s="7">
        <v>8790.0</v>
      </c>
      <c r="R1227" s="12">
        <v>109.28</v>
      </c>
      <c r="S1227" s="12">
        <v>35.84</v>
      </c>
      <c r="T1227" s="13">
        <f t="shared" si="6"/>
        <v>960571.2</v>
      </c>
      <c r="U1227" s="13">
        <f t="shared" si="7"/>
        <v>1188954.36</v>
      </c>
      <c r="V1227" s="13">
        <f t="shared" si="8"/>
        <v>-228383.16</v>
      </c>
      <c r="W1227" s="14">
        <f>Q1227/totals!B$2</f>
        <v>0.001336572329</v>
      </c>
      <c r="X1227" s="14">
        <f t="shared" si="9"/>
        <v>0.9134799782</v>
      </c>
      <c r="Y1227" s="14">
        <f>T1227/totals!B$5</f>
        <v>0.0005643350002</v>
      </c>
      <c r="Z1227" s="14">
        <f t="shared" si="10"/>
        <v>0.9310711884</v>
      </c>
      <c r="AA1227" s="14">
        <f>V1227/totals!B$4</f>
        <v>-0.0004553905119</v>
      </c>
      <c r="AB1227" s="14">
        <f t="shared" si="11"/>
        <v>0.9258350716</v>
      </c>
    </row>
    <row r="1228">
      <c r="A1228" s="7">
        <v>7331.0</v>
      </c>
      <c r="B1228" s="7" t="str">
        <f>VLOOKUP($A1228,product_category,2, False)</f>
        <v>Baby Food</v>
      </c>
      <c r="C1228" s="7">
        <v>9.26826655E8</v>
      </c>
      <c r="D1228" s="9">
        <v>40558.0</v>
      </c>
      <c r="E1228" s="10">
        <f t="shared" si="1"/>
        <v>1</v>
      </c>
      <c r="F1228" s="10" t="str">
        <f t="shared" si="2"/>
        <v>Jan</v>
      </c>
      <c r="G1228" s="11">
        <f t="shared" si="3"/>
        <v>15</v>
      </c>
      <c r="H1228" s="7">
        <f t="shared" si="4"/>
        <v>2011</v>
      </c>
      <c r="I1228" s="9">
        <v>40590.0</v>
      </c>
      <c r="J1228" s="11">
        <f t="shared" si="5"/>
        <v>32</v>
      </c>
      <c r="K1228" s="7" t="s">
        <v>382</v>
      </c>
      <c r="L1228" s="7" t="s">
        <v>392</v>
      </c>
      <c r="M1228" s="7" t="str">
        <f>VLOOKUP(L1228,countries, 2,false)</f>
        <v>Italy</v>
      </c>
      <c r="N1228" s="7" t="str">
        <f>VLOOKUP(L1228,countries, 4,false)</f>
        <v>Europe</v>
      </c>
      <c r="O1228" s="7" t="str">
        <f>VLOOKUP(L1228,countries, 5,false)</f>
        <v>Southern Europe</v>
      </c>
      <c r="P1228" s="7" t="s">
        <v>129</v>
      </c>
      <c r="Q1228" s="7">
        <v>7458.0</v>
      </c>
      <c r="R1228" s="12">
        <v>255.28</v>
      </c>
      <c r="S1228" s="12">
        <v>159.42</v>
      </c>
      <c r="T1228" s="13">
        <f t="shared" si="6"/>
        <v>1903878.24</v>
      </c>
      <c r="U1228" s="13">
        <f t="shared" si="7"/>
        <v>240691.71</v>
      </c>
      <c r="V1228" s="13">
        <f t="shared" si="8"/>
        <v>1663186.53</v>
      </c>
      <c r="W1228" s="14">
        <f>Q1228/totals!B$2</f>
        <v>0.001134033724</v>
      </c>
      <c r="X1228" s="14">
        <f t="shared" si="9"/>
        <v>0.9146140119</v>
      </c>
      <c r="Y1228" s="14">
        <f>T1228/totals!B$5</f>
        <v>0.001118527317</v>
      </c>
      <c r="Z1228" s="14">
        <f t="shared" si="10"/>
        <v>0.9321897157</v>
      </c>
      <c r="AA1228" s="14">
        <f>V1228/totals!B$4</f>
        <v>0.003316353821</v>
      </c>
      <c r="AB1228" s="14">
        <f t="shared" si="11"/>
        <v>0.9291514254</v>
      </c>
    </row>
    <row r="1229">
      <c r="A1229" s="7">
        <v>5988.0</v>
      </c>
      <c r="B1229" s="7" t="str">
        <f>VLOOKUP($A1229,product_category,2, False)</f>
        <v>Vegetables</v>
      </c>
      <c r="C1229" s="7">
        <v>9.27351081E8</v>
      </c>
      <c r="D1229" s="9">
        <v>40686.0</v>
      </c>
      <c r="E1229" s="10">
        <f t="shared" si="1"/>
        <v>5</v>
      </c>
      <c r="F1229" s="10" t="str">
        <f t="shared" si="2"/>
        <v>May</v>
      </c>
      <c r="G1229" s="11">
        <f t="shared" si="3"/>
        <v>23</v>
      </c>
      <c r="H1229" s="7">
        <f t="shared" si="4"/>
        <v>2011</v>
      </c>
      <c r="I1229" s="9">
        <v>40696.0</v>
      </c>
      <c r="J1229" s="11">
        <f t="shared" si="5"/>
        <v>10</v>
      </c>
      <c r="K1229" s="7" t="s">
        <v>382</v>
      </c>
      <c r="L1229" s="7" t="s">
        <v>448</v>
      </c>
      <c r="M1229" s="7" t="str">
        <f>VLOOKUP(L1229,countries, 2,false)</f>
        <v>Liechtenstein</v>
      </c>
      <c r="N1229" s="7" t="str">
        <f>VLOOKUP(L1229,countries, 4,false)</f>
        <v>Europe</v>
      </c>
      <c r="O1229" s="7" t="str">
        <f>VLOOKUP(L1229,countries, 5,false)</f>
        <v>Western Europe</v>
      </c>
      <c r="P1229" s="7" t="s">
        <v>212</v>
      </c>
      <c r="Q1229" s="7">
        <v>2647.0</v>
      </c>
      <c r="R1229" s="12">
        <v>154.06</v>
      </c>
      <c r="S1229" s="12">
        <v>90.93</v>
      </c>
      <c r="T1229" s="13">
        <f t="shared" si="6"/>
        <v>407796.82</v>
      </c>
      <c r="U1229" s="13">
        <f t="shared" si="7"/>
        <v>520905.28</v>
      </c>
      <c r="V1229" s="13">
        <f t="shared" si="8"/>
        <v>-113108.46</v>
      </c>
      <c r="W1229" s="14">
        <f>Q1229/totals!B$2</f>
        <v>0.0004024922588</v>
      </c>
      <c r="X1229" s="14">
        <f t="shared" si="9"/>
        <v>0.9150165042</v>
      </c>
      <c r="Y1229" s="14">
        <f>T1229/totals!B$5</f>
        <v>0.0002395803856</v>
      </c>
      <c r="Z1229" s="14">
        <f t="shared" si="10"/>
        <v>0.9324292961</v>
      </c>
      <c r="AA1229" s="14">
        <f>V1229/totals!B$4</f>
        <v>-0.0002255355408</v>
      </c>
      <c r="AB1229" s="14">
        <f t="shared" si="11"/>
        <v>0.9289258899</v>
      </c>
    </row>
    <row r="1230">
      <c r="A1230" s="7">
        <v>2103.0</v>
      </c>
      <c r="B1230" s="7" t="str">
        <f>VLOOKUP($A1230,product_category,2, False)</f>
        <v>Cereal</v>
      </c>
      <c r="C1230" s="7">
        <v>9.28168189E8</v>
      </c>
      <c r="D1230" s="9">
        <v>40591.0</v>
      </c>
      <c r="E1230" s="10">
        <f t="shared" si="1"/>
        <v>2</v>
      </c>
      <c r="F1230" s="10" t="str">
        <f t="shared" si="2"/>
        <v>Feb</v>
      </c>
      <c r="G1230" s="11">
        <f t="shared" si="3"/>
        <v>17</v>
      </c>
      <c r="H1230" s="7">
        <f t="shared" si="4"/>
        <v>2011</v>
      </c>
      <c r="I1230" s="9">
        <v>40617.0</v>
      </c>
      <c r="J1230" s="11">
        <f t="shared" si="5"/>
        <v>26</v>
      </c>
      <c r="K1230" s="7" t="s">
        <v>382</v>
      </c>
      <c r="L1230" s="7" t="s">
        <v>155</v>
      </c>
      <c r="M1230" s="7" t="str">
        <f>VLOOKUP(L1230,countries, 2,false)</f>
        <v>Bulgaria</v>
      </c>
      <c r="N1230" s="7" t="str">
        <f>VLOOKUP(L1230,countries, 4,false)</f>
        <v>Europe</v>
      </c>
      <c r="O1230" s="7" t="str">
        <f>VLOOKUP(L1230,countries, 5,false)</f>
        <v>Eastern Europe</v>
      </c>
      <c r="P1230" s="7" t="s">
        <v>212</v>
      </c>
      <c r="Q1230" s="7">
        <v>4448.0</v>
      </c>
      <c r="R1230" s="12">
        <v>205.7</v>
      </c>
      <c r="S1230" s="12">
        <v>117.11</v>
      </c>
      <c r="T1230" s="13">
        <f t="shared" si="6"/>
        <v>914953.6</v>
      </c>
      <c r="U1230" s="13">
        <f t="shared" si="7"/>
        <v>400064.93</v>
      </c>
      <c r="V1230" s="13">
        <f t="shared" si="8"/>
        <v>514888.67</v>
      </c>
      <c r="W1230" s="14">
        <f>Q1230/totals!B$2</f>
        <v>0.0006763451331</v>
      </c>
      <c r="X1230" s="14">
        <f t="shared" si="9"/>
        <v>0.9156928493</v>
      </c>
      <c r="Y1230" s="14">
        <f>T1230/totals!B$5</f>
        <v>0.0005375346878</v>
      </c>
      <c r="Z1230" s="14">
        <f t="shared" si="10"/>
        <v>0.9329668308</v>
      </c>
      <c r="AA1230" s="14">
        <f>V1230/totals!B$4</f>
        <v>0.001026675588</v>
      </c>
      <c r="AB1230" s="14">
        <f t="shared" si="11"/>
        <v>0.9299525655</v>
      </c>
    </row>
    <row r="1231">
      <c r="A1231" s="7">
        <v>8875.0</v>
      </c>
      <c r="B1231" s="7" t="str">
        <f>VLOOKUP($A1231,product_category,2, False)</f>
        <v>Meat</v>
      </c>
      <c r="C1231" s="7">
        <v>9.29812705E8</v>
      </c>
      <c r="D1231" s="9">
        <v>42877.0</v>
      </c>
      <c r="E1231" s="10">
        <f t="shared" si="1"/>
        <v>5</v>
      </c>
      <c r="F1231" s="10" t="str">
        <f t="shared" si="2"/>
        <v>May</v>
      </c>
      <c r="G1231" s="11">
        <f t="shared" si="3"/>
        <v>22</v>
      </c>
      <c r="H1231" s="7">
        <f t="shared" si="4"/>
        <v>2017</v>
      </c>
      <c r="I1231" s="9">
        <v>42880.0</v>
      </c>
      <c r="J1231" s="11">
        <f t="shared" si="5"/>
        <v>3</v>
      </c>
      <c r="K1231" s="7" t="s">
        <v>382</v>
      </c>
      <c r="L1231" s="7" t="s">
        <v>609</v>
      </c>
      <c r="M1231" s="7" t="str">
        <f>VLOOKUP(L1231,countries, 2,false)</f>
        <v>Romania</v>
      </c>
      <c r="N1231" s="7" t="str">
        <f>VLOOKUP(L1231,countries, 4,false)</f>
        <v>Europe</v>
      </c>
      <c r="O1231" s="7" t="str">
        <f>VLOOKUP(L1231,countries, 5,false)</f>
        <v>Eastern Europe</v>
      </c>
      <c r="P1231" s="7" t="s">
        <v>129</v>
      </c>
      <c r="Q1231" s="7">
        <v>1097.0</v>
      </c>
      <c r="R1231" s="12">
        <v>421.89</v>
      </c>
      <c r="S1231" s="12">
        <v>364.69</v>
      </c>
      <c r="T1231" s="13">
        <f t="shared" si="6"/>
        <v>462813.33</v>
      </c>
      <c r="U1231" s="13">
        <f t="shared" si="7"/>
        <v>217825.08</v>
      </c>
      <c r="V1231" s="13">
        <f t="shared" si="8"/>
        <v>244988.25</v>
      </c>
      <c r="W1231" s="14">
        <f>Q1231/totals!B$2</f>
        <v>0.0001668054431</v>
      </c>
      <c r="X1231" s="14">
        <f t="shared" si="9"/>
        <v>0.9158596547</v>
      </c>
      <c r="Y1231" s="14">
        <f>T1231/totals!B$5</f>
        <v>0.000271902552</v>
      </c>
      <c r="Z1231" s="14">
        <f t="shared" si="10"/>
        <v>0.9332387333</v>
      </c>
      <c r="AA1231" s="14">
        <f>V1231/totals!B$4</f>
        <v>0.0004885006609</v>
      </c>
      <c r="AB1231" s="14">
        <f t="shared" si="11"/>
        <v>0.9304410661</v>
      </c>
    </row>
    <row r="1232">
      <c r="A1232" s="7">
        <v>1270.0</v>
      </c>
      <c r="B1232" s="7" t="str">
        <f>VLOOKUP($A1232,product_category,2, False)</f>
        <v>Beverages</v>
      </c>
      <c r="C1232" s="7">
        <v>9.30136287E8</v>
      </c>
      <c r="D1232" s="9">
        <v>41779.0</v>
      </c>
      <c r="E1232" s="10">
        <f t="shared" si="1"/>
        <v>5</v>
      </c>
      <c r="F1232" s="10" t="str">
        <f t="shared" si="2"/>
        <v>May</v>
      </c>
      <c r="G1232" s="11">
        <f t="shared" si="3"/>
        <v>20</v>
      </c>
      <c r="H1232" s="7">
        <f t="shared" si="4"/>
        <v>2014</v>
      </c>
      <c r="I1232" s="9">
        <v>41811.0</v>
      </c>
      <c r="J1232" s="11">
        <f t="shared" si="5"/>
        <v>32</v>
      </c>
      <c r="K1232" s="7" t="s">
        <v>322</v>
      </c>
      <c r="L1232" s="7" t="s">
        <v>364</v>
      </c>
      <c r="M1232" s="7" t="str">
        <f>VLOOKUP(L1232,countries, 2,false)</f>
        <v>Hungary</v>
      </c>
      <c r="N1232" s="7" t="str">
        <f>VLOOKUP(L1232,countries, 4,false)</f>
        <v>Europe</v>
      </c>
      <c r="O1232" s="7" t="str">
        <f>VLOOKUP(L1232,countries, 5,false)</f>
        <v>Eastern Europe</v>
      </c>
      <c r="P1232" s="7" t="s">
        <v>129</v>
      </c>
      <c r="Q1232" s="7">
        <v>6852.0</v>
      </c>
      <c r="R1232" s="12">
        <v>47.45</v>
      </c>
      <c r="S1232" s="12">
        <v>31.79</v>
      </c>
      <c r="T1232" s="13">
        <f t="shared" si="6"/>
        <v>325127.4</v>
      </c>
      <c r="U1232" s="13">
        <f t="shared" si="7"/>
        <v>1585672.12</v>
      </c>
      <c r="V1232" s="13">
        <f t="shared" si="8"/>
        <v>-1260544.72</v>
      </c>
      <c r="W1232" s="14">
        <f>Q1232/totals!B$2</f>
        <v>0.001041887781</v>
      </c>
      <c r="X1232" s="14">
        <f t="shared" si="9"/>
        <v>0.9169015425</v>
      </c>
      <c r="Y1232" s="14">
        <f>T1232/totals!B$5</f>
        <v>0.0001910121513</v>
      </c>
      <c r="Z1232" s="14">
        <f t="shared" si="10"/>
        <v>0.9334297455</v>
      </c>
      <c r="AA1232" s="14">
        <f>V1232/totals!B$4</f>
        <v>-0.002513495765</v>
      </c>
      <c r="AB1232" s="14">
        <f t="shared" si="11"/>
        <v>0.9279275704</v>
      </c>
    </row>
    <row r="1233">
      <c r="A1233" s="7">
        <v>8875.0</v>
      </c>
      <c r="B1233" s="7" t="str">
        <f>VLOOKUP($A1233,product_category,2, False)</f>
        <v>Meat</v>
      </c>
      <c r="C1233" s="7">
        <v>9.3029679E8</v>
      </c>
      <c r="D1233" s="9">
        <v>40229.0</v>
      </c>
      <c r="E1233" s="10">
        <f t="shared" si="1"/>
        <v>2</v>
      </c>
      <c r="F1233" s="10" t="str">
        <f t="shared" si="2"/>
        <v>Feb</v>
      </c>
      <c r="G1233" s="11">
        <f t="shared" si="3"/>
        <v>20</v>
      </c>
      <c r="H1233" s="7">
        <f t="shared" si="4"/>
        <v>2010</v>
      </c>
      <c r="I1233" s="9">
        <v>40263.0</v>
      </c>
      <c r="J1233" s="11">
        <f t="shared" si="5"/>
        <v>34</v>
      </c>
      <c r="K1233" s="7" t="s">
        <v>198</v>
      </c>
      <c r="L1233" s="7" t="s">
        <v>451</v>
      </c>
      <c r="M1233" s="7" t="str">
        <f>VLOOKUP(L1233,countries, 2,false)</f>
        <v>Lithuania</v>
      </c>
      <c r="N1233" s="7" t="str">
        <f>VLOOKUP(L1233,countries, 4,false)</f>
        <v>Europe</v>
      </c>
      <c r="O1233" s="7" t="str">
        <f>VLOOKUP(L1233,countries, 5,false)</f>
        <v>Northern Europe</v>
      </c>
      <c r="P1233" s="7" t="s">
        <v>212</v>
      </c>
      <c r="Q1233" s="7">
        <v>4348.0</v>
      </c>
      <c r="R1233" s="12">
        <v>421.89</v>
      </c>
      <c r="S1233" s="12">
        <v>364.69</v>
      </c>
      <c r="T1233" s="13">
        <f t="shared" si="6"/>
        <v>1834377.72</v>
      </c>
      <c r="U1233" s="13">
        <f t="shared" si="7"/>
        <v>216067.95</v>
      </c>
      <c r="V1233" s="13">
        <f t="shared" si="8"/>
        <v>1618309.77</v>
      </c>
      <c r="W1233" s="14">
        <f>Q1233/totals!B$2</f>
        <v>0.0006611395321</v>
      </c>
      <c r="X1233" s="14">
        <f t="shared" si="9"/>
        <v>0.917562682</v>
      </c>
      <c r="Y1233" s="14">
        <f>T1233/totals!B$5</f>
        <v>0.001077695803</v>
      </c>
      <c r="Z1233" s="14">
        <f t="shared" si="10"/>
        <v>0.9345074413</v>
      </c>
      <c r="AA1233" s="14">
        <f>V1233/totals!B$4</f>
        <v>0.003226870644</v>
      </c>
      <c r="AB1233" s="14">
        <f t="shared" si="11"/>
        <v>0.931154441</v>
      </c>
    </row>
    <row r="1234">
      <c r="A1234" s="7">
        <v>2103.0</v>
      </c>
      <c r="B1234" s="7" t="str">
        <f>VLOOKUP($A1234,product_category,2, False)</f>
        <v>Cereal</v>
      </c>
      <c r="C1234" s="7">
        <v>9.30457293E8</v>
      </c>
      <c r="D1234" s="9">
        <v>41445.0</v>
      </c>
      <c r="E1234" s="10">
        <f t="shared" si="1"/>
        <v>6</v>
      </c>
      <c r="F1234" s="10" t="str">
        <f t="shared" si="2"/>
        <v>Jun</v>
      </c>
      <c r="G1234" s="11">
        <f t="shared" si="3"/>
        <v>20</v>
      </c>
      <c r="H1234" s="7">
        <f t="shared" si="4"/>
        <v>2013</v>
      </c>
      <c r="I1234" s="9">
        <v>41481.0</v>
      </c>
      <c r="J1234" s="11">
        <f t="shared" si="5"/>
        <v>36</v>
      </c>
      <c r="K1234" s="7" t="s">
        <v>382</v>
      </c>
      <c r="L1234" s="7" t="s">
        <v>323</v>
      </c>
      <c r="M1234" s="7" t="str">
        <f>VLOOKUP(L1234,countries, 2,false)</f>
        <v>Montenegro</v>
      </c>
      <c r="N1234" s="7" t="str">
        <f>VLOOKUP(L1234,countries, 4,false)</f>
        <v>Europe</v>
      </c>
      <c r="O1234" s="7" t="str">
        <f>VLOOKUP(L1234,countries, 5,false)</f>
        <v>Southern Europe</v>
      </c>
      <c r="P1234" s="7" t="s">
        <v>212</v>
      </c>
      <c r="Q1234" s="7">
        <v>1845.0</v>
      </c>
      <c r="R1234" s="12">
        <v>205.7</v>
      </c>
      <c r="S1234" s="12">
        <v>117.11</v>
      </c>
      <c r="T1234" s="13">
        <f t="shared" si="6"/>
        <v>379516.5</v>
      </c>
      <c r="U1234" s="13">
        <f t="shared" si="7"/>
        <v>1763276.15</v>
      </c>
      <c r="V1234" s="13">
        <f t="shared" si="8"/>
        <v>-1383759.65</v>
      </c>
      <c r="W1234" s="14">
        <f>Q1234/totals!B$2</f>
        <v>0.0002805433387</v>
      </c>
      <c r="X1234" s="14">
        <f t="shared" si="9"/>
        <v>0.9178432254</v>
      </c>
      <c r="Y1234" s="14">
        <f>T1234/totals!B$5</f>
        <v>0.0002229657147</v>
      </c>
      <c r="Z1234" s="14">
        <f t="shared" si="10"/>
        <v>0.934730407</v>
      </c>
      <c r="AA1234" s="14">
        <f>V1234/totals!B$4</f>
        <v>-0.002759183363</v>
      </c>
      <c r="AB1234" s="14">
        <f t="shared" si="11"/>
        <v>0.9283952576</v>
      </c>
    </row>
    <row r="1235">
      <c r="A1235" s="7">
        <v>8875.0</v>
      </c>
      <c r="B1235" s="7" t="str">
        <f>VLOOKUP($A1235,product_category,2, False)</f>
        <v>Meat</v>
      </c>
      <c r="C1235" s="7">
        <v>9.30670154E8</v>
      </c>
      <c r="D1235" s="9">
        <v>42792.0</v>
      </c>
      <c r="E1235" s="10">
        <f t="shared" si="1"/>
        <v>2</v>
      </c>
      <c r="F1235" s="10" t="str">
        <f t="shared" si="2"/>
        <v>Feb</v>
      </c>
      <c r="G1235" s="11">
        <f t="shared" si="3"/>
        <v>26</v>
      </c>
      <c r="H1235" s="7">
        <f t="shared" si="4"/>
        <v>2017</v>
      </c>
      <c r="I1235" s="9">
        <v>42809.0</v>
      </c>
      <c r="J1235" s="11">
        <f t="shared" si="5"/>
        <v>17</v>
      </c>
      <c r="K1235" s="7" t="s">
        <v>322</v>
      </c>
      <c r="L1235" s="7" t="s">
        <v>111</v>
      </c>
      <c r="M1235" s="7" t="str">
        <f>VLOOKUP(L1235,countries, 2,false)</f>
        <v>Norway</v>
      </c>
      <c r="N1235" s="7" t="str">
        <f>VLOOKUP(L1235,countries, 4,false)</f>
        <v>Europe</v>
      </c>
      <c r="O1235" s="7" t="str">
        <f>VLOOKUP(L1235,countries, 5,false)</f>
        <v>Northern Europe</v>
      </c>
      <c r="P1235" s="7" t="s">
        <v>129</v>
      </c>
      <c r="Q1235" s="7">
        <v>4835.0</v>
      </c>
      <c r="R1235" s="12">
        <v>421.89</v>
      </c>
      <c r="S1235" s="12">
        <v>364.69</v>
      </c>
      <c r="T1235" s="13">
        <f t="shared" si="6"/>
        <v>2039838.15</v>
      </c>
      <c r="U1235" s="13">
        <f t="shared" si="7"/>
        <v>122105.39</v>
      </c>
      <c r="V1235" s="13">
        <f t="shared" si="8"/>
        <v>1917732.76</v>
      </c>
      <c r="W1235" s="14">
        <f>Q1235/totals!B$2</f>
        <v>0.000735190809</v>
      </c>
      <c r="X1235" s="14">
        <f t="shared" si="9"/>
        <v>0.9185784162</v>
      </c>
      <c r="Y1235" s="14">
        <f>T1235/totals!B$5</f>
        <v>0.001198403682</v>
      </c>
      <c r="Z1235" s="14">
        <f t="shared" si="10"/>
        <v>0.9359288107</v>
      </c>
      <c r="AA1235" s="14">
        <f>V1235/totals!B$4</f>
        <v>0.003823912864</v>
      </c>
      <c r="AB1235" s="14">
        <f t="shared" si="11"/>
        <v>0.9322191705</v>
      </c>
    </row>
    <row r="1236">
      <c r="A1236" s="7">
        <v>1270.0</v>
      </c>
      <c r="B1236" s="7" t="str">
        <f>VLOOKUP($A1236,product_category,2, False)</f>
        <v>Beverages</v>
      </c>
      <c r="C1236" s="7">
        <v>9.3147782E8</v>
      </c>
      <c r="D1236" s="9">
        <v>41813.0</v>
      </c>
      <c r="E1236" s="10">
        <f t="shared" si="1"/>
        <v>6</v>
      </c>
      <c r="F1236" s="10" t="str">
        <f t="shared" si="2"/>
        <v>Jun</v>
      </c>
      <c r="G1236" s="11">
        <f t="shared" si="3"/>
        <v>23</v>
      </c>
      <c r="H1236" s="7">
        <f t="shared" si="4"/>
        <v>2014</v>
      </c>
      <c r="I1236" s="9">
        <v>41839.0</v>
      </c>
      <c r="J1236" s="11">
        <f t="shared" si="5"/>
        <v>26</v>
      </c>
      <c r="K1236" s="7" t="s">
        <v>322</v>
      </c>
      <c r="L1236" s="7" t="s">
        <v>113</v>
      </c>
      <c r="M1236" s="7" t="str">
        <f>VLOOKUP(L1236,countries, 2,false)</f>
        <v>Belgium</v>
      </c>
      <c r="N1236" s="7" t="str">
        <f>VLOOKUP(L1236,countries, 4,false)</f>
        <v>Europe</v>
      </c>
      <c r="O1236" s="7" t="str">
        <f>VLOOKUP(L1236,countries, 5,false)</f>
        <v>Western Europe</v>
      </c>
      <c r="P1236" s="7" t="s">
        <v>129</v>
      </c>
      <c r="Q1236" s="7">
        <v>3841.0</v>
      </c>
      <c r="R1236" s="12">
        <v>47.45</v>
      </c>
      <c r="S1236" s="12">
        <v>31.79</v>
      </c>
      <c r="T1236" s="13">
        <f t="shared" si="6"/>
        <v>182255.45</v>
      </c>
      <c r="U1236" s="13">
        <f t="shared" si="7"/>
        <v>290232.32</v>
      </c>
      <c r="V1236" s="13">
        <f t="shared" si="8"/>
        <v>-107976.87</v>
      </c>
      <c r="W1236" s="14">
        <f>Q1236/totals!B$2</f>
        <v>0.0005840471349</v>
      </c>
      <c r="X1236" s="14">
        <f t="shared" si="9"/>
        <v>0.9191624633</v>
      </c>
      <c r="Y1236" s="14">
        <f>T1236/totals!B$5</f>
        <v>0.0001070749669</v>
      </c>
      <c r="Z1236" s="14">
        <f t="shared" si="10"/>
        <v>0.9360358856</v>
      </c>
      <c r="AA1236" s="14">
        <f>V1236/totals!B$4</f>
        <v>-0.0002153032741</v>
      </c>
      <c r="AB1236" s="14">
        <f t="shared" si="11"/>
        <v>0.9320038672</v>
      </c>
    </row>
    <row r="1237">
      <c r="A1237" s="7">
        <v>2455.0</v>
      </c>
      <c r="B1237" s="7" t="str">
        <f>VLOOKUP($A1237,product_category,2, False)</f>
        <v>Clothes</v>
      </c>
      <c r="C1237" s="7">
        <v>9.31559789E8</v>
      </c>
      <c r="D1237" s="9">
        <v>41450.0</v>
      </c>
      <c r="E1237" s="10">
        <f t="shared" si="1"/>
        <v>6</v>
      </c>
      <c r="F1237" s="10" t="str">
        <f t="shared" si="2"/>
        <v>Jun</v>
      </c>
      <c r="G1237" s="11">
        <f t="shared" si="3"/>
        <v>25</v>
      </c>
      <c r="H1237" s="7">
        <f t="shared" si="4"/>
        <v>2013</v>
      </c>
      <c r="I1237" s="9">
        <v>41460.0</v>
      </c>
      <c r="J1237" s="11">
        <f t="shared" si="5"/>
        <v>10</v>
      </c>
      <c r="K1237" s="7" t="s">
        <v>198</v>
      </c>
      <c r="L1237" s="7" t="s">
        <v>364</v>
      </c>
      <c r="M1237" s="7" t="str">
        <f>VLOOKUP(L1237,countries, 2,false)</f>
        <v>Hungary</v>
      </c>
      <c r="N1237" s="7" t="str">
        <f>VLOOKUP(L1237,countries, 4,false)</f>
        <v>Europe</v>
      </c>
      <c r="O1237" s="7" t="str">
        <f>VLOOKUP(L1237,countries, 5,false)</f>
        <v>Eastern Europe</v>
      </c>
      <c r="P1237" s="7" t="s">
        <v>212</v>
      </c>
      <c r="Q1237" s="7">
        <v>8098.0</v>
      </c>
      <c r="R1237" s="12">
        <v>109.28</v>
      </c>
      <c r="S1237" s="12">
        <v>35.84</v>
      </c>
      <c r="T1237" s="13">
        <f t="shared" si="6"/>
        <v>884949.44</v>
      </c>
      <c r="U1237" s="13">
        <f t="shared" si="7"/>
        <v>289511.53</v>
      </c>
      <c r="V1237" s="13">
        <f t="shared" si="8"/>
        <v>595437.91</v>
      </c>
      <c r="W1237" s="14">
        <f>Q1237/totals!B$2</f>
        <v>0.00123134957</v>
      </c>
      <c r="X1237" s="14">
        <f t="shared" si="9"/>
        <v>0.9203938129</v>
      </c>
      <c r="Y1237" s="14">
        <f>T1237/totals!B$5</f>
        <v>0.0005199072619</v>
      </c>
      <c r="Z1237" s="14">
        <f t="shared" si="10"/>
        <v>0.9365557929</v>
      </c>
      <c r="AA1237" s="14">
        <f>V1237/totals!B$4</f>
        <v>0.001187288829</v>
      </c>
      <c r="AB1237" s="14">
        <f t="shared" si="11"/>
        <v>0.9331911561</v>
      </c>
    </row>
    <row r="1238">
      <c r="A1238" s="7">
        <v>1270.0</v>
      </c>
      <c r="B1238" s="7" t="str">
        <f>VLOOKUP($A1238,product_category,2, False)</f>
        <v>Beverages</v>
      </c>
      <c r="C1238" s="7">
        <v>9.32475602E8</v>
      </c>
      <c r="D1238" s="9">
        <v>41556.0</v>
      </c>
      <c r="E1238" s="10">
        <f t="shared" si="1"/>
        <v>10</v>
      </c>
      <c r="F1238" s="10" t="str">
        <f t="shared" si="2"/>
        <v>Oct</v>
      </c>
      <c r="G1238" s="11">
        <f t="shared" si="3"/>
        <v>9</v>
      </c>
      <c r="H1238" s="7">
        <f t="shared" si="4"/>
        <v>2013</v>
      </c>
      <c r="I1238" s="9">
        <v>41599.0</v>
      </c>
      <c r="J1238" s="11">
        <f t="shared" si="5"/>
        <v>43</v>
      </c>
      <c r="K1238" s="7" t="s">
        <v>322</v>
      </c>
      <c r="L1238" s="7" t="s">
        <v>56</v>
      </c>
      <c r="M1238" s="7" t="str">
        <f>VLOOKUP(L1238,countries, 2,false)</f>
        <v>Andorra</v>
      </c>
      <c r="N1238" s="7" t="str">
        <f>VLOOKUP(L1238,countries, 4,false)</f>
        <v>Europe</v>
      </c>
      <c r="O1238" s="7" t="str">
        <f>VLOOKUP(L1238,countries, 5,false)</f>
        <v>Southern Europe</v>
      </c>
      <c r="P1238" s="7" t="s">
        <v>212</v>
      </c>
      <c r="Q1238" s="7">
        <v>9107.0</v>
      </c>
      <c r="R1238" s="12">
        <v>47.45</v>
      </c>
      <c r="S1238" s="12">
        <v>31.79</v>
      </c>
      <c r="T1238" s="13">
        <f t="shared" si="6"/>
        <v>432127.15</v>
      </c>
      <c r="U1238" s="13">
        <f t="shared" si="7"/>
        <v>242660.94</v>
      </c>
      <c r="V1238" s="13">
        <f t="shared" si="8"/>
        <v>189466.21</v>
      </c>
      <c r="W1238" s="14">
        <f>Q1238/totals!B$2</f>
        <v>0.001384774084</v>
      </c>
      <c r="X1238" s="14">
        <f t="shared" si="9"/>
        <v>0.921778587</v>
      </c>
      <c r="Y1238" s="14">
        <f>T1238/totals!B$5</f>
        <v>0.0002538744398</v>
      </c>
      <c r="Z1238" s="14">
        <f t="shared" si="10"/>
        <v>0.9368096673</v>
      </c>
      <c r="AA1238" s="14">
        <f>V1238/totals!B$4</f>
        <v>0.0003777910524</v>
      </c>
      <c r="AB1238" s="14">
        <f t="shared" si="11"/>
        <v>0.9335689471</v>
      </c>
    </row>
    <row r="1239">
      <c r="A1239" s="7">
        <v>3127.0</v>
      </c>
      <c r="B1239" s="7" t="str">
        <f>VLOOKUP($A1239,product_category,2, False)</f>
        <v>Personal Care</v>
      </c>
      <c r="C1239" s="7">
        <v>9.33642041E8</v>
      </c>
      <c r="D1239" s="9">
        <v>41018.0</v>
      </c>
      <c r="E1239" s="10">
        <f t="shared" si="1"/>
        <v>4</v>
      </c>
      <c r="F1239" s="10" t="str">
        <f t="shared" si="2"/>
        <v>Apr</v>
      </c>
      <c r="G1239" s="11">
        <f t="shared" si="3"/>
        <v>19</v>
      </c>
      <c r="H1239" s="7">
        <f t="shared" si="4"/>
        <v>2012</v>
      </c>
      <c r="I1239" s="9">
        <v>41048.0</v>
      </c>
      <c r="J1239" s="11">
        <f t="shared" si="5"/>
        <v>30</v>
      </c>
      <c r="K1239" s="7" t="s">
        <v>382</v>
      </c>
      <c r="L1239" s="7" t="s">
        <v>323</v>
      </c>
      <c r="M1239" s="7" t="str">
        <f>VLOOKUP(L1239,countries, 2,false)</f>
        <v>Montenegro</v>
      </c>
      <c r="N1239" s="7" t="str">
        <f>VLOOKUP(L1239,countries, 4,false)</f>
        <v>Europe</v>
      </c>
      <c r="O1239" s="7" t="str">
        <f>VLOOKUP(L1239,countries, 5,false)</f>
        <v>Southern Europe</v>
      </c>
      <c r="P1239" s="7" t="s">
        <v>129</v>
      </c>
      <c r="Q1239" s="7">
        <v>4282.0</v>
      </c>
      <c r="R1239" s="12">
        <v>81.73</v>
      </c>
      <c r="S1239" s="12">
        <v>56.67</v>
      </c>
      <c r="T1239" s="13">
        <f t="shared" si="6"/>
        <v>349967.86</v>
      </c>
      <c r="U1239" s="13">
        <f t="shared" si="7"/>
        <v>66473.91</v>
      </c>
      <c r="V1239" s="13">
        <f t="shared" si="8"/>
        <v>283493.95</v>
      </c>
      <c r="W1239" s="14">
        <f>Q1239/totals!B$2</f>
        <v>0.0006511038354</v>
      </c>
      <c r="X1239" s="14">
        <f t="shared" si="9"/>
        <v>0.9224296908</v>
      </c>
      <c r="Y1239" s="14">
        <f>T1239/totals!B$5</f>
        <v>0.0002056059065</v>
      </c>
      <c r="Z1239" s="14">
        <f t="shared" si="10"/>
        <v>0.9370152733</v>
      </c>
      <c r="AA1239" s="14">
        <f>V1239/totals!B$4</f>
        <v>0.0005652800978</v>
      </c>
      <c r="AB1239" s="14">
        <f t="shared" si="11"/>
        <v>0.9341342272</v>
      </c>
    </row>
    <row r="1240">
      <c r="A1240" s="7">
        <v>3127.0</v>
      </c>
      <c r="B1240" s="7" t="str">
        <f>VLOOKUP($A1240,product_category,2, False)</f>
        <v>Personal Care</v>
      </c>
      <c r="C1240" s="7">
        <v>9.33699119E8</v>
      </c>
      <c r="D1240" s="9">
        <v>41591.0</v>
      </c>
      <c r="E1240" s="10">
        <f t="shared" si="1"/>
        <v>11</v>
      </c>
      <c r="F1240" s="10" t="str">
        <f t="shared" si="2"/>
        <v>Nov</v>
      </c>
      <c r="G1240" s="11">
        <f t="shared" si="3"/>
        <v>13</v>
      </c>
      <c r="H1240" s="7">
        <f t="shared" si="4"/>
        <v>2013</v>
      </c>
      <c r="I1240" s="9">
        <v>41602.0</v>
      </c>
      <c r="J1240" s="11">
        <f t="shared" si="5"/>
        <v>11</v>
      </c>
      <c r="K1240" s="7" t="s">
        <v>198</v>
      </c>
      <c r="L1240" s="7" t="s">
        <v>534</v>
      </c>
      <c r="M1240" s="7" t="str">
        <f>VLOOKUP(L1240,countries, 2,false)</f>
        <v>Netherlands</v>
      </c>
      <c r="N1240" s="7" t="str">
        <f>VLOOKUP(L1240,countries, 4,false)</f>
        <v>Europe</v>
      </c>
      <c r="O1240" s="7" t="str">
        <f>VLOOKUP(L1240,countries, 5,false)</f>
        <v>Western Europe</v>
      </c>
      <c r="P1240" s="7" t="s">
        <v>212</v>
      </c>
      <c r="Q1240" s="7">
        <v>1173.0</v>
      </c>
      <c r="R1240" s="12">
        <v>81.73</v>
      </c>
      <c r="S1240" s="12">
        <v>56.67</v>
      </c>
      <c r="T1240" s="13">
        <f t="shared" si="6"/>
        <v>95869.29</v>
      </c>
      <c r="U1240" s="13">
        <f t="shared" si="7"/>
        <v>684066.39</v>
      </c>
      <c r="V1240" s="13">
        <f t="shared" si="8"/>
        <v>-588197.1</v>
      </c>
      <c r="W1240" s="14">
        <f>Q1240/totals!B$2</f>
        <v>0.0001783616999</v>
      </c>
      <c r="X1240" s="14">
        <f t="shared" si="9"/>
        <v>0.9226080525</v>
      </c>
      <c r="Y1240" s="14">
        <f>T1240/totals!B$5</f>
        <v>0.00005632315001</v>
      </c>
      <c r="Z1240" s="14">
        <f t="shared" si="10"/>
        <v>0.9370715964</v>
      </c>
      <c r="AA1240" s="14">
        <f>V1240/totals!B$4</f>
        <v>-0.001172850829</v>
      </c>
      <c r="AB1240" s="14">
        <f t="shared" si="11"/>
        <v>0.9329613764</v>
      </c>
    </row>
    <row r="1241">
      <c r="A1241" s="7">
        <v>5988.0</v>
      </c>
      <c r="B1241" s="7" t="str">
        <f>VLOOKUP($A1241,product_category,2, False)</f>
        <v>Vegetables</v>
      </c>
      <c r="C1241" s="7">
        <v>9.33720576E8</v>
      </c>
      <c r="D1241" s="9">
        <v>42596.0</v>
      </c>
      <c r="E1241" s="10">
        <f t="shared" si="1"/>
        <v>8</v>
      </c>
      <c r="F1241" s="10" t="str">
        <f t="shared" si="2"/>
        <v>Aug</v>
      </c>
      <c r="G1241" s="11">
        <f t="shared" si="3"/>
        <v>14</v>
      </c>
      <c r="H1241" s="7">
        <f t="shared" si="4"/>
        <v>2016</v>
      </c>
      <c r="I1241" s="9">
        <v>42644.0</v>
      </c>
      <c r="J1241" s="11">
        <f t="shared" si="5"/>
        <v>48</v>
      </c>
      <c r="K1241" s="7" t="s">
        <v>382</v>
      </c>
      <c r="L1241" s="7" t="s">
        <v>448</v>
      </c>
      <c r="M1241" s="7" t="str">
        <f>VLOOKUP(L1241,countries, 2,false)</f>
        <v>Liechtenstein</v>
      </c>
      <c r="N1241" s="7" t="str">
        <f>VLOOKUP(L1241,countries, 4,false)</f>
        <v>Europe</v>
      </c>
      <c r="O1241" s="7" t="str">
        <f>VLOOKUP(L1241,countries, 5,false)</f>
        <v>Western Europe</v>
      </c>
      <c r="P1241" s="7" t="s">
        <v>212</v>
      </c>
      <c r="Q1241" s="7">
        <v>7523.0</v>
      </c>
      <c r="R1241" s="12">
        <v>154.06</v>
      </c>
      <c r="S1241" s="12">
        <v>90.93</v>
      </c>
      <c r="T1241" s="13">
        <f t="shared" si="6"/>
        <v>1158993.38</v>
      </c>
      <c r="U1241" s="13">
        <f t="shared" si="7"/>
        <v>332416</v>
      </c>
      <c r="V1241" s="13">
        <f t="shared" si="8"/>
        <v>826577.38</v>
      </c>
      <c r="W1241" s="14">
        <f>Q1241/totals!B$2</f>
        <v>0.001143917364</v>
      </c>
      <c r="X1241" s="14">
        <f t="shared" si="9"/>
        <v>0.9237519699</v>
      </c>
      <c r="Y1241" s="14">
        <f>T1241/totals!B$5</f>
        <v>0.0006809079112</v>
      </c>
      <c r="Z1241" s="14">
        <f t="shared" si="10"/>
        <v>0.9377525043</v>
      </c>
      <c r="AA1241" s="14">
        <f>V1241/totals!B$4</f>
        <v>0.001648175357</v>
      </c>
      <c r="AB1241" s="14">
        <f t="shared" si="11"/>
        <v>0.9346095517</v>
      </c>
    </row>
    <row r="1242">
      <c r="A1242" s="7">
        <v>2455.0</v>
      </c>
      <c r="B1242" s="7" t="str">
        <f>VLOOKUP($A1242,product_category,2, False)</f>
        <v>Clothes</v>
      </c>
      <c r="C1242" s="7">
        <v>9.33963048E8</v>
      </c>
      <c r="D1242" s="9">
        <v>40684.0</v>
      </c>
      <c r="E1242" s="10">
        <f t="shared" si="1"/>
        <v>5</v>
      </c>
      <c r="F1242" s="10" t="str">
        <f t="shared" si="2"/>
        <v>May</v>
      </c>
      <c r="G1242" s="11">
        <f t="shared" si="3"/>
        <v>21</v>
      </c>
      <c r="H1242" s="7">
        <f t="shared" si="4"/>
        <v>2011</v>
      </c>
      <c r="I1242" s="9">
        <v>40718.0</v>
      </c>
      <c r="J1242" s="11">
        <f t="shared" si="5"/>
        <v>34</v>
      </c>
      <c r="K1242" s="7" t="s">
        <v>110</v>
      </c>
      <c r="L1242" s="7" t="s">
        <v>705</v>
      </c>
      <c r="M1242" s="7" t="str">
        <f>VLOOKUP(L1242,countries, 2,false)</f>
        <v>Switzerland</v>
      </c>
      <c r="N1242" s="7" t="str">
        <f>VLOOKUP(L1242,countries, 4,false)</f>
        <v>Europe</v>
      </c>
      <c r="O1242" s="7" t="str">
        <f>VLOOKUP(L1242,countries, 5,false)</f>
        <v>Western Europe</v>
      </c>
      <c r="P1242" s="7" t="s">
        <v>212</v>
      </c>
      <c r="Q1242" s="7">
        <v>9275.0</v>
      </c>
      <c r="R1242" s="12">
        <v>109.28</v>
      </c>
      <c r="S1242" s="12">
        <v>35.84</v>
      </c>
      <c r="T1242" s="13">
        <f t="shared" si="6"/>
        <v>1013572</v>
      </c>
      <c r="U1242" s="13">
        <f t="shared" si="7"/>
        <v>253603.77</v>
      </c>
      <c r="V1242" s="13">
        <f t="shared" si="8"/>
        <v>759968.23</v>
      </c>
      <c r="W1242" s="14">
        <f>Q1242/totals!B$2</f>
        <v>0.001410319494</v>
      </c>
      <c r="X1242" s="14">
        <f t="shared" si="9"/>
        <v>0.9251622894</v>
      </c>
      <c r="Y1242" s="14">
        <f>T1242/totals!B$5</f>
        <v>0.0005954729383</v>
      </c>
      <c r="Z1242" s="14">
        <f t="shared" si="10"/>
        <v>0.9383479773</v>
      </c>
      <c r="AA1242" s="14">
        <f>V1242/totals!B$4</f>
        <v>0.001515358319</v>
      </c>
      <c r="AB1242" s="14">
        <f t="shared" si="11"/>
        <v>0.9361249101</v>
      </c>
    </row>
    <row r="1243">
      <c r="A1243" s="7">
        <v>5988.0</v>
      </c>
      <c r="B1243" s="7" t="str">
        <f>VLOOKUP($A1243,product_category,2, False)</f>
        <v>Vegetables</v>
      </c>
      <c r="C1243" s="7">
        <v>9.34718358E8</v>
      </c>
      <c r="D1243" s="9">
        <v>42340.0</v>
      </c>
      <c r="E1243" s="10">
        <f t="shared" si="1"/>
        <v>12</v>
      </c>
      <c r="F1243" s="10" t="str">
        <f t="shared" si="2"/>
        <v>Dec</v>
      </c>
      <c r="G1243" s="11">
        <f t="shared" si="3"/>
        <v>2</v>
      </c>
      <c r="H1243" s="7">
        <f t="shared" si="4"/>
        <v>2015</v>
      </c>
      <c r="I1243" s="9">
        <v>42354.0</v>
      </c>
      <c r="J1243" s="11">
        <f t="shared" si="5"/>
        <v>14</v>
      </c>
      <c r="K1243" s="7" t="s">
        <v>382</v>
      </c>
      <c r="L1243" s="7" t="s">
        <v>383</v>
      </c>
      <c r="M1243" s="7" t="str">
        <f>VLOOKUP(L1243,countries, 2,false)</f>
        <v>Ireland</v>
      </c>
      <c r="N1243" s="7" t="str">
        <f>VLOOKUP(L1243,countries, 4,false)</f>
        <v>Europe</v>
      </c>
      <c r="O1243" s="7" t="str">
        <f>VLOOKUP(L1243,countries, 5,false)</f>
        <v>Northern Europe</v>
      </c>
      <c r="P1243" s="7" t="s">
        <v>129</v>
      </c>
      <c r="Q1243" s="7">
        <v>2789.0</v>
      </c>
      <c r="R1243" s="12">
        <v>154.06</v>
      </c>
      <c r="S1243" s="12">
        <v>90.93</v>
      </c>
      <c r="T1243" s="13">
        <f t="shared" si="6"/>
        <v>429673.34</v>
      </c>
      <c r="U1243" s="13">
        <f t="shared" si="7"/>
        <v>314657.42</v>
      </c>
      <c r="V1243" s="13">
        <f t="shared" si="8"/>
        <v>115015.92</v>
      </c>
      <c r="W1243" s="14">
        <f>Q1243/totals!B$2</f>
        <v>0.0004240842123</v>
      </c>
      <c r="X1243" s="14">
        <f t="shared" si="9"/>
        <v>0.9255863736</v>
      </c>
      <c r="Y1243" s="14">
        <f>T1243/totals!B$5</f>
        <v>0.0002524328279</v>
      </c>
      <c r="Z1243" s="14">
        <f t="shared" si="10"/>
        <v>0.9386004101</v>
      </c>
      <c r="AA1243" s="14">
        <f>V1243/totals!B$4</f>
        <v>0.00022933897</v>
      </c>
      <c r="AB1243" s="14">
        <f t="shared" si="11"/>
        <v>0.936354249</v>
      </c>
    </row>
    <row r="1244">
      <c r="A1244" s="7">
        <v>1270.0</v>
      </c>
      <c r="B1244" s="7" t="str">
        <f>VLOOKUP($A1244,product_category,2, False)</f>
        <v>Beverages</v>
      </c>
      <c r="C1244" s="7">
        <v>9.35789954E8</v>
      </c>
      <c r="D1244" s="9">
        <v>40454.0</v>
      </c>
      <c r="E1244" s="10">
        <f t="shared" si="1"/>
        <v>10</v>
      </c>
      <c r="F1244" s="10" t="str">
        <f t="shared" si="2"/>
        <v>Oct</v>
      </c>
      <c r="G1244" s="11">
        <f t="shared" si="3"/>
        <v>3</v>
      </c>
      <c r="H1244" s="7">
        <f t="shared" si="4"/>
        <v>2010</v>
      </c>
      <c r="I1244" s="9">
        <v>40500.0</v>
      </c>
      <c r="J1244" s="11">
        <f t="shared" si="5"/>
        <v>46</v>
      </c>
      <c r="K1244" s="7" t="s">
        <v>322</v>
      </c>
      <c r="L1244" s="7" t="s">
        <v>107</v>
      </c>
      <c r="M1244" s="7" t="str">
        <f>VLOOKUP(L1244,countries, 2,false)</f>
        <v>Belarus</v>
      </c>
      <c r="N1244" s="7" t="str">
        <f>VLOOKUP(L1244,countries, 4,false)</f>
        <v>Europe</v>
      </c>
      <c r="O1244" s="7" t="str">
        <f>VLOOKUP(L1244,countries, 5,false)</f>
        <v>Eastern Europe</v>
      </c>
      <c r="P1244" s="7" t="s">
        <v>129</v>
      </c>
      <c r="Q1244" s="7">
        <v>9898.0</v>
      </c>
      <c r="R1244" s="12">
        <v>47.45</v>
      </c>
      <c r="S1244" s="12">
        <v>31.79</v>
      </c>
      <c r="T1244" s="13">
        <f t="shared" si="6"/>
        <v>469660.1</v>
      </c>
      <c r="U1244" s="13">
        <f t="shared" si="7"/>
        <v>149254.05</v>
      </c>
      <c r="V1244" s="13">
        <f t="shared" si="8"/>
        <v>320406.05</v>
      </c>
      <c r="W1244" s="14">
        <f>Q1244/totals!B$2</f>
        <v>0.001505050388</v>
      </c>
      <c r="X1244" s="14">
        <f t="shared" si="9"/>
        <v>0.927091424</v>
      </c>
      <c r="Y1244" s="14">
        <f>T1244/totals!B$5</f>
        <v>0.0002759250253</v>
      </c>
      <c r="Z1244" s="14">
        <f t="shared" si="10"/>
        <v>0.9388763351</v>
      </c>
      <c r="AA1244" s="14">
        <f>V1244/totals!B$4</f>
        <v>0.0006388819348</v>
      </c>
      <c r="AB1244" s="14">
        <f t="shared" si="11"/>
        <v>0.936993131</v>
      </c>
    </row>
    <row r="1245">
      <c r="A1245" s="7">
        <v>1270.0</v>
      </c>
      <c r="B1245" s="7" t="str">
        <f>VLOOKUP($A1245,product_category,2, False)</f>
        <v>Beverages</v>
      </c>
      <c r="C1245" s="7">
        <v>9.35907542E8</v>
      </c>
      <c r="D1245" s="9">
        <v>42425.0</v>
      </c>
      <c r="E1245" s="10">
        <f t="shared" si="1"/>
        <v>2</v>
      </c>
      <c r="F1245" s="10" t="str">
        <f t="shared" si="2"/>
        <v>Feb</v>
      </c>
      <c r="G1245" s="11">
        <f t="shared" si="3"/>
        <v>25</v>
      </c>
      <c r="H1245" s="7">
        <f t="shared" si="4"/>
        <v>2016</v>
      </c>
      <c r="I1245" s="9">
        <v>42450.0</v>
      </c>
      <c r="J1245" s="11">
        <f t="shared" si="5"/>
        <v>25</v>
      </c>
      <c r="K1245" s="7" t="s">
        <v>110</v>
      </c>
      <c r="L1245" s="7" t="s">
        <v>460</v>
      </c>
      <c r="M1245" s="7" t="str">
        <f>VLOOKUP(L1245,countries, 2,false)</f>
        <v>Macedonia</v>
      </c>
      <c r="N1245" s="7" t="str">
        <f>VLOOKUP(L1245,countries, 4,false)</f>
        <v>Europe</v>
      </c>
      <c r="O1245" s="7" t="str">
        <f>VLOOKUP(L1245,countries, 5,false)</f>
        <v>Southern Europe</v>
      </c>
      <c r="P1245" s="7" t="s">
        <v>212</v>
      </c>
      <c r="Q1245" s="7">
        <v>4695.0</v>
      </c>
      <c r="R1245" s="12">
        <v>47.45</v>
      </c>
      <c r="S1245" s="12">
        <v>31.79</v>
      </c>
      <c r="T1245" s="13">
        <f t="shared" si="6"/>
        <v>222777.75</v>
      </c>
      <c r="U1245" s="13">
        <f t="shared" si="7"/>
        <v>221863.05</v>
      </c>
      <c r="V1245" s="13">
        <f t="shared" si="8"/>
        <v>914.7</v>
      </c>
      <c r="W1245" s="14">
        <f>Q1245/totals!B$2</f>
        <v>0.0007139029676</v>
      </c>
      <c r="X1245" s="14">
        <f t="shared" si="9"/>
        <v>0.9278053269</v>
      </c>
      <c r="Y1245" s="14">
        <f>T1245/totals!B$5</f>
        <v>0.0001308817937</v>
      </c>
      <c r="Z1245" s="14">
        <f t="shared" si="10"/>
        <v>0.9390072169</v>
      </c>
      <c r="AA1245" s="14">
        <f>V1245/totals!B$4</f>
        <v>0.000001823889735</v>
      </c>
      <c r="AB1245" s="14">
        <f t="shared" si="11"/>
        <v>0.9369949548</v>
      </c>
    </row>
    <row r="1246">
      <c r="A1246" s="7">
        <v>3127.0</v>
      </c>
      <c r="B1246" s="7" t="str">
        <f>VLOOKUP($A1246,product_category,2, False)</f>
        <v>Personal Care</v>
      </c>
      <c r="C1246" s="7">
        <v>9.36411798E8</v>
      </c>
      <c r="D1246" s="9">
        <v>41165.0</v>
      </c>
      <c r="E1246" s="10">
        <f t="shared" si="1"/>
        <v>9</v>
      </c>
      <c r="F1246" s="10" t="str">
        <f t="shared" si="2"/>
        <v>Sep</v>
      </c>
      <c r="G1246" s="11">
        <f t="shared" si="3"/>
        <v>13</v>
      </c>
      <c r="H1246" s="7">
        <f t="shared" si="4"/>
        <v>2012</v>
      </c>
      <c r="I1246" s="9">
        <v>41169.0</v>
      </c>
      <c r="J1246" s="11">
        <f t="shared" si="5"/>
        <v>4</v>
      </c>
      <c r="K1246" s="7" t="s">
        <v>322</v>
      </c>
      <c r="L1246" s="7" t="s">
        <v>432</v>
      </c>
      <c r="M1246" s="7" t="str">
        <f>VLOOKUP(L1246,countries, 2,false)</f>
        <v>Latvia</v>
      </c>
      <c r="N1246" s="7" t="str">
        <f>VLOOKUP(L1246,countries, 4,false)</f>
        <v>Europe</v>
      </c>
      <c r="O1246" s="7" t="str">
        <f>VLOOKUP(L1246,countries, 5,false)</f>
        <v>Northern Europe</v>
      </c>
      <c r="P1246" s="7" t="s">
        <v>212</v>
      </c>
      <c r="Q1246" s="7">
        <v>3915.0</v>
      </c>
      <c r="R1246" s="12">
        <v>81.73</v>
      </c>
      <c r="S1246" s="12">
        <v>56.67</v>
      </c>
      <c r="T1246" s="13">
        <f t="shared" si="6"/>
        <v>319972.95</v>
      </c>
      <c r="U1246" s="13">
        <f t="shared" si="7"/>
        <v>367902.78</v>
      </c>
      <c r="V1246" s="13">
        <f t="shared" si="8"/>
        <v>-47929.83</v>
      </c>
      <c r="W1246" s="14">
        <f>Q1246/totals!B$2</f>
        <v>0.0005952992797</v>
      </c>
      <c r="X1246" s="14">
        <f t="shared" si="9"/>
        <v>0.9284006262</v>
      </c>
      <c r="Y1246" s="14">
        <f>T1246/totals!B$5</f>
        <v>0.000187983915</v>
      </c>
      <c r="Z1246" s="14">
        <f t="shared" si="10"/>
        <v>0.9391952008</v>
      </c>
      <c r="AA1246" s="14">
        <f>V1246/totals!B$4</f>
        <v>-0.00009557092485</v>
      </c>
      <c r="AB1246" s="14">
        <f t="shared" si="11"/>
        <v>0.9368993839</v>
      </c>
    </row>
    <row r="1247">
      <c r="A1247" s="7">
        <v>5988.0</v>
      </c>
      <c r="B1247" s="7" t="str">
        <f>VLOOKUP($A1247,product_category,2, False)</f>
        <v>Vegetables</v>
      </c>
      <c r="C1247" s="7">
        <v>9.3654741E8</v>
      </c>
      <c r="D1247" s="9">
        <v>40551.0</v>
      </c>
      <c r="E1247" s="10">
        <f t="shared" si="1"/>
        <v>1</v>
      </c>
      <c r="F1247" s="10" t="str">
        <f t="shared" si="2"/>
        <v>Jan</v>
      </c>
      <c r="G1247" s="11">
        <f t="shared" si="3"/>
        <v>8</v>
      </c>
      <c r="H1247" s="7">
        <f t="shared" si="4"/>
        <v>2011</v>
      </c>
      <c r="I1247" s="9">
        <v>40555.0</v>
      </c>
      <c r="J1247" s="11">
        <f t="shared" si="5"/>
        <v>4</v>
      </c>
      <c r="K1247" s="7" t="s">
        <v>322</v>
      </c>
      <c r="L1247" s="7" t="s">
        <v>316</v>
      </c>
      <c r="M1247" s="7" t="str">
        <f>VLOOKUP(L1247,countries, 2,false)</f>
        <v>Greece</v>
      </c>
      <c r="N1247" s="7" t="str">
        <f>VLOOKUP(L1247,countries, 4,false)</f>
        <v>Europe</v>
      </c>
      <c r="O1247" s="7" t="str">
        <f>VLOOKUP(L1247,countries, 5,false)</f>
        <v>Southern Europe</v>
      </c>
      <c r="P1247" s="7" t="s">
        <v>212</v>
      </c>
      <c r="Q1247" s="7">
        <v>4046.0</v>
      </c>
      <c r="R1247" s="12">
        <v>154.06</v>
      </c>
      <c r="S1247" s="12">
        <v>90.93</v>
      </c>
      <c r="T1247" s="13">
        <f t="shared" si="6"/>
        <v>623326.76</v>
      </c>
      <c r="U1247" s="13">
        <f t="shared" si="7"/>
        <v>804093.99</v>
      </c>
      <c r="V1247" s="13">
        <f t="shared" si="8"/>
        <v>-180767.23</v>
      </c>
      <c r="W1247" s="14">
        <f>Q1247/totals!B$2</f>
        <v>0.000615218617</v>
      </c>
      <c r="X1247" s="14">
        <f t="shared" si="9"/>
        <v>0.9290158448</v>
      </c>
      <c r="Y1247" s="14">
        <f>T1247/totals!B$5</f>
        <v>0.0003662040953</v>
      </c>
      <c r="Z1247" s="14">
        <f t="shared" si="10"/>
        <v>0.9395614049</v>
      </c>
      <c r="AA1247" s="14">
        <f>V1247/totals!B$4</f>
        <v>-0.0003604454961</v>
      </c>
      <c r="AB1247" s="14">
        <f t="shared" si="11"/>
        <v>0.9365389384</v>
      </c>
    </row>
    <row r="1248">
      <c r="A1248" s="7">
        <v>5988.0</v>
      </c>
      <c r="B1248" s="7" t="str">
        <f>VLOOKUP($A1248,product_category,2, False)</f>
        <v>Vegetables</v>
      </c>
      <c r="C1248" s="7">
        <v>9.36664998E8</v>
      </c>
      <c r="D1248" s="9">
        <v>42522.0</v>
      </c>
      <c r="E1248" s="10">
        <f t="shared" si="1"/>
        <v>6</v>
      </c>
      <c r="F1248" s="10" t="str">
        <f t="shared" si="2"/>
        <v>Jun</v>
      </c>
      <c r="G1248" s="11">
        <f t="shared" si="3"/>
        <v>1</v>
      </c>
      <c r="H1248" s="7">
        <f t="shared" si="4"/>
        <v>2016</v>
      </c>
      <c r="I1248" s="9">
        <v>42556.0</v>
      </c>
      <c r="J1248" s="11">
        <f t="shared" si="5"/>
        <v>34</v>
      </c>
      <c r="K1248" s="7" t="s">
        <v>110</v>
      </c>
      <c r="L1248" s="7" t="s">
        <v>439</v>
      </c>
      <c r="M1248" s="7" t="str">
        <f>VLOOKUP(L1248,countries, 2,false)</f>
        <v>Slovakia</v>
      </c>
      <c r="N1248" s="7" t="str">
        <f>VLOOKUP(L1248,countries, 4,false)</f>
        <v>Europe</v>
      </c>
      <c r="O1248" s="7" t="str">
        <f>VLOOKUP(L1248,countries, 5,false)</f>
        <v>Eastern Europe</v>
      </c>
      <c r="P1248" s="7" t="s">
        <v>212</v>
      </c>
      <c r="Q1248" s="7">
        <v>8843.0</v>
      </c>
      <c r="R1248" s="12">
        <v>154.06</v>
      </c>
      <c r="S1248" s="12">
        <v>90.93</v>
      </c>
      <c r="T1248" s="13">
        <f t="shared" si="6"/>
        <v>1362352.58</v>
      </c>
      <c r="U1248" s="13">
        <f t="shared" si="7"/>
        <v>254392.32</v>
      </c>
      <c r="V1248" s="13">
        <f t="shared" si="8"/>
        <v>1107960.26</v>
      </c>
      <c r="W1248" s="14">
        <f>Q1248/totals!B$2</f>
        <v>0.001344631298</v>
      </c>
      <c r="X1248" s="14">
        <f t="shared" si="9"/>
        <v>0.9303604761</v>
      </c>
      <c r="Y1248" s="14">
        <f>T1248/totals!B$5</f>
        <v>0.0008003813185</v>
      </c>
      <c r="Z1248" s="14">
        <f t="shared" si="10"/>
        <v>0.9403617862</v>
      </c>
      <c r="AA1248" s="14">
        <f>V1248/totals!B$4</f>
        <v>0.002209246032</v>
      </c>
      <c r="AB1248" s="14">
        <f t="shared" si="11"/>
        <v>0.9387481845</v>
      </c>
    </row>
    <row r="1249">
      <c r="A1249" s="7">
        <v>2455.0</v>
      </c>
      <c r="B1249" s="7" t="str">
        <f>VLOOKUP($A1249,product_category,2, False)</f>
        <v>Clothes</v>
      </c>
      <c r="C1249" s="7">
        <v>9.3787564E8</v>
      </c>
      <c r="D1249" s="9">
        <v>40846.0</v>
      </c>
      <c r="E1249" s="10">
        <f t="shared" si="1"/>
        <v>10</v>
      </c>
      <c r="F1249" s="10" t="str">
        <f t="shared" si="2"/>
        <v>Oct</v>
      </c>
      <c r="G1249" s="11">
        <f t="shared" si="3"/>
        <v>30</v>
      </c>
      <c r="H1249" s="7">
        <f t="shared" si="4"/>
        <v>2011</v>
      </c>
      <c r="I1249" s="9">
        <v>40877.0</v>
      </c>
      <c r="J1249" s="11">
        <f t="shared" si="5"/>
        <v>31</v>
      </c>
      <c r="K1249" s="7" t="s">
        <v>198</v>
      </c>
      <c r="L1249" s="7" t="s">
        <v>642</v>
      </c>
      <c r="M1249" s="7" t="str">
        <f>VLOOKUP(L1249,countries, 2,false)</f>
        <v>San Marino</v>
      </c>
      <c r="N1249" s="7" t="str">
        <f>VLOOKUP(L1249,countries, 4,false)</f>
        <v>Europe</v>
      </c>
      <c r="O1249" s="7" t="str">
        <f>VLOOKUP(L1249,countries, 5,false)</f>
        <v>Southern Europe</v>
      </c>
      <c r="P1249" s="7" t="s">
        <v>129</v>
      </c>
      <c r="Q1249" s="7">
        <v>7098.0</v>
      </c>
      <c r="R1249" s="12">
        <v>109.28</v>
      </c>
      <c r="S1249" s="12">
        <v>35.84</v>
      </c>
      <c r="T1249" s="13">
        <f t="shared" si="6"/>
        <v>775669.44</v>
      </c>
      <c r="U1249" s="13">
        <f t="shared" si="7"/>
        <v>341606.76</v>
      </c>
      <c r="V1249" s="13">
        <f t="shared" si="8"/>
        <v>434062.68</v>
      </c>
      <c r="W1249" s="14">
        <f>Q1249/totals!B$2</f>
        <v>0.00107929356</v>
      </c>
      <c r="X1249" s="14">
        <f t="shared" si="9"/>
        <v>0.9314397697</v>
      </c>
      <c r="Y1249" s="14">
        <f>T1249/totals!B$5</f>
        <v>0.0004557053278</v>
      </c>
      <c r="Z1249" s="14">
        <f t="shared" si="10"/>
        <v>0.9408174916</v>
      </c>
      <c r="AA1249" s="14">
        <f>V1249/totals!B$4</f>
        <v>0.0008655105134</v>
      </c>
      <c r="AB1249" s="14">
        <f t="shared" si="11"/>
        <v>0.939613695</v>
      </c>
    </row>
    <row r="1250">
      <c r="A1250" s="7">
        <v>3127.0</v>
      </c>
      <c r="B1250" s="7" t="str">
        <f>VLOOKUP($A1250,product_category,2, False)</f>
        <v>Personal Care</v>
      </c>
      <c r="C1250" s="7">
        <v>9.3820995E8</v>
      </c>
      <c r="D1250" s="9">
        <v>40251.0</v>
      </c>
      <c r="E1250" s="10">
        <f t="shared" si="1"/>
        <v>3</v>
      </c>
      <c r="F1250" s="10" t="str">
        <f t="shared" si="2"/>
        <v>Mar</v>
      </c>
      <c r="G1250" s="11">
        <f t="shared" si="3"/>
        <v>14</v>
      </c>
      <c r="H1250" s="7">
        <f t="shared" si="4"/>
        <v>2010</v>
      </c>
      <c r="I1250" s="9">
        <v>40253.0</v>
      </c>
      <c r="J1250" s="11">
        <f t="shared" si="5"/>
        <v>2</v>
      </c>
      <c r="K1250" s="7" t="s">
        <v>198</v>
      </c>
      <c r="L1250" s="7" t="s">
        <v>307</v>
      </c>
      <c r="M1250" s="7" t="str">
        <f>VLOOKUP(L1250,countries, 2,false)</f>
        <v>Germany</v>
      </c>
      <c r="N1250" s="7" t="str">
        <f>VLOOKUP(L1250,countries, 4,false)</f>
        <v>Europe</v>
      </c>
      <c r="O1250" s="7" t="str">
        <f>VLOOKUP(L1250,countries, 5,false)</f>
        <v>Western Europe</v>
      </c>
      <c r="P1250" s="7" t="s">
        <v>212</v>
      </c>
      <c r="Q1250" s="7">
        <v>6028.0</v>
      </c>
      <c r="R1250" s="12">
        <v>81.73</v>
      </c>
      <c r="S1250" s="12">
        <v>56.67</v>
      </c>
      <c r="T1250" s="13">
        <f t="shared" si="6"/>
        <v>492668.44</v>
      </c>
      <c r="U1250" s="13">
        <f t="shared" si="7"/>
        <v>896125.72</v>
      </c>
      <c r="V1250" s="13">
        <f t="shared" si="8"/>
        <v>-403457.28</v>
      </c>
      <c r="W1250" s="14">
        <f>Q1250/totals!B$2</f>
        <v>0.0009165936291</v>
      </c>
      <c r="X1250" s="14">
        <f t="shared" si="9"/>
        <v>0.9323563633</v>
      </c>
      <c r="Y1250" s="14">
        <f>T1250/totals!B$5</f>
        <v>0.0002894424111</v>
      </c>
      <c r="Z1250" s="14">
        <f t="shared" si="10"/>
        <v>0.941106934</v>
      </c>
      <c r="AA1250" s="14">
        <f>V1250/totals!B$4</f>
        <v>-0.0008044840841</v>
      </c>
      <c r="AB1250" s="14">
        <f t="shared" si="11"/>
        <v>0.9388092109</v>
      </c>
    </row>
    <row r="1251">
      <c r="A1251" s="7">
        <v>2103.0</v>
      </c>
      <c r="B1251" s="7" t="str">
        <f>VLOOKUP($A1251,product_category,2, False)</f>
        <v>Cereal</v>
      </c>
      <c r="C1251" s="7">
        <v>9.40682303E8</v>
      </c>
      <c r="D1251" s="9">
        <v>40179.0</v>
      </c>
      <c r="E1251" s="10">
        <f t="shared" si="1"/>
        <v>1</v>
      </c>
      <c r="F1251" s="10" t="str">
        <f t="shared" si="2"/>
        <v>Jan</v>
      </c>
      <c r="G1251" s="11">
        <f t="shared" si="3"/>
        <v>1</v>
      </c>
      <c r="H1251" s="7">
        <f t="shared" si="4"/>
        <v>2010</v>
      </c>
      <c r="I1251" s="9">
        <v>40218.0</v>
      </c>
      <c r="J1251" s="11">
        <f t="shared" si="5"/>
        <v>39</v>
      </c>
      <c r="K1251" s="7" t="s">
        <v>322</v>
      </c>
      <c r="L1251" s="7" t="s">
        <v>448</v>
      </c>
      <c r="M1251" s="7" t="str">
        <f>VLOOKUP(L1251,countries, 2,false)</f>
        <v>Liechtenstein</v>
      </c>
      <c r="N1251" s="7" t="str">
        <f>VLOOKUP(L1251,countries, 4,false)</f>
        <v>Europe</v>
      </c>
      <c r="O1251" s="7" t="str">
        <f>VLOOKUP(L1251,countries, 5,false)</f>
        <v>Western Europe</v>
      </c>
      <c r="P1251" s="7" t="s">
        <v>129</v>
      </c>
      <c r="Q1251" s="7">
        <v>7652.0</v>
      </c>
      <c r="R1251" s="12">
        <v>205.7</v>
      </c>
      <c r="S1251" s="12">
        <v>117.11</v>
      </c>
      <c r="T1251" s="13">
        <f t="shared" si="6"/>
        <v>1574016.4</v>
      </c>
      <c r="U1251" s="13">
        <f t="shared" si="7"/>
        <v>901752.81</v>
      </c>
      <c r="V1251" s="13">
        <f t="shared" si="8"/>
        <v>672263.59</v>
      </c>
      <c r="W1251" s="14">
        <f>Q1251/totals!B$2</f>
        <v>0.00116353259</v>
      </c>
      <c r="X1251" s="14">
        <f t="shared" si="9"/>
        <v>0.9335198959</v>
      </c>
      <c r="Y1251" s="14">
        <f>T1251/totals!B$5</f>
        <v>0.000924733685</v>
      </c>
      <c r="Z1251" s="14">
        <f t="shared" si="10"/>
        <v>0.9420316677</v>
      </c>
      <c r="AA1251" s="14">
        <f>V1251/totals!B$4</f>
        <v>0.001340477382</v>
      </c>
      <c r="AB1251" s="14">
        <f t="shared" si="11"/>
        <v>0.9401496883</v>
      </c>
    </row>
    <row r="1252">
      <c r="A1252" s="7">
        <v>5988.0</v>
      </c>
      <c r="B1252" s="7" t="str">
        <f>VLOOKUP($A1252,product_category,2, False)</f>
        <v>Vegetables</v>
      </c>
      <c r="C1252" s="7">
        <v>9.41061675E8</v>
      </c>
      <c r="D1252" s="9">
        <v>42802.0</v>
      </c>
      <c r="E1252" s="10">
        <f t="shared" si="1"/>
        <v>3</v>
      </c>
      <c r="F1252" s="10" t="str">
        <f t="shared" si="2"/>
        <v>Mar</v>
      </c>
      <c r="G1252" s="11">
        <f t="shared" si="3"/>
        <v>8</v>
      </c>
      <c r="H1252" s="7">
        <f t="shared" si="4"/>
        <v>2017</v>
      </c>
      <c r="I1252" s="9">
        <v>42814.0</v>
      </c>
      <c r="J1252" s="11">
        <f t="shared" si="5"/>
        <v>12</v>
      </c>
      <c r="K1252" s="7" t="s">
        <v>110</v>
      </c>
      <c r="L1252" s="7" t="e">
        <v>#N/A</v>
      </c>
      <c r="M1252" s="7"/>
      <c r="N1252" s="7"/>
      <c r="O1252" s="7"/>
      <c r="P1252" s="7" t="s">
        <v>212</v>
      </c>
      <c r="Q1252" s="7">
        <v>9917.0</v>
      </c>
      <c r="R1252" s="12">
        <v>154.06</v>
      </c>
      <c r="S1252" s="12">
        <v>90.93</v>
      </c>
      <c r="T1252" s="13">
        <f t="shared" si="6"/>
        <v>1527813.02</v>
      </c>
      <c r="U1252" s="13">
        <f t="shared" si="7"/>
        <v>386432.73</v>
      </c>
      <c r="V1252" s="13">
        <f t="shared" si="8"/>
        <v>1141380.29</v>
      </c>
      <c r="W1252" s="14">
        <f>Q1252/totals!B$2</f>
        <v>0.001507939453</v>
      </c>
      <c r="X1252" s="14">
        <f t="shared" si="9"/>
        <v>0.9350278354</v>
      </c>
      <c r="Y1252" s="14">
        <f>T1252/totals!B$5</f>
        <v>0.0008975892271</v>
      </c>
      <c r="Z1252" s="14">
        <f t="shared" si="10"/>
        <v>0.9429292569</v>
      </c>
      <c r="AA1252" s="14">
        <f>V1252/totals!B$4</f>
        <v>0.002275884766</v>
      </c>
      <c r="AB1252" s="14">
        <f t="shared" si="11"/>
        <v>0.942425573</v>
      </c>
    </row>
    <row r="1253">
      <c r="A1253" s="7">
        <v>3127.0</v>
      </c>
      <c r="B1253" s="7" t="str">
        <f>VLOOKUP($A1253,product_category,2, False)</f>
        <v>Personal Care</v>
      </c>
      <c r="C1253" s="7">
        <v>9.41524302E8</v>
      </c>
      <c r="D1253" s="9">
        <v>41915.0</v>
      </c>
      <c r="E1253" s="10">
        <f t="shared" si="1"/>
        <v>10</v>
      </c>
      <c r="F1253" s="10" t="str">
        <f t="shared" si="2"/>
        <v>Oct</v>
      </c>
      <c r="G1253" s="11">
        <f t="shared" si="3"/>
        <v>3</v>
      </c>
      <c r="H1253" s="7">
        <f t="shared" si="4"/>
        <v>2014</v>
      </c>
      <c r="I1253" s="9">
        <v>41921.0</v>
      </c>
      <c r="J1253" s="11">
        <f t="shared" si="5"/>
        <v>6</v>
      </c>
      <c r="K1253" s="7" t="s">
        <v>198</v>
      </c>
      <c r="L1253" s="7" t="s">
        <v>383</v>
      </c>
      <c r="M1253" s="7" t="str">
        <f>VLOOKUP(L1253,countries, 2,false)</f>
        <v>Ireland</v>
      </c>
      <c r="N1253" s="7" t="str">
        <f>VLOOKUP(L1253,countries, 4,false)</f>
        <v>Europe</v>
      </c>
      <c r="O1253" s="7" t="str">
        <f>VLOOKUP(L1253,countries, 5,false)</f>
        <v>Northern Europe</v>
      </c>
      <c r="P1253" s="7" t="s">
        <v>129</v>
      </c>
      <c r="Q1253" s="7">
        <v>6819.0</v>
      </c>
      <c r="R1253" s="12">
        <v>81.73</v>
      </c>
      <c r="S1253" s="12">
        <v>56.67</v>
      </c>
      <c r="T1253" s="13">
        <f t="shared" si="6"/>
        <v>557316.87</v>
      </c>
      <c r="U1253" s="13">
        <f t="shared" si="7"/>
        <v>764514.24</v>
      </c>
      <c r="V1253" s="13">
        <f t="shared" si="8"/>
        <v>-207197.37</v>
      </c>
      <c r="W1253" s="14">
        <f>Q1253/totals!B$2</f>
        <v>0.001036869933</v>
      </c>
      <c r="X1253" s="14">
        <f t="shared" si="9"/>
        <v>0.9360647053</v>
      </c>
      <c r="Y1253" s="14">
        <f>T1253/totals!B$5</f>
        <v>0.0003274233248</v>
      </c>
      <c r="Z1253" s="14">
        <f t="shared" si="10"/>
        <v>0.9432566802</v>
      </c>
      <c r="AA1253" s="14">
        <f>V1253/totals!B$4</f>
        <v>-0.0004131465577</v>
      </c>
      <c r="AB1253" s="14">
        <f t="shared" si="11"/>
        <v>0.9420124265</v>
      </c>
    </row>
    <row r="1254">
      <c r="A1254" s="7">
        <v>8969.0</v>
      </c>
      <c r="B1254" s="7" t="str">
        <f>VLOOKUP($A1254,product_category,2, False)</f>
        <v>Snacks</v>
      </c>
      <c r="C1254" s="7">
        <v>9.41933286E8</v>
      </c>
      <c r="D1254" s="9">
        <v>41279.0</v>
      </c>
      <c r="E1254" s="10">
        <f t="shared" si="1"/>
        <v>1</v>
      </c>
      <c r="F1254" s="10" t="str">
        <f t="shared" si="2"/>
        <v>Jan</v>
      </c>
      <c r="G1254" s="11">
        <f t="shared" si="3"/>
        <v>5</v>
      </c>
      <c r="H1254" s="7">
        <f t="shared" si="4"/>
        <v>2013</v>
      </c>
      <c r="I1254" s="9">
        <v>41313.0</v>
      </c>
      <c r="J1254" s="11">
        <f t="shared" si="5"/>
        <v>34</v>
      </c>
      <c r="K1254" s="7" t="s">
        <v>110</v>
      </c>
      <c r="L1254" s="7" t="s">
        <v>612</v>
      </c>
      <c r="M1254" s="7" t="str">
        <f>VLOOKUP(L1254,countries, 2,false)</f>
        <v>Russia</v>
      </c>
      <c r="N1254" s="7" t="str">
        <f>VLOOKUP(L1254,countries, 4,false)</f>
        <v>Europe</v>
      </c>
      <c r="O1254" s="7" t="str">
        <f>VLOOKUP(L1254,countries, 5,false)</f>
        <v>Eastern Europe</v>
      </c>
      <c r="P1254" s="7" t="s">
        <v>129</v>
      </c>
      <c r="Q1254" s="7">
        <v>7846.0</v>
      </c>
      <c r="R1254" s="12">
        <v>152.58</v>
      </c>
      <c r="S1254" s="12">
        <v>97.44</v>
      </c>
      <c r="T1254" s="13">
        <f t="shared" si="6"/>
        <v>1197142.68</v>
      </c>
      <c r="U1254" s="13">
        <f t="shared" si="7"/>
        <v>705889.59</v>
      </c>
      <c r="V1254" s="13">
        <f t="shared" si="8"/>
        <v>491253.09</v>
      </c>
      <c r="W1254" s="14">
        <f>Q1254/totals!B$2</f>
        <v>0.001193031456</v>
      </c>
      <c r="X1254" s="14">
        <f t="shared" si="9"/>
        <v>0.9372577368</v>
      </c>
      <c r="Y1254" s="14">
        <f>T1254/totals!B$5</f>
        <v>0.000703320602</v>
      </c>
      <c r="Z1254" s="14">
        <f t="shared" si="10"/>
        <v>0.9439600008</v>
      </c>
      <c r="AA1254" s="14">
        <f>V1254/totals!B$4</f>
        <v>0.0009795468114</v>
      </c>
      <c r="AB1254" s="14">
        <f t="shared" si="11"/>
        <v>0.9429919733</v>
      </c>
    </row>
    <row r="1255">
      <c r="A1255" s="7">
        <v>5988.0</v>
      </c>
      <c r="B1255" s="7" t="str">
        <f>VLOOKUP($A1255,product_category,2, False)</f>
        <v>Vegetables</v>
      </c>
      <c r="C1255" s="7">
        <v>9.4237231E8</v>
      </c>
      <c r="D1255" s="9">
        <v>40945.0</v>
      </c>
      <c r="E1255" s="10">
        <f t="shared" si="1"/>
        <v>2</v>
      </c>
      <c r="F1255" s="10" t="str">
        <f t="shared" si="2"/>
        <v>Feb</v>
      </c>
      <c r="G1255" s="11">
        <f t="shared" si="3"/>
        <v>6</v>
      </c>
      <c r="H1255" s="7">
        <f t="shared" si="4"/>
        <v>2012</v>
      </c>
      <c r="I1255" s="9">
        <v>40958.0</v>
      </c>
      <c r="J1255" s="11">
        <f t="shared" si="5"/>
        <v>13</v>
      </c>
      <c r="K1255" s="7" t="s">
        <v>110</v>
      </c>
      <c r="L1255" s="7" t="s">
        <v>136</v>
      </c>
      <c r="M1255" s="7" t="str">
        <f>VLOOKUP(L1255,countries, 2,false)</f>
        <v>Bosnia and Herzegovina</v>
      </c>
      <c r="N1255" s="7" t="str">
        <f>VLOOKUP(L1255,countries, 4,false)</f>
        <v>Europe</v>
      </c>
      <c r="O1255" s="7" t="str">
        <f>VLOOKUP(L1255,countries, 5,false)</f>
        <v>Southern Europe</v>
      </c>
      <c r="P1255" s="7" t="s">
        <v>212</v>
      </c>
      <c r="Q1255" s="7">
        <v>7763.0</v>
      </c>
      <c r="R1255" s="12">
        <v>154.06</v>
      </c>
      <c r="S1255" s="12">
        <v>90.93</v>
      </c>
      <c r="T1255" s="13">
        <f t="shared" si="6"/>
        <v>1195967.78</v>
      </c>
      <c r="U1255" s="13">
        <f t="shared" si="7"/>
        <v>531663.27</v>
      </c>
      <c r="V1255" s="13">
        <f t="shared" si="8"/>
        <v>664304.51</v>
      </c>
      <c r="W1255" s="14">
        <f>Q1255/totals!B$2</f>
        <v>0.001180410807</v>
      </c>
      <c r="X1255" s="14">
        <f t="shared" si="9"/>
        <v>0.9384381476</v>
      </c>
      <c r="Y1255" s="14">
        <f>T1255/totals!B$5</f>
        <v>0.0007026303489</v>
      </c>
      <c r="Z1255" s="14">
        <f t="shared" si="10"/>
        <v>0.9446626312</v>
      </c>
      <c r="AA1255" s="14">
        <f>V1255/totals!B$4</f>
        <v>0.001324607168</v>
      </c>
      <c r="AB1255" s="14">
        <f t="shared" si="11"/>
        <v>0.9443165805</v>
      </c>
    </row>
    <row r="1256">
      <c r="A1256" s="7">
        <v>8293.0</v>
      </c>
      <c r="B1256" s="7" t="str">
        <f>VLOOKUP($A1256,product_category,2, False)</f>
        <v>Cosmetics</v>
      </c>
      <c r="C1256" s="7">
        <v>9.42454278E8</v>
      </c>
      <c r="D1256" s="9">
        <v>40583.0</v>
      </c>
      <c r="E1256" s="10">
        <f t="shared" si="1"/>
        <v>2</v>
      </c>
      <c r="F1256" s="10" t="str">
        <f t="shared" si="2"/>
        <v>Feb</v>
      </c>
      <c r="G1256" s="11">
        <f t="shared" si="3"/>
        <v>9</v>
      </c>
      <c r="H1256" s="7">
        <f t="shared" si="4"/>
        <v>2011</v>
      </c>
      <c r="I1256" s="9">
        <v>40631.0</v>
      </c>
      <c r="J1256" s="11">
        <f t="shared" si="5"/>
        <v>48</v>
      </c>
      <c r="K1256" s="7" t="s">
        <v>110</v>
      </c>
      <c r="L1256" s="7" t="s">
        <v>367</v>
      </c>
      <c r="M1256" s="7" t="str">
        <f>VLOOKUP(L1256,countries, 2,false)</f>
        <v>Iceland</v>
      </c>
      <c r="N1256" s="7" t="str">
        <f>VLOOKUP(L1256,countries, 4,false)</f>
        <v>Europe</v>
      </c>
      <c r="O1256" s="7" t="str">
        <f>VLOOKUP(L1256,countries, 5,false)</f>
        <v>Northern Europe</v>
      </c>
      <c r="P1256" s="7" t="s">
        <v>129</v>
      </c>
      <c r="Q1256" s="7">
        <v>2019.0</v>
      </c>
      <c r="R1256" s="12">
        <v>437.2</v>
      </c>
      <c r="S1256" s="12">
        <v>263.33</v>
      </c>
      <c r="T1256" s="13">
        <f t="shared" si="6"/>
        <v>882706.8</v>
      </c>
      <c r="U1256" s="13">
        <f t="shared" si="7"/>
        <v>471219.84</v>
      </c>
      <c r="V1256" s="13">
        <f t="shared" si="8"/>
        <v>411486.96</v>
      </c>
      <c r="W1256" s="14">
        <f>Q1256/totals!B$2</f>
        <v>0.0003070010845</v>
      </c>
      <c r="X1256" s="14">
        <f t="shared" si="9"/>
        <v>0.9387451487</v>
      </c>
      <c r="Y1256" s="14">
        <f>T1256/totals!B$5</f>
        <v>0.0005185897122</v>
      </c>
      <c r="Z1256" s="14">
        <f t="shared" si="10"/>
        <v>0.9451812209</v>
      </c>
      <c r="AA1256" s="14">
        <f>V1256/totals!B$4</f>
        <v>0.0008204950723</v>
      </c>
      <c r="AB1256" s="14">
        <f t="shared" si="11"/>
        <v>0.9451370755</v>
      </c>
    </row>
    <row r="1257">
      <c r="A1257" s="7">
        <v>8969.0</v>
      </c>
      <c r="B1257" s="7" t="str">
        <f>VLOOKUP($A1257,product_category,2, False)</f>
        <v>Snacks</v>
      </c>
      <c r="C1257" s="7">
        <v>9.43274819E8</v>
      </c>
      <c r="D1257" s="9">
        <v>41313.0</v>
      </c>
      <c r="E1257" s="10">
        <f t="shared" si="1"/>
        <v>2</v>
      </c>
      <c r="F1257" s="10" t="str">
        <f t="shared" si="2"/>
        <v>Feb</v>
      </c>
      <c r="G1257" s="11">
        <f t="shared" si="3"/>
        <v>8</v>
      </c>
      <c r="H1257" s="7">
        <f t="shared" si="4"/>
        <v>2013</v>
      </c>
      <c r="I1257" s="9">
        <v>41341.0</v>
      </c>
      <c r="J1257" s="11">
        <f t="shared" si="5"/>
        <v>28</v>
      </c>
      <c r="K1257" s="7" t="s">
        <v>110</v>
      </c>
      <c r="L1257" s="7" t="s">
        <v>432</v>
      </c>
      <c r="M1257" s="7" t="str">
        <f>VLOOKUP(L1257,countries, 2,false)</f>
        <v>Latvia</v>
      </c>
      <c r="N1257" s="7" t="str">
        <f>VLOOKUP(L1257,countries, 4,false)</f>
        <v>Europe</v>
      </c>
      <c r="O1257" s="7" t="str">
        <f>VLOOKUP(L1257,countries, 5,false)</f>
        <v>Northern Europe</v>
      </c>
      <c r="P1257" s="7" t="s">
        <v>129</v>
      </c>
      <c r="Q1257" s="7">
        <v>4836.0</v>
      </c>
      <c r="R1257" s="12">
        <v>152.58</v>
      </c>
      <c r="S1257" s="12">
        <v>97.44</v>
      </c>
      <c r="T1257" s="13">
        <f t="shared" si="6"/>
        <v>737876.88</v>
      </c>
      <c r="U1257" s="13">
        <f t="shared" si="7"/>
        <v>436173.12</v>
      </c>
      <c r="V1257" s="13">
        <f t="shared" si="8"/>
        <v>301703.76</v>
      </c>
      <c r="W1257" s="14">
        <f>Q1257/totals!B$2</f>
        <v>0.000735342865</v>
      </c>
      <c r="X1257" s="14">
        <f t="shared" si="9"/>
        <v>0.9394804915</v>
      </c>
      <c r="Y1257" s="14">
        <f>T1257/totals!B$5</f>
        <v>0.0004335022217</v>
      </c>
      <c r="Z1257" s="14">
        <f t="shared" si="10"/>
        <v>0.9456147231</v>
      </c>
      <c r="AA1257" s="14">
        <f>V1257/totals!B$4</f>
        <v>0.0006015900197</v>
      </c>
      <c r="AB1257" s="14">
        <f t="shared" si="11"/>
        <v>0.9457386655</v>
      </c>
    </row>
    <row r="1258">
      <c r="A1258" s="7">
        <v>7331.0</v>
      </c>
      <c r="B1258" s="7" t="str">
        <f>VLOOKUP($A1258,product_category,2, False)</f>
        <v>Baby Food</v>
      </c>
      <c r="C1258" s="7">
        <v>9.4424771E8</v>
      </c>
      <c r="D1258" s="9">
        <v>41992.0</v>
      </c>
      <c r="E1258" s="10">
        <f t="shared" si="1"/>
        <v>12</v>
      </c>
      <c r="F1258" s="10" t="str">
        <f t="shared" si="2"/>
        <v>Dec</v>
      </c>
      <c r="G1258" s="11">
        <f t="shared" si="3"/>
        <v>19</v>
      </c>
      <c r="H1258" s="7">
        <f t="shared" si="4"/>
        <v>2014</v>
      </c>
      <c r="I1258" s="9">
        <v>42035.0</v>
      </c>
      <c r="J1258" s="11">
        <f t="shared" si="5"/>
        <v>43</v>
      </c>
      <c r="K1258" s="7" t="s">
        <v>382</v>
      </c>
      <c r="L1258" s="7" t="s">
        <v>155</v>
      </c>
      <c r="M1258" s="7" t="str">
        <f>VLOOKUP(L1258,countries, 2,false)</f>
        <v>Bulgaria</v>
      </c>
      <c r="N1258" s="7" t="str">
        <f>VLOOKUP(L1258,countries, 4,false)</f>
        <v>Europe</v>
      </c>
      <c r="O1258" s="7" t="str">
        <f>VLOOKUP(L1258,countries, 5,false)</f>
        <v>Eastern Europe</v>
      </c>
      <c r="P1258" s="7" t="s">
        <v>129</v>
      </c>
      <c r="Q1258" s="7">
        <v>2736.0</v>
      </c>
      <c r="R1258" s="12">
        <v>255.28</v>
      </c>
      <c r="S1258" s="12">
        <v>159.42</v>
      </c>
      <c r="T1258" s="13">
        <f t="shared" si="6"/>
        <v>698446.08</v>
      </c>
      <c r="U1258" s="13">
        <f t="shared" si="7"/>
        <v>3525093.54</v>
      </c>
      <c r="V1258" s="13">
        <f t="shared" si="8"/>
        <v>-2826647.46</v>
      </c>
      <c r="W1258" s="14">
        <f>Q1258/totals!B$2</f>
        <v>0.0004160252437</v>
      </c>
      <c r="X1258" s="14">
        <f t="shared" si="9"/>
        <v>0.9398965168</v>
      </c>
      <c r="Y1258" s="14">
        <f>T1258/totals!B$5</f>
        <v>0.0004103366505</v>
      </c>
      <c r="Z1258" s="14">
        <f t="shared" si="10"/>
        <v>0.9460250597</v>
      </c>
      <c r="AA1258" s="14">
        <f>V1258/totals!B$4</f>
        <v>-0.00563626685</v>
      </c>
      <c r="AB1258" s="14">
        <f t="shared" si="11"/>
        <v>0.9401023987</v>
      </c>
    </row>
    <row r="1259">
      <c r="A1259" s="7">
        <v>8875.0</v>
      </c>
      <c r="B1259" s="7" t="str">
        <f>VLOOKUP($A1259,product_category,2, False)</f>
        <v>Meat</v>
      </c>
      <c r="C1259" s="7">
        <v>9.44609057E8</v>
      </c>
      <c r="D1259" s="9">
        <v>41669.0</v>
      </c>
      <c r="E1259" s="10">
        <f t="shared" si="1"/>
        <v>1</v>
      </c>
      <c r="F1259" s="10" t="str">
        <f t="shared" si="2"/>
        <v>Jan</v>
      </c>
      <c r="G1259" s="11">
        <f t="shared" si="3"/>
        <v>30</v>
      </c>
      <c r="H1259" s="7">
        <f t="shared" si="4"/>
        <v>2014</v>
      </c>
      <c r="I1259" s="9">
        <v>41714.0</v>
      </c>
      <c r="J1259" s="11">
        <f t="shared" si="5"/>
        <v>45</v>
      </c>
      <c r="K1259" s="7" t="s">
        <v>322</v>
      </c>
      <c r="L1259" s="7" t="s">
        <v>597</v>
      </c>
      <c r="M1259" s="7" t="str">
        <f>VLOOKUP(L1259,countries, 2,false)</f>
        <v>Portugal</v>
      </c>
      <c r="N1259" s="7" t="str">
        <f>VLOOKUP(L1259,countries, 4,false)</f>
        <v>Europe</v>
      </c>
      <c r="O1259" s="7" t="str">
        <f>VLOOKUP(L1259,countries, 5,false)</f>
        <v>Southern Europe</v>
      </c>
      <c r="P1259" s="7" t="s">
        <v>129</v>
      </c>
      <c r="Q1259" s="7">
        <v>9666.0</v>
      </c>
      <c r="R1259" s="12">
        <v>421.89</v>
      </c>
      <c r="S1259" s="12">
        <v>364.69</v>
      </c>
      <c r="T1259" s="13">
        <f t="shared" si="6"/>
        <v>4077988.74</v>
      </c>
      <c r="U1259" s="13">
        <f t="shared" si="7"/>
        <v>189818.09</v>
      </c>
      <c r="V1259" s="13">
        <f t="shared" si="8"/>
        <v>3888170.65</v>
      </c>
      <c r="W1259" s="14">
        <f>Q1259/totals!B$2</f>
        <v>0.001469773394</v>
      </c>
      <c r="X1259" s="14">
        <f t="shared" si="9"/>
        <v>0.9413662902</v>
      </c>
      <c r="Y1259" s="14">
        <f>T1259/totals!B$5</f>
        <v>0.002395815923</v>
      </c>
      <c r="Z1259" s="14">
        <f t="shared" si="10"/>
        <v>0.9484208757</v>
      </c>
      <c r="AA1259" s="14">
        <f>V1259/totals!B$4</f>
        <v>0.007752918485</v>
      </c>
      <c r="AB1259" s="14">
        <f t="shared" si="11"/>
        <v>0.9478553172</v>
      </c>
    </row>
    <row r="1260">
      <c r="A1260" s="7">
        <v>1270.0</v>
      </c>
      <c r="B1260" s="7" t="str">
        <f>VLOOKUP($A1260,product_category,2, False)</f>
        <v>Beverages</v>
      </c>
      <c r="C1260" s="7">
        <v>9.46421372E8</v>
      </c>
      <c r="D1260" s="9">
        <v>42082.0</v>
      </c>
      <c r="E1260" s="10">
        <f t="shared" si="1"/>
        <v>3</v>
      </c>
      <c r="F1260" s="10" t="str">
        <f t="shared" si="2"/>
        <v>Mar</v>
      </c>
      <c r="G1260" s="11">
        <f t="shared" si="3"/>
        <v>19</v>
      </c>
      <c r="H1260" s="7">
        <f t="shared" si="4"/>
        <v>2015</v>
      </c>
      <c r="I1260" s="9">
        <v>42084.0</v>
      </c>
      <c r="J1260" s="11">
        <f t="shared" si="5"/>
        <v>2</v>
      </c>
      <c r="K1260" s="7" t="s">
        <v>110</v>
      </c>
      <c r="L1260" s="7" t="s">
        <v>756</v>
      </c>
      <c r="M1260" s="7" t="str">
        <f>VLOOKUP(L1260,countries, 2,false)</f>
        <v>Ukraine</v>
      </c>
      <c r="N1260" s="7" t="str">
        <f>VLOOKUP(L1260,countries, 4,false)</f>
        <v>Europe</v>
      </c>
      <c r="O1260" s="7" t="str">
        <f>VLOOKUP(L1260,countries, 5,false)</f>
        <v>Eastern Europe</v>
      </c>
      <c r="P1260" s="7" t="s">
        <v>212</v>
      </c>
      <c r="Q1260" s="7">
        <v>5971.0</v>
      </c>
      <c r="R1260" s="12">
        <v>47.45</v>
      </c>
      <c r="S1260" s="12">
        <v>31.79</v>
      </c>
      <c r="T1260" s="13">
        <f t="shared" si="6"/>
        <v>283323.95</v>
      </c>
      <c r="U1260" s="13">
        <f t="shared" si="7"/>
        <v>581568.26</v>
      </c>
      <c r="V1260" s="13">
        <f t="shared" si="8"/>
        <v>-298244.31</v>
      </c>
      <c r="W1260" s="14">
        <f>Q1260/totals!B$2</f>
        <v>0.0009079264365</v>
      </c>
      <c r="X1260" s="14">
        <f t="shared" si="9"/>
        <v>0.9422742166</v>
      </c>
      <c r="Y1260" s="14">
        <f>T1260/totals!B$5</f>
        <v>0.0001664526496</v>
      </c>
      <c r="Z1260" s="14">
        <f t="shared" si="10"/>
        <v>0.9485873283</v>
      </c>
      <c r="AA1260" s="14">
        <f>V1260/totals!B$4</f>
        <v>-0.0005946919598</v>
      </c>
      <c r="AB1260" s="14">
        <f t="shared" si="11"/>
        <v>0.9472606252</v>
      </c>
    </row>
    <row r="1261">
      <c r="A1261" s="7">
        <v>2103.0</v>
      </c>
      <c r="B1261" s="7" t="str">
        <f>VLOOKUP($A1261,product_category,2, False)</f>
        <v>Cereal</v>
      </c>
      <c r="C1261" s="7">
        <v>9.46823489E8</v>
      </c>
      <c r="D1261" s="9">
        <v>42563.0</v>
      </c>
      <c r="E1261" s="10">
        <f t="shared" si="1"/>
        <v>7</v>
      </c>
      <c r="F1261" s="10" t="str">
        <f t="shared" si="2"/>
        <v>Jul</v>
      </c>
      <c r="G1261" s="11">
        <f t="shared" si="3"/>
        <v>12</v>
      </c>
      <c r="H1261" s="7">
        <f t="shared" si="4"/>
        <v>2016</v>
      </c>
      <c r="I1261" s="9">
        <v>42612.0</v>
      </c>
      <c r="J1261" s="11">
        <f t="shared" si="5"/>
        <v>49</v>
      </c>
      <c r="K1261" s="7" t="s">
        <v>382</v>
      </c>
      <c r="L1261" s="7" t="s">
        <v>383</v>
      </c>
      <c r="M1261" s="7" t="str">
        <f>VLOOKUP(L1261,countries, 2,false)</f>
        <v>Ireland</v>
      </c>
      <c r="N1261" s="7" t="str">
        <f>VLOOKUP(L1261,countries, 4,false)</f>
        <v>Europe</v>
      </c>
      <c r="O1261" s="7" t="str">
        <f>VLOOKUP(L1261,countries, 5,false)</f>
        <v>Northern Europe</v>
      </c>
      <c r="P1261" s="7" t="s">
        <v>129</v>
      </c>
      <c r="Q1261" s="7">
        <v>4966.0</v>
      </c>
      <c r="R1261" s="12">
        <v>205.7</v>
      </c>
      <c r="S1261" s="12">
        <v>117.11</v>
      </c>
      <c r="T1261" s="13">
        <f t="shared" si="6"/>
        <v>1021506.2</v>
      </c>
      <c r="U1261" s="13">
        <f t="shared" si="7"/>
        <v>865072.32</v>
      </c>
      <c r="V1261" s="13">
        <f t="shared" si="8"/>
        <v>156433.88</v>
      </c>
      <c r="W1261" s="14">
        <f>Q1261/totals!B$2</f>
        <v>0.0007551101463</v>
      </c>
      <c r="X1261" s="14">
        <f t="shared" si="9"/>
        <v>0.9430293267</v>
      </c>
      <c r="Y1261" s="14">
        <f>T1261/totals!B$5</f>
        <v>0.000600134276</v>
      </c>
      <c r="Z1261" s="14">
        <f t="shared" si="10"/>
        <v>0.9491874626</v>
      </c>
      <c r="AA1261" s="14">
        <f>V1261/totals!B$4</f>
        <v>0.0003119253832</v>
      </c>
      <c r="AB1261" s="14">
        <f t="shared" si="11"/>
        <v>0.9475725506</v>
      </c>
    </row>
    <row r="1262">
      <c r="A1262" s="7">
        <v>8969.0</v>
      </c>
      <c r="B1262" s="7" t="str">
        <f>VLOOKUP($A1262,product_category,2, False)</f>
        <v>Snacks</v>
      </c>
      <c r="C1262" s="7">
        <v>9.47073256E8</v>
      </c>
      <c r="D1262" s="9">
        <v>40329.0</v>
      </c>
      <c r="E1262" s="10">
        <f t="shared" si="1"/>
        <v>5</v>
      </c>
      <c r="F1262" s="10" t="str">
        <f t="shared" si="2"/>
        <v>May</v>
      </c>
      <c r="G1262" s="11">
        <f t="shared" si="3"/>
        <v>31</v>
      </c>
      <c r="H1262" s="7">
        <f t="shared" si="4"/>
        <v>2010</v>
      </c>
      <c r="I1262" s="9">
        <v>40341.0</v>
      </c>
      <c r="J1262" s="11">
        <f t="shared" si="5"/>
        <v>12</v>
      </c>
      <c r="K1262" s="7" t="s">
        <v>198</v>
      </c>
      <c r="L1262" s="7" t="s">
        <v>304</v>
      </c>
      <c r="M1262" s="7" t="str">
        <f>VLOOKUP(L1262,countries, 2,false)</f>
        <v>Georgia</v>
      </c>
      <c r="N1262" s="7" t="str">
        <f>VLOOKUP(L1262,countries, 4,false)</f>
        <v>Asia</v>
      </c>
      <c r="O1262" s="7" t="str">
        <f>VLOOKUP(L1262,countries, 5,false)</f>
        <v>Western Asia</v>
      </c>
      <c r="P1262" s="7" t="s">
        <v>129</v>
      </c>
      <c r="Q1262" s="7">
        <v>8878.0</v>
      </c>
      <c r="R1262" s="12">
        <v>152.58</v>
      </c>
      <c r="S1262" s="12">
        <v>97.44</v>
      </c>
      <c r="T1262" s="13">
        <f t="shared" si="6"/>
        <v>1354605.24</v>
      </c>
      <c r="U1262" s="13">
        <f t="shared" si="7"/>
        <v>231145.09</v>
      </c>
      <c r="V1262" s="13">
        <f t="shared" si="8"/>
        <v>1123460.15</v>
      </c>
      <c r="W1262" s="14">
        <f>Q1262/totals!B$2</f>
        <v>0.001349953258</v>
      </c>
      <c r="X1262" s="14">
        <f t="shared" si="9"/>
        <v>0.94437928</v>
      </c>
      <c r="Y1262" s="14">
        <f>T1262/totals!B$5</f>
        <v>0.0007958297609</v>
      </c>
      <c r="Z1262" s="14">
        <f t="shared" si="10"/>
        <v>0.9499832924</v>
      </c>
      <c r="AA1262" s="14">
        <f>V1262/totals!B$4</f>
        <v>0.002240152439</v>
      </c>
      <c r="AB1262" s="14">
        <f t="shared" si="11"/>
        <v>0.949812703</v>
      </c>
    </row>
    <row r="1263">
      <c r="A1263" s="7">
        <v>1270.0</v>
      </c>
      <c r="B1263" s="7" t="str">
        <f>VLOOKUP($A1263,product_category,2, False)</f>
        <v>Beverages</v>
      </c>
      <c r="C1263" s="7">
        <v>9.47507131E8</v>
      </c>
      <c r="D1263" s="9">
        <v>41524.0</v>
      </c>
      <c r="E1263" s="10">
        <f t="shared" si="1"/>
        <v>9</v>
      </c>
      <c r="F1263" s="10" t="str">
        <f t="shared" si="2"/>
        <v>Sep</v>
      </c>
      <c r="G1263" s="11">
        <f t="shared" si="3"/>
        <v>7</v>
      </c>
      <c r="H1263" s="7">
        <f t="shared" si="4"/>
        <v>2013</v>
      </c>
      <c r="I1263" s="9">
        <v>41567.0</v>
      </c>
      <c r="J1263" s="11">
        <f t="shared" si="5"/>
        <v>43</v>
      </c>
      <c r="K1263" s="7" t="s">
        <v>322</v>
      </c>
      <c r="L1263" s="7" t="s">
        <v>756</v>
      </c>
      <c r="M1263" s="7" t="str">
        <f>VLOOKUP(L1263,countries, 2,false)</f>
        <v>Ukraine</v>
      </c>
      <c r="N1263" s="7" t="str">
        <f>VLOOKUP(L1263,countries, 4,false)</f>
        <v>Europe</v>
      </c>
      <c r="O1263" s="7" t="str">
        <f>VLOOKUP(L1263,countries, 5,false)</f>
        <v>Eastern Europe</v>
      </c>
      <c r="P1263" s="7" t="s">
        <v>212</v>
      </c>
      <c r="Q1263" s="7">
        <v>7271.0</v>
      </c>
      <c r="R1263" s="12">
        <v>47.45</v>
      </c>
      <c r="S1263" s="12">
        <v>31.79</v>
      </c>
      <c r="T1263" s="13">
        <f t="shared" si="6"/>
        <v>345008.95</v>
      </c>
      <c r="U1263" s="13">
        <f t="shared" si="7"/>
        <v>176116.6</v>
      </c>
      <c r="V1263" s="13">
        <f t="shared" si="8"/>
        <v>168892.35</v>
      </c>
      <c r="W1263" s="14">
        <f>Q1263/totals!B$2</f>
        <v>0.00110559925</v>
      </c>
      <c r="X1263" s="14">
        <f t="shared" si="9"/>
        <v>0.9454848792</v>
      </c>
      <c r="Y1263" s="14">
        <f>T1263/totals!B$5</f>
        <v>0.0002026925499</v>
      </c>
      <c r="Z1263" s="14">
        <f t="shared" si="10"/>
        <v>0.9501859849</v>
      </c>
      <c r="AA1263" s="14">
        <f>V1263/totals!B$4</f>
        <v>0.0003367672719</v>
      </c>
      <c r="AB1263" s="14">
        <f t="shared" si="11"/>
        <v>0.9501494703</v>
      </c>
    </row>
    <row r="1264">
      <c r="A1264" s="7">
        <v>1270.0</v>
      </c>
      <c r="B1264" s="7" t="str">
        <f>VLOOKUP($A1264,product_category,2, False)</f>
        <v>Beverages</v>
      </c>
      <c r="C1264" s="7">
        <v>9.48075759E8</v>
      </c>
      <c r="D1264" s="9">
        <v>40515.0</v>
      </c>
      <c r="E1264" s="10">
        <f t="shared" si="1"/>
        <v>12</v>
      </c>
      <c r="F1264" s="10" t="str">
        <f t="shared" si="2"/>
        <v>Dec</v>
      </c>
      <c r="G1264" s="11">
        <f t="shared" si="3"/>
        <v>3</v>
      </c>
      <c r="H1264" s="7">
        <f t="shared" si="4"/>
        <v>2010</v>
      </c>
      <c r="I1264" s="9">
        <v>40547.0</v>
      </c>
      <c r="J1264" s="11">
        <f t="shared" si="5"/>
        <v>32</v>
      </c>
      <c r="K1264" s="7" t="s">
        <v>110</v>
      </c>
      <c r="L1264" s="7" t="s">
        <v>364</v>
      </c>
      <c r="M1264" s="7" t="str">
        <f>VLOOKUP(L1264,countries, 2,false)</f>
        <v>Hungary</v>
      </c>
      <c r="N1264" s="7" t="str">
        <f>VLOOKUP(L1264,countries, 4,false)</f>
        <v>Europe</v>
      </c>
      <c r="O1264" s="7" t="str">
        <f>VLOOKUP(L1264,countries, 5,false)</f>
        <v>Eastern Europe</v>
      </c>
      <c r="P1264" s="7" t="s">
        <v>212</v>
      </c>
      <c r="Q1264" s="7">
        <v>5540.0</v>
      </c>
      <c r="R1264" s="12">
        <v>47.45</v>
      </c>
      <c r="S1264" s="12">
        <v>31.79</v>
      </c>
      <c r="T1264" s="13">
        <f t="shared" si="6"/>
        <v>262873</v>
      </c>
      <c r="U1264" s="13">
        <f t="shared" si="7"/>
        <v>2360638.37</v>
      </c>
      <c r="V1264" s="13">
        <f t="shared" si="8"/>
        <v>-2097765.37</v>
      </c>
      <c r="W1264" s="14">
        <f>Q1264/totals!B$2</f>
        <v>0.0008423902962</v>
      </c>
      <c r="X1264" s="14">
        <f t="shared" si="9"/>
        <v>0.9463272695</v>
      </c>
      <c r="Y1264" s="14">
        <f>T1264/totals!B$5</f>
        <v>0.0001544377288</v>
      </c>
      <c r="Z1264" s="14">
        <f t="shared" si="10"/>
        <v>0.9503404226</v>
      </c>
      <c r="AA1264" s="14">
        <f>V1264/totals!B$4</f>
        <v>-0.004182893545</v>
      </c>
      <c r="AB1264" s="14">
        <f t="shared" si="11"/>
        <v>0.9459665768</v>
      </c>
    </row>
    <row r="1265">
      <c r="A1265" s="7">
        <v>8875.0</v>
      </c>
      <c r="B1265" s="7" t="str">
        <f>VLOOKUP($A1265,product_category,2, False)</f>
        <v>Meat</v>
      </c>
      <c r="C1265" s="7">
        <v>9.48518216E8</v>
      </c>
      <c r="D1265" s="9">
        <v>41006.0</v>
      </c>
      <c r="E1265" s="10">
        <f t="shared" si="1"/>
        <v>4</v>
      </c>
      <c r="F1265" s="10" t="str">
        <f t="shared" si="2"/>
        <v>Apr</v>
      </c>
      <c r="G1265" s="11">
        <f t="shared" si="3"/>
        <v>7</v>
      </c>
      <c r="H1265" s="7">
        <f t="shared" si="4"/>
        <v>2012</v>
      </c>
      <c r="I1265" s="9">
        <v>41033.0</v>
      </c>
      <c r="J1265" s="11">
        <f t="shared" si="5"/>
        <v>27</v>
      </c>
      <c r="K1265" s="7" t="s">
        <v>382</v>
      </c>
      <c r="L1265" s="7" t="s">
        <v>155</v>
      </c>
      <c r="M1265" s="7" t="str">
        <f>VLOOKUP(L1265,countries, 2,false)</f>
        <v>Bulgaria</v>
      </c>
      <c r="N1265" s="7" t="str">
        <f>VLOOKUP(L1265,countries, 4,false)</f>
        <v>Europe</v>
      </c>
      <c r="O1265" s="7" t="str">
        <f>VLOOKUP(L1265,countries, 5,false)</f>
        <v>Eastern Europe</v>
      </c>
      <c r="P1265" s="7" t="s">
        <v>212</v>
      </c>
      <c r="Q1265" s="7">
        <v>6473.0</v>
      </c>
      <c r="R1265" s="12">
        <v>421.89</v>
      </c>
      <c r="S1265" s="12">
        <v>364.69</v>
      </c>
      <c r="T1265" s="13">
        <f t="shared" si="6"/>
        <v>2730893.97</v>
      </c>
      <c r="U1265" s="13">
        <f t="shared" si="7"/>
        <v>391806.24</v>
      </c>
      <c r="V1265" s="13">
        <f t="shared" si="8"/>
        <v>2339087.73</v>
      </c>
      <c r="W1265" s="14">
        <f>Q1265/totals!B$2</f>
        <v>0.0009842585536</v>
      </c>
      <c r="X1265" s="14">
        <f t="shared" si="9"/>
        <v>0.9473115281</v>
      </c>
      <c r="Y1265" s="14">
        <f>T1265/totals!B$5</f>
        <v>0.001604398559</v>
      </c>
      <c r="Z1265" s="14">
        <f t="shared" si="10"/>
        <v>0.9519448212</v>
      </c>
      <c r="AA1265" s="14">
        <f>V1265/totals!B$4</f>
        <v>0.00466408451</v>
      </c>
      <c r="AB1265" s="14">
        <f t="shared" si="11"/>
        <v>0.9506306613</v>
      </c>
    </row>
    <row r="1266">
      <c r="A1266" s="7">
        <v>8969.0</v>
      </c>
      <c r="B1266" s="7" t="str">
        <f>VLOOKUP($A1266,product_category,2, False)</f>
        <v>Snacks</v>
      </c>
      <c r="C1266" s="7">
        <v>9.49388539E8</v>
      </c>
      <c r="D1266" s="9">
        <v>42631.0</v>
      </c>
      <c r="E1266" s="10">
        <f t="shared" si="1"/>
        <v>9</v>
      </c>
      <c r="F1266" s="10" t="str">
        <f t="shared" si="2"/>
        <v>Sep</v>
      </c>
      <c r="G1266" s="11">
        <f t="shared" si="3"/>
        <v>18</v>
      </c>
      <c r="H1266" s="7">
        <f t="shared" si="4"/>
        <v>2016</v>
      </c>
      <c r="I1266" s="9">
        <v>42643.0</v>
      </c>
      <c r="J1266" s="11">
        <f t="shared" si="5"/>
        <v>12</v>
      </c>
      <c r="K1266" s="7" t="s">
        <v>110</v>
      </c>
      <c r="L1266" s="7" t="s">
        <v>612</v>
      </c>
      <c r="M1266" s="7" t="str">
        <f>VLOOKUP(L1266,countries, 2,false)</f>
        <v>Russia</v>
      </c>
      <c r="N1266" s="7" t="str">
        <f>VLOOKUP(L1266,countries, 4,false)</f>
        <v>Europe</v>
      </c>
      <c r="O1266" s="7" t="str">
        <f>VLOOKUP(L1266,countries, 5,false)</f>
        <v>Eastern Europe</v>
      </c>
      <c r="P1266" s="7" t="s">
        <v>129</v>
      </c>
      <c r="Q1266" s="7">
        <v>4021.0</v>
      </c>
      <c r="R1266" s="12">
        <v>152.58</v>
      </c>
      <c r="S1266" s="12">
        <v>97.44</v>
      </c>
      <c r="T1266" s="13">
        <f t="shared" si="6"/>
        <v>613524.18</v>
      </c>
      <c r="U1266" s="13">
        <f t="shared" si="7"/>
        <v>182633.55</v>
      </c>
      <c r="V1266" s="13">
        <f t="shared" si="8"/>
        <v>430890.63</v>
      </c>
      <c r="W1266" s="14">
        <f>Q1266/totals!B$2</f>
        <v>0.0006114172168</v>
      </c>
      <c r="X1266" s="14">
        <f t="shared" si="9"/>
        <v>0.9479229453</v>
      </c>
      <c r="Y1266" s="14">
        <f>T1266/totals!B$5</f>
        <v>0.0003604450855</v>
      </c>
      <c r="Z1266" s="14">
        <f t="shared" si="10"/>
        <v>0.9523052663</v>
      </c>
      <c r="AA1266" s="14">
        <f>V1266/totals!B$4</f>
        <v>0.0008591855222</v>
      </c>
      <c r="AB1266" s="14">
        <f t="shared" si="11"/>
        <v>0.9514898468</v>
      </c>
    </row>
    <row r="1267">
      <c r="A1267" s="7">
        <v>1270.0</v>
      </c>
      <c r="B1267" s="7" t="str">
        <f>VLOOKUP($A1267,product_category,2, False)</f>
        <v>Beverages</v>
      </c>
      <c r="C1267" s="7">
        <v>9.49732291E8</v>
      </c>
      <c r="D1267" s="9">
        <v>42921.0</v>
      </c>
      <c r="E1267" s="10">
        <f t="shared" si="1"/>
        <v>7</v>
      </c>
      <c r="F1267" s="10" t="str">
        <f t="shared" si="2"/>
        <v>Jul</v>
      </c>
      <c r="G1267" s="11">
        <f t="shared" si="3"/>
        <v>5</v>
      </c>
      <c r="H1267" s="7">
        <f t="shared" si="4"/>
        <v>2017</v>
      </c>
      <c r="I1267" s="9">
        <v>42961.0</v>
      </c>
      <c r="J1267" s="11">
        <f t="shared" si="5"/>
        <v>40</v>
      </c>
      <c r="K1267" s="7" t="s">
        <v>322</v>
      </c>
      <c r="L1267" s="7" t="s">
        <v>460</v>
      </c>
      <c r="M1267" s="7" t="str">
        <f>VLOOKUP(L1267,countries, 2,false)</f>
        <v>Macedonia</v>
      </c>
      <c r="N1267" s="7" t="str">
        <f>VLOOKUP(L1267,countries, 4,false)</f>
        <v>Europe</v>
      </c>
      <c r="O1267" s="7" t="str">
        <f>VLOOKUP(L1267,countries, 5,false)</f>
        <v>Southern Europe</v>
      </c>
      <c r="P1267" s="7" t="s">
        <v>212</v>
      </c>
      <c r="Q1267" s="7">
        <v>5745.0</v>
      </c>
      <c r="R1267" s="12">
        <v>47.45</v>
      </c>
      <c r="S1267" s="12">
        <v>31.79</v>
      </c>
      <c r="T1267" s="13">
        <f t="shared" si="6"/>
        <v>272600.25</v>
      </c>
      <c r="U1267" s="13">
        <f t="shared" si="7"/>
        <v>2425269.3</v>
      </c>
      <c r="V1267" s="13">
        <f t="shared" si="8"/>
        <v>-2152669.05</v>
      </c>
      <c r="W1267" s="14">
        <f>Q1267/totals!B$2</f>
        <v>0.0008735617782</v>
      </c>
      <c r="X1267" s="14">
        <f t="shared" si="9"/>
        <v>0.9487965071</v>
      </c>
      <c r="Y1267" s="14">
        <f>T1267/totals!B$5</f>
        <v>0.0001601524823</v>
      </c>
      <c r="Z1267" s="14">
        <f t="shared" si="10"/>
        <v>0.9524654188</v>
      </c>
      <c r="AA1267" s="14">
        <f>V1267/totals!B$4</f>
        <v>-0.004292370159</v>
      </c>
      <c r="AB1267" s="14">
        <f t="shared" si="11"/>
        <v>0.9471974766</v>
      </c>
    </row>
    <row r="1268">
      <c r="A1268" s="7">
        <v>8293.0</v>
      </c>
      <c r="B1268" s="7" t="str">
        <f>VLOOKUP($A1268,product_category,2, False)</f>
        <v>Cosmetics</v>
      </c>
      <c r="C1268" s="7">
        <v>9.49912965E8</v>
      </c>
      <c r="D1268" s="9">
        <v>42759.0</v>
      </c>
      <c r="E1268" s="10">
        <f t="shared" si="1"/>
        <v>1</v>
      </c>
      <c r="F1268" s="10" t="str">
        <f t="shared" si="2"/>
        <v>Jan</v>
      </c>
      <c r="G1268" s="11">
        <f t="shared" si="3"/>
        <v>24</v>
      </c>
      <c r="H1268" s="7">
        <f t="shared" si="4"/>
        <v>2017</v>
      </c>
      <c r="I1268" s="9">
        <v>42800.0</v>
      </c>
      <c r="J1268" s="11">
        <f t="shared" si="5"/>
        <v>41</v>
      </c>
      <c r="K1268" s="7" t="s">
        <v>110</v>
      </c>
      <c r="L1268" s="7" t="s">
        <v>670</v>
      </c>
      <c r="M1268" s="7" t="str">
        <f>VLOOKUP(L1268,countries, 2,false)</f>
        <v>Slovenia</v>
      </c>
      <c r="N1268" s="7" t="str">
        <f>VLOOKUP(L1268,countries, 4,false)</f>
        <v>Europe</v>
      </c>
      <c r="O1268" s="7" t="str">
        <f>VLOOKUP(L1268,countries, 5,false)</f>
        <v>Southern Europe</v>
      </c>
      <c r="P1268" s="7" t="s">
        <v>129</v>
      </c>
      <c r="Q1268" s="7">
        <v>9210.0</v>
      </c>
      <c r="R1268" s="12">
        <v>437.2</v>
      </c>
      <c r="S1268" s="12">
        <v>263.33</v>
      </c>
      <c r="T1268" s="13">
        <f t="shared" si="6"/>
        <v>4026612</v>
      </c>
      <c r="U1268" s="13">
        <f t="shared" si="7"/>
        <v>732164.16</v>
      </c>
      <c r="V1268" s="13">
        <f t="shared" si="8"/>
        <v>3294447.84</v>
      </c>
      <c r="W1268" s="14">
        <f>Q1268/totals!B$2</f>
        <v>0.001400435853</v>
      </c>
      <c r="X1268" s="14">
        <f t="shared" si="9"/>
        <v>0.9501969429</v>
      </c>
      <c r="Y1268" s="14">
        <f>T1268/totals!B$5</f>
        <v>0.00236563212</v>
      </c>
      <c r="Z1268" s="14">
        <f t="shared" si="10"/>
        <v>0.9548310509</v>
      </c>
      <c r="AA1268" s="14">
        <f>V1268/totals!B$4</f>
        <v>0.006569049524</v>
      </c>
      <c r="AB1268" s="14">
        <f t="shared" si="11"/>
        <v>0.9537665262</v>
      </c>
    </row>
    <row r="1269">
      <c r="A1269" s="7">
        <v>8969.0</v>
      </c>
      <c r="B1269" s="7" t="str">
        <f>VLOOKUP($A1269,product_category,2, False)</f>
        <v>Snacks</v>
      </c>
      <c r="C1269" s="7">
        <v>9.51698243E8</v>
      </c>
      <c r="D1269" s="9">
        <v>42902.0</v>
      </c>
      <c r="E1269" s="10">
        <f t="shared" si="1"/>
        <v>6</v>
      </c>
      <c r="F1269" s="10" t="str">
        <f t="shared" si="2"/>
        <v>Jun</v>
      </c>
      <c r="G1269" s="11">
        <f t="shared" si="3"/>
        <v>16</v>
      </c>
      <c r="H1269" s="7">
        <f t="shared" si="4"/>
        <v>2017</v>
      </c>
      <c r="I1269" s="9">
        <v>42919.0</v>
      </c>
      <c r="J1269" s="11">
        <f t="shared" si="5"/>
        <v>17</v>
      </c>
      <c r="K1269" s="7" t="s">
        <v>322</v>
      </c>
      <c r="L1269" s="7" t="s">
        <v>77</v>
      </c>
      <c r="M1269" s="7" t="str">
        <f>VLOOKUP(L1269,countries, 2,false)</f>
        <v>Armenia</v>
      </c>
      <c r="N1269" s="7" t="str">
        <f>VLOOKUP(L1269,countries, 4,false)</f>
        <v>Asia</v>
      </c>
      <c r="O1269" s="7" t="str">
        <f>VLOOKUP(L1269,countries, 5,false)</f>
        <v>Western Asia</v>
      </c>
      <c r="P1269" s="7" t="s">
        <v>129</v>
      </c>
      <c r="Q1269" s="7">
        <v>7514.0</v>
      </c>
      <c r="R1269" s="12">
        <v>152.58</v>
      </c>
      <c r="S1269" s="12">
        <v>97.44</v>
      </c>
      <c r="T1269" s="13">
        <f t="shared" si="6"/>
        <v>1146486.12</v>
      </c>
      <c r="U1269" s="13">
        <f t="shared" si="7"/>
        <v>76490.4</v>
      </c>
      <c r="V1269" s="13">
        <f t="shared" si="8"/>
        <v>1069995.72</v>
      </c>
      <c r="W1269" s="14">
        <f>Q1269/totals!B$2</f>
        <v>0.00114254886</v>
      </c>
      <c r="X1269" s="14">
        <f t="shared" si="9"/>
        <v>0.9513394918</v>
      </c>
      <c r="Y1269" s="14">
        <f>T1269/totals!B$5</f>
        <v>0.0006735599035</v>
      </c>
      <c r="Z1269" s="14">
        <f t="shared" si="10"/>
        <v>0.9555046108</v>
      </c>
      <c r="AA1269" s="14">
        <f>V1269/totals!B$4</f>
        <v>0.002133545655</v>
      </c>
      <c r="AB1269" s="14">
        <f t="shared" si="11"/>
        <v>0.9559000718</v>
      </c>
    </row>
    <row r="1270">
      <c r="A1270" s="7">
        <v>8969.0</v>
      </c>
      <c r="B1270" s="7" t="str">
        <f>VLOOKUP($A1270,product_category,2, False)</f>
        <v>Snacks</v>
      </c>
      <c r="C1270" s="7">
        <v>9.54040992E8</v>
      </c>
      <c r="D1270" s="9">
        <v>40738.0</v>
      </c>
      <c r="E1270" s="10">
        <f t="shared" si="1"/>
        <v>7</v>
      </c>
      <c r="F1270" s="10" t="str">
        <f t="shared" si="2"/>
        <v>Jul</v>
      </c>
      <c r="G1270" s="11">
        <f t="shared" si="3"/>
        <v>14</v>
      </c>
      <c r="H1270" s="7">
        <f t="shared" si="4"/>
        <v>2011</v>
      </c>
      <c r="I1270" s="9">
        <v>40782.0</v>
      </c>
      <c r="J1270" s="11">
        <f t="shared" si="5"/>
        <v>44</v>
      </c>
      <c r="K1270" s="7" t="s">
        <v>322</v>
      </c>
      <c r="L1270" s="7" t="s">
        <v>136</v>
      </c>
      <c r="M1270" s="7" t="str">
        <f>VLOOKUP(L1270,countries, 2,false)</f>
        <v>Bosnia and Herzegovina</v>
      </c>
      <c r="N1270" s="7" t="str">
        <f>VLOOKUP(L1270,countries, 4,false)</f>
        <v>Europe</v>
      </c>
      <c r="O1270" s="7" t="str">
        <f>VLOOKUP(L1270,countries, 5,false)</f>
        <v>Southern Europe</v>
      </c>
      <c r="P1270" s="7" t="s">
        <v>212</v>
      </c>
      <c r="Q1270" s="7">
        <v>785.0</v>
      </c>
      <c r="R1270" s="12">
        <v>152.58</v>
      </c>
      <c r="S1270" s="12">
        <v>97.44</v>
      </c>
      <c r="T1270" s="13">
        <f t="shared" si="6"/>
        <v>119775.3</v>
      </c>
      <c r="U1270" s="13">
        <f t="shared" si="7"/>
        <v>4096203.54</v>
      </c>
      <c r="V1270" s="13">
        <f t="shared" si="8"/>
        <v>-3976428.24</v>
      </c>
      <c r="W1270" s="14">
        <f>Q1270/totals!B$2</f>
        <v>0.000119363968</v>
      </c>
      <c r="X1270" s="14">
        <f t="shared" si="9"/>
        <v>0.9514588558</v>
      </c>
      <c r="Y1270" s="14">
        <f>T1270/totals!B$5</f>
        <v>0.00007036791646</v>
      </c>
      <c r="Z1270" s="14">
        <f t="shared" si="10"/>
        <v>0.9555749787</v>
      </c>
      <c r="AA1270" s="14">
        <f>V1270/totals!B$4</f>
        <v>-0.007928901991</v>
      </c>
      <c r="AB1270" s="14">
        <f t="shared" si="11"/>
        <v>0.9479711698</v>
      </c>
    </row>
    <row r="1271">
      <c r="A1271" s="7">
        <v>7940.0</v>
      </c>
      <c r="B1271" s="7" t="str">
        <f>VLOOKUP($A1271,product_category,2, False)</f>
        <v>Household</v>
      </c>
      <c r="C1271" s="7">
        <v>9.54065883E8</v>
      </c>
      <c r="D1271" s="9">
        <v>42568.0</v>
      </c>
      <c r="E1271" s="10">
        <f t="shared" si="1"/>
        <v>7</v>
      </c>
      <c r="F1271" s="10" t="str">
        <f t="shared" si="2"/>
        <v>Jul</v>
      </c>
      <c r="G1271" s="11">
        <f t="shared" si="3"/>
        <v>17</v>
      </c>
      <c r="H1271" s="7">
        <f t="shared" si="4"/>
        <v>2016</v>
      </c>
      <c r="I1271" s="9">
        <v>42614.0</v>
      </c>
      <c r="J1271" s="11">
        <f t="shared" si="5"/>
        <v>46</v>
      </c>
      <c r="K1271" s="7" t="s">
        <v>322</v>
      </c>
      <c r="L1271" s="7" t="s">
        <v>364</v>
      </c>
      <c r="M1271" s="7" t="str">
        <f>VLOOKUP(L1271,countries, 2,false)</f>
        <v>Hungary</v>
      </c>
      <c r="N1271" s="7" t="str">
        <f>VLOOKUP(L1271,countries, 4,false)</f>
        <v>Europe</v>
      </c>
      <c r="O1271" s="7" t="str">
        <f>VLOOKUP(L1271,countries, 5,false)</f>
        <v>Eastern Europe</v>
      </c>
      <c r="P1271" s="7" t="s">
        <v>212</v>
      </c>
      <c r="Q1271" s="7">
        <v>8151.0</v>
      </c>
      <c r="R1271" s="12">
        <v>668.27</v>
      </c>
      <c r="S1271" s="12">
        <v>502.54</v>
      </c>
      <c r="T1271" s="13">
        <f t="shared" si="6"/>
        <v>5447068.77</v>
      </c>
      <c r="U1271" s="13">
        <f t="shared" si="7"/>
        <v>891932.37</v>
      </c>
      <c r="V1271" s="13">
        <f t="shared" si="8"/>
        <v>4555136.4</v>
      </c>
      <c r="W1271" s="14">
        <f>Q1271/totals!B$2</f>
        <v>0.001239408539</v>
      </c>
      <c r="X1271" s="14">
        <f t="shared" si="9"/>
        <v>0.9526982643</v>
      </c>
      <c r="Y1271" s="14">
        <f>T1271/totals!B$5</f>
        <v>0.003200149615</v>
      </c>
      <c r="Z1271" s="14">
        <f t="shared" si="10"/>
        <v>0.9587751283</v>
      </c>
      <c r="AA1271" s="14">
        <f>V1271/totals!B$4</f>
        <v>0.009082832102</v>
      </c>
      <c r="AB1271" s="14">
        <f t="shared" si="11"/>
        <v>0.9570540019</v>
      </c>
    </row>
    <row r="1272">
      <c r="A1272" s="7">
        <v>5988.0</v>
      </c>
      <c r="B1272" s="7" t="str">
        <f>VLOOKUP($A1272,product_category,2, False)</f>
        <v>Vegetables</v>
      </c>
      <c r="C1272" s="7">
        <v>9.54341828E8</v>
      </c>
      <c r="D1272" s="9">
        <v>41782.0</v>
      </c>
      <c r="E1272" s="10">
        <f t="shared" si="1"/>
        <v>5</v>
      </c>
      <c r="F1272" s="10" t="str">
        <f t="shared" si="2"/>
        <v>May</v>
      </c>
      <c r="G1272" s="11">
        <f t="shared" si="3"/>
        <v>23</v>
      </c>
      <c r="H1272" s="7">
        <f t="shared" si="4"/>
        <v>2014</v>
      </c>
      <c r="I1272" s="9">
        <v>41831.0</v>
      </c>
      <c r="J1272" s="11">
        <f t="shared" si="5"/>
        <v>49</v>
      </c>
      <c r="K1272" s="7" t="s">
        <v>382</v>
      </c>
      <c r="L1272" s="7" t="s">
        <v>237</v>
      </c>
      <c r="M1272" s="7" t="str">
        <f>VLOOKUP(L1272,countries, 2,false)</f>
        <v>Denmark</v>
      </c>
      <c r="N1272" s="7" t="str">
        <f>VLOOKUP(L1272,countries, 4,false)</f>
        <v>Europe</v>
      </c>
      <c r="O1272" s="7" t="str">
        <f>VLOOKUP(L1272,countries, 5,false)</f>
        <v>Northern Europe</v>
      </c>
      <c r="P1272" s="7" t="s">
        <v>212</v>
      </c>
      <c r="Q1272" s="7">
        <v>9809.0</v>
      </c>
      <c r="R1272" s="12">
        <v>154.06</v>
      </c>
      <c r="S1272" s="12">
        <v>90.93</v>
      </c>
      <c r="T1272" s="13">
        <f t="shared" si="6"/>
        <v>1511174.54</v>
      </c>
      <c r="U1272" s="13">
        <f t="shared" si="7"/>
        <v>151082.22</v>
      </c>
      <c r="V1272" s="13">
        <f t="shared" si="8"/>
        <v>1360092.32</v>
      </c>
      <c r="W1272" s="14">
        <f>Q1272/totals!B$2</f>
        <v>0.001491517403</v>
      </c>
      <c r="X1272" s="14">
        <f t="shared" si="9"/>
        <v>0.9541897817</v>
      </c>
      <c r="Y1272" s="14">
        <f>T1272/totals!B$5</f>
        <v>0.0008878141302</v>
      </c>
      <c r="Z1272" s="14">
        <f t="shared" si="10"/>
        <v>0.9596629424</v>
      </c>
      <c r="AA1272" s="14">
        <f>V1272/totals!B$4</f>
        <v>0.002711991278</v>
      </c>
      <c r="AB1272" s="14">
        <f t="shared" si="11"/>
        <v>0.9597659932</v>
      </c>
    </row>
    <row r="1273">
      <c r="A1273" s="7">
        <v>3127.0</v>
      </c>
      <c r="B1273" s="7" t="str">
        <f>VLOOKUP($A1273,product_category,2, False)</f>
        <v>Personal Care</v>
      </c>
      <c r="C1273" s="7">
        <v>9.55466639E8</v>
      </c>
      <c r="D1273" s="9">
        <v>41616.0</v>
      </c>
      <c r="E1273" s="10">
        <f t="shared" si="1"/>
        <v>12</v>
      </c>
      <c r="F1273" s="10" t="str">
        <f t="shared" si="2"/>
        <v>Dec</v>
      </c>
      <c r="G1273" s="11">
        <f t="shared" si="3"/>
        <v>8</v>
      </c>
      <c r="H1273" s="7">
        <f t="shared" si="4"/>
        <v>2013</v>
      </c>
      <c r="I1273" s="9">
        <v>41666.0</v>
      </c>
      <c r="J1273" s="11">
        <f t="shared" si="5"/>
        <v>50</v>
      </c>
      <c r="K1273" s="7" t="s">
        <v>198</v>
      </c>
      <c r="L1273" s="7" t="s">
        <v>540</v>
      </c>
      <c r="M1273" s="7" t="str">
        <f>VLOOKUP(L1273,countries, 2,false)</f>
        <v>Spain</v>
      </c>
      <c r="N1273" s="7" t="str">
        <f>VLOOKUP(L1273,countries, 4,false)</f>
        <v>Europe</v>
      </c>
      <c r="O1273" s="7" t="str">
        <f>VLOOKUP(L1273,countries, 5,false)</f>
        <v>Southern Europe</v>
      </c>
      <c r="P1273" s="7" t="s">
        <v>129</v>
      </c>
      <c r="Q1273" s="7">
        <v>2666.0</v>
      </c>
      <c r="R1273" s="12">
        <v>81.73</v>
      </c>
      <c r="S1273" s="12">
        <v>56.67</v>
      </c>
      <c r="T1273" s="13">
        <f t="shared" si="6"/>
        <v>217892.18</v>
      </c>
      <c r="U1273" s="13">
        <f t="shared" si="7"/>
        <v>1001954.7</v>
      </c>
      <c r="V1273" s="13">
        <f t="shared" si="8"/>
        <v>-784062.52</v>
      </c>
      <c r="W1273" s="14">
        <f>Q1273/totals!B$2</f>
        <v>0.000405381323</v>
      </c>
      <c r="X1273" s="14">
        <f t="shared" si="9"/>
        <v>0.954595163</v>
      </c>
      <c r="Y1273" s="14">
        <f>T1273/totals!B$5</f>
        <v>0.0001280115242</v>
      </c>
      <c r="Z1273" s="14">
        <f t="shared" si="10"/>
        <v>0.959790954</v>
      </c>
      <c r="AA1273" s="14">
        <f>V1273/totals!B$4</f>
        <v>-0.001563401752</v>
      </c>
      <c r="AB1273" s="14">
        <f t="shared" si="11"/>
        <v>0.9582025915</v>
      </c>
    </row>
    <row r="1274">
      <c r="A1274" s="7">
        <v>7331.0</v>
      </c>
      <c r="B1274" s="7" t="str">
        <f>VLOOKUP($A1274,product_category,2, False)</f>
        <v>Baby Food</v>
      </c>
      <c r="C1274" s="7">
        <v>9.56594026E8</v>
      </c>
      <c r="D1274" s="9">
        <v>40685.0</v>
      </c>
      <c r="E1274" s="10">
        <f t="shared" si="1"/>
        <v>5</v>
      </c>
      <c r="F1274" s="10" t="str">
        <f t="shared" si="2"/>
        <v>May</v>
      </c>
      <c r="G1274" s="11">
        <f t="shared" si="3"/>
        <v>22</v>
      </c>
      <c r="H1274" s="7">
        <f t="shared" si="4"/>
        <v>2011</v>
      </c>
      <c r="I1274" s="9">
        <v>40711.0</v>
      </c>
      <c r="J1274" s="11">
        <f t="shared" si="5"/>
        <v>26</v>
      </c>
      <c r="K1274" s="7" t="s">
        <v>322</v>
      </c>
      <c r="L1274" s="7" t="s">
        <v>540</v>
      </c>
      <c r="M1274" s="7" t="str">
        <f>VLOOKUP(L1274,countries, 2,false)</f>
        <v>Spain</v>
      </c>
      <c r="N1274" s="7" t="str">
        <f>VLOOKUP(L1274,countries, 4,false)</f>
        <v>Europe</v>
      </c>
      <c r="O1274" s="7" t="str">
        <f>VLOOKUP(L1274,countries, 5,false)</f>
        <v>Southern Europe</v>
      </c>
      <c r="P1274" s="7" t="s">
        <v>212</v>
      </c>
      <c r="Q1274" s="7">
        <v>6285.0</v>
      </c>
      <c r="R1274" s="12">
        <v>255.28</v>
      </c>
      <c r="S1274" s="12">
        <v>159.42</v>
      </c>
      <c r="T1274" s="13">
        <f t="shared" si="6"/>
        <v>1604434.8</v>
      </c>
      <c r="U1274" s="13">
        <f t="shared" si="7"/>
        <v>684975.69</v>
      </c>
      <c r="V1274" s="13">
        <f t="shared" si="8"/>
        <v>919459.11</v>
      </c>
      <c r="W1274" s="14">
        <f>Q1274/totals!B$2</f>
        <v>0.0009556720237</v>
      </c>
      <c r="X1274" s="14">
        <f t="shared" si="9"/>
        <v>0.9555508351</v>
      </c>
      <c r="Y1274" s="14">
        <f>T1274/totals!B$5</f>
        <v>0.0009426044766</v>
      </c>
      <c r="Z1274" s="14">
        <f t="shared" si="10"/>
        <v>0.9607335584</v>
      </c>
      <c r="AA1274" s="14">
        <f>V1274/totals!B$4</f>
        <v>0.001833379286</v>
      </c>
      <c r="AB1274" s="14">
        <f t="shared" si="11"/>
        <v>0.9600359707</v>
      </c>
    </row>
    <row r="1275">
      <c r="A1275" s="7">
        <v>5988.0</v>
      </c>
      <c r="B1275" s="7" t="str">
        <f>VLOOKUP($A1275,product_category,2, False)</f>
        <v>Vegetables</v>
      </c>
      <c r="C1275" s="7">
        <v>9.56969964E8</v>
      </c>
      <c r="D1275" s="9">
        <v>42484.0</v>
      </c>
      <c r="E1275" s="10">
        <f t="shared" si="1"/>
        <v>4</v>
      </c>
      <c r="F1275" s="10" t="str">
        <f t="shared" si="2"/>
        <v>Apr</v>
      </c>
      <c r="G1275" s="11">
        <f t="shared" si="3"/>
        <v>24</v>
      </c>
      <c r="H1275" s="7">
        <f t="shared" si="4"/>
        <v>2016</v>
      </c>
      <c r="I1275" s="9">
        <v>42517.0</v>
      </c>
      <c r="J1275" s="11">
        <f t="shared" si="5"/>
        <v>33</v>
      </c>
      <c r="K1275" s="7" t="s">
        <v>322</v>
      </c>
      <c r="L1275" s="7" t="s">
        <v>383</v>
      </c>
      <c r="M1275" s="7" t="str">
        <f>VLOOKUP(L1275,countries, 2,false)</f>
        <v>Ireland</v>
      </c>
      <c r="N1275" s="7" t="str">
        <f>VLOOKUP(L1275,countries, 4,false)</f>
        <v>Europe</v>
      </c>
      <c r="O1275" s="7" t="str">
        <f>VLOOKUP(L1275,countries, 5,false)</f>
        <v>Northern Europe</v>
      </c>
      <c r="P1275" s="7" t="s">
        <v>129</v>
      </c>
      <c r="Q1275" s="7">
        <v>7533.0</v>
      </c>
      <c r="R1275" s="12">
        <v>154.06</v>
      </c>
      <c r="S1275" s="12">
        <v>90.93</v>
      </c>
      <c r="T1275" s="13">
        <f t="shared" si="6"/>
        <v>1160533.98</v>
      </c>
      <c r="U1275" s="13">
        <f t="shared" si="7"/>
        <v>46771.2</v>
      </c>
      <c r="V1275" s="13">
        <f t="shared" si="8"/>
        <v>1113762.78</v>
      </c>
      <c r="W1275" s="14">
        <f>Q1275/totals!B$2</f>
        <v>0.001145437924</v>
      </c>
      <c r="X1275" s="14">
        <f t="shared" si="9"/>
        <v>0.956696273</v>
      </c>
      <c r="Y1275" s="14">
        <f>T1275/totals!B$5</f>
        <v>0.0006818130128</v>
      </c>
      <c r="Z1275" s="14">
        <f t="shared" si="10"/>
        <v>0.9614153715</v>
      </c>
      <c r="AA1275" s="14">
        <f>V1275/totals!B$4</f>
        <v>0.002220816117</v>
      </c>
      <c r="AB1275" s="14">
        <f t="shared" si="11"/>
        <v>0.9622567869</v>
      </c>
    </row>
    <row r="1276">
      <c r="A1276" s="7">
        <v>8969.0</v>
      </c>
      <c r="B1276" s="7" t="str">
        <f>VLOOKUP($A1276,product_category,2, False)</f>
        <v>Snacks</v>
      </c>
      <c r="C1276" s="7">
        <v>9.57926118E8</v>
      </c>
      <c r="D1276" s="9">
        <v>42600.0</v>
      </c>
      <c r="E1276" s="10">
        <f t="shared" si="1"/>
        <v>8</v>
      </c>
      <c r="F1276" s="10" t="str">
        <f t="shared" si="2"/>
        <v>Aug</v>
      </c>
      <c r="G1276" s="11">
        <f t="shared" si="3"/>
        <v>18</v>
      </c>
      <c r="H1276" s="7">
        <f t="shared" si="4"/>
        <v>2016</v>
      </c>
      <c r="I1276" s="9">
        <v>42614.0</v>
      </c>
      <c r="J1276" s="11">
        <f t="shared" si="5"/>
        <v>14</v>
      </c>
      <c r="K1276" s="7" t="s">
        <v>322</v>
      </c>
      <c r="L1276" s="7" t="s">
        <v>316</v>
      </c>
      <c r="M1276" s="7" t="str">
        <f>VLOOKUP(L1276,countries, 2,false)</f>
        <v>Greece</v>
      </c>
      <c r="N1276" s="7" t="str">
        <f>VLOOKUP(L1276,countries, 4,false)</f>
        <v>Europe</v>
      </c>
      <c r="O1276" s="7" t="str">
        <f>VLOOKUP(L1276,countries, 5,false)</f>
        <v>Southern Europe</v>
      </c>
      <c r="P1276" s="7" t="s">
        <v>129</v>
      </c>
      <c r="Q1276" s="7">
        <v>480.0</v>
      </c>
      <c r="R1276" s="12">
        <v>152.58</v>
      </c>
      <c r="S1276" s="12">
        <v>97.44</v>
      </c>
      <c r="T1276" s="13">
        <f t="shared" si="6"/>
        <v>73238.4</v>
      </c>
      <c r="U1276" s="13">
        <f t="shared" si="7"/>
        <v>76238.61</v>
      </c>
      <c r="V1276" s="13">
        <f t="shared" si="8"/>
        <v>-3000.21</v>
      </c>
      <c r="W1276" s="14">
        <f>Q1276/totals!B$2</f>
        <v>0.00007298688487</v>
      </c>
      <c r="X1276" s="14">
        <f t="shared" si="9"/>
        <v>0.9567692599</v>
      </c>
      <c r="Y1276" s="14">
        <f>T1276/totals!B$5</f>
        <v>0.0000430275158</v>
      </c>
      <c r="Z1276" s="14">
        <f t="shared" si="10"/>
        <v>0.961458399</v>
      </c>
      <c r="AA1276" s="14">
        <f>V1276/totals!B$4</f>
        <v>-0.000005982346368</v>
      </c>
      <c r="AB1276" s="14">
        <f t="shared" si="11"/>
        <v>0.9622508045</v>
      </c>
    </row>
    <row r="1277">
      <c r="A1277" s="7">
        <v>2103.0</v>
      </c>
      <c r="B1277" s="7" t="str">
        <f>VLOOKUP($A1277,product_category,2, False)</f>
        <v>Cereal</v>
      </c>
      <c r="C1277" s="7">
        <v>9.58366E8</v>
      </c>
      <c r="D1277" s="9">
        <v>41089.0</v>
      </c>
      <c r="E1277" s="10">
        <f t="shared" si="1"/>
        <v>6</v>
      </c>
      <c r="F1277" s="10" t="str">
        <f t="shared" si="2"/>
        <v>Jun</v>
      </c>
      <c r="G1277" s="11">
        <f t="shared" si="3"/>
        <v>29</v>
      </c>
      <c r="H1277" s="7">
        <f t="shared" si="4"/>
        <v>2012</v>
      </c>
      <c r="I1277" s="9">
        <v>41124.0</v>
      </c>
      <c r="J1277" s="11">
        <f t="shared" si="5"/>
        <v>35</v>
      </c>
      <c r="K1277" s="7" t="s">
        <v>110</v>
      </c>
      <c r="L1277" s="7" t="s">
        <v>612</v>
      </c>
      <c r="M1277" s="7" t="str">
        <f>VLOOKUP(L1277,countries, 2,false)</f>
        <v>Russia</v>
      </c>
      <c r="N1277" s="7" t="str">
        <f>VLOOKUP(L1277,countries, 4,false)</f>
        <v>Europe</v>
      </c>
      <c r="O1277" s="7" t="str">
        <f>VLOOKUP(L1277,countries, 5,false)</f>
        <v>Eastern Europe</v>
      </c>
      <c r="P1277" s="7" t="s">
        <v>212</v>
      </c>
      <c r="Q1277" s="7">
        <v>651.0</v>
      </c>
      <c r="R1277" s="12">
        <v>205.7</v>
      </c>
      <c r="S1277" s="12">
        <v>117.11</v>
      </c>
      <c r="T1277" s="13">
        <f t="shared" si="6"/>
        <v>133910.7</v>
      </c>
      <c r="U1277" s="13">
        <f t="shared" si="7"/>
        <v>230223.18</v>
      </c>
      <c r="V1277" s="13">
        <f t="shared" si="8"/>
        <v>-96312.48</v>
      </c>
      <c r="W1277" s="14">
        <f>Q1277/totals!B$2</f>
        <v>0.0000989884626</v>
      </c>
      <c r="X1277" s="14">
        <f t="shared" si="9"/>
        <v>0.9568682483</v>
      </c>
      <c r="Y1277" s="14">
        <f>T1277/totals!B$5</f>
        <v>0.00007867245543</v>
      </c>
      <c r="Z1277" s="14">
        <f t="shared" si="10"/>
        <v>0.9615370714</v>
      </c>
      <c r="AA1277" s="14">
        <f>V1277/totals!B$4</f>
        <v>-0.0001920447619</v>
      </c>
      <c r="AB1277" s="14">
        <f t="shared" si="11"/>
        <v>0.9620587598</v>
      </c>
    </row>
    <row r="1278">
      <c r="A1278" s="7">
        <v>1270.0</v>
      </c>
      <c r="B1278" s="7" t="str">
        <f>VLOOKUP($A1278,product_category,2, False)</f>
        <v>Beverages</v>
      </c>
      <c r="C1278" s="7">
        <v>9.60213077E8</v>
      </c>
      <c r="D1278" s="9">
        <v>42247.0</v>
      </c>
      <c r="E1278" s="10">
        <f t="shared" si="1"/>
        <v>8</v>
      </c>
      <c r="F1278" s="10" t="str">
        <f t="shared" si="2"/>
        <v>Aug</v>
      </c>
      <c r="G1278" s="11">
        <f t="shared" si="3"/>
        <v>31</v>
      </c>
      <c r="H1278" s="7">
        <f t="shared" si="4"/>
        <v>2015</v>
      </c>
      <c r="I1278" s="9">
        <v>42293.0</v>
      </c>
      <c r="J1278" s="11">
        <f t="shared" si="5"/>
        <v>46</v>
      </c>
      <c r="K1278" s="7" t="s">
        <v>382</v>
      </c>
      <c r="L1278" s="7" t="s">
        <v>113</v>
      </c>
      <c r="M1278" s="7" t="str">
        <f>VLOOKUP(L1278,countries, 2,false)</f>
        <v>Belgium</v>
      </c>
      <c r="N1278" s="7" t="str">
        <f>VLOOKUP(L1278,countries, 4,false)</f>
        <v>Europe</v>
      </c>
      <c r="O1278" s="7" t="str">
        <f>VLOOKUP(L1278,countries, 5,false)</f>
        <v>Western Europe</v>
      </c>
      <c r="P1278" s="7" t="s">
        <v>129</v>
      </c>
      <c r="Q1278" s="7">
        <v>7242.0</v>
      </c>
      <c r="R1278" s="12">
        <v>47.45</v>
      </c>
      <c r="S1278" s="12">
        <v>31.79</v>
      </c>
      <c r="T1278" s="13">
        <f t="shared" si="6"/>
        <v>343632.9</v>
      </c>
      <c r="U1278" s="13">
        <f t="shared" si="7"/>
        <v>223797.21</v>
      </c>
      <c r="V1278" s="13">
        <f t="shared" si="8"/>
        <v>119835.69</v>
      </c>
      <c r="W1278" s="14">
        <f>Q1278/totals!B$2</f>
        <v>0.001101189625</v>
      </c>
      <c r="X1278" s="14">
        <f t="shared" si="9"/>
        <v>0.957969438</v>
      </c>
      <c r="Y1278" s="14">
        <f>T1278/totals!B$5</f>
        <v>0.0002018841213</v>
      </c>
      <c r="Z1278" s="14">
        <f t="shared" si="10"/>
        <v>0.9617389555</v>
      </c>
      <c r="AA1278" s="14">
        <f>V1278/totals!B$4</f>
        <v>0.0002389494752</v>
      </c>
      <c r="AB1278" s="14">
        <f t="shared" si="11"/>
        <v>0.9622977092</v>
      </c>
    </row>
    <row r="1279">
      <c r="A1279" s="7">
        <v>2103.0</v>
      </c>
      <c r="B1279" s="7" t="str">
        <f>VLOOKUP($A1279,product_category,2, False)</f>
        <v>Cereal</v>
      </c>
      <c r="C1279" s="7">
        <v>9.62560546E8</v>
      </c>
      <c r="D1279" s="9">
        <v>40526.0</v>
      </c>
      <c r="E1279" s="10">
        <f t="shared" si="1"/>
        <v>12</v>
      </c>
      <c r="F1279" s="10" t="str">
        <f t="shared" si="2"/>
        <v>Dec</v>
      </c>
      <c r="G1279" s="11">
        <f t="shared" si="3"/>
        <v>14</v>
      </c>
      <c r="H1279" s="7">
        <f t="shared" si="4"/>
        <v>2010</v>
      </c>
      <c r="I1279" s="9">
        <v>40551.0</v>
      </c>
      <c r="J1279" s="11">
        <f t="shared" si="5"/>
        <v>25</v>
      </c>
      <c r="K1279" s="7" t="s">
        <v>110</v>
      </c>
      <c r="L1279" s="7" t="s">
        <v>304</v>
      </c>
      <c r="M1279" s="7" t="str">
        <f>VLOOKUP(L1279,countries, 2,false)</f>
        <v>Georgia</v>
      </c>
      <c r="N1279" s="7" t="str">
        <f>VLOOKUP(L1279,countries, 4,false)</f>
        <v>Asia</v>
      </c>
      <c r="O1279" s="7" t="str">
        <f>VLOOKUP(L1279,countries, 5,false)</f>
        <v>Western Asia</v>
      </c>
      <c r="P1279" s="7" t="s">
        <v>212</v>
      </c>
      <c r="Q1279" s="7">
        <v>1911.0</v>
      </c>
      <c r="R1279" s="12">
        <v>205.7</v>
      </c>
      <c r="S1279" s="12">
        <v>117.11</v>
      </c>
      <c r="T1279" s="13">
        <f t="shared" si="6"/>
        <v>393092.7</v>
      </c>
      <c r="U1279" s="13">
        <f t="shared" si="7"/>
        <v>802203.5</v>
      </c>
      <c r="V1279" s="13">
        <f t="shared" si="8"/>
        <v>-409110.8</v>
      </c>
      <c r="W1279" s="14">
        <f>Q1279/totals!B$2</f>
        <v>0.0002905790354</v>
      </c>
      <c r="X1279" s="14">
        <f t="shared" si="9"/>
        <v>0.958260017</v>
      </c>
      <c r="Y1279" s="14">
        <f>T1279/totals!B$5</f>
        <v>0.000230941724</v>
      </c>
      <c r="Z1279" s="14">
        <f t="shared" si="10"/>
        <v>0.9619698973</v>
      </c>
      <c r="AA1279" s="14">
        <f>V1279/totals!B$4</f>
        <v>-0.0008157570666</v>
      </c>
      <c r="AB1279" s="14">
        <f t="shared" si="11"/>
        <v>0.9614819522</v>
      </c>
    </row>
    <row r="1280">
      <c r="A1280" s="7">
        <v>2103.0</v>
      </c>
      <c r="B1280" s="7" t="str">
        <f>VLOOKUP($A1280,product_category,2, False)</f>
        <v>Cereal</v>
      </c>
      <c r="C1280" s="7">
        <v>9.63219296E8</v>
      </c>
      <c r="D1280" s="9">
        <v>40422.0</v>
      </c>
      <c r="E1280" s="10">
        <f t="shared" si="1"/>
        <v>9</v>
      </c>
      <c r="F1280" s="10" t="str">
        <f t="shared" si="2"/>
        <v>Sep</v>
      </c>
      <c r="G1280" s="11">
        <f t="shared" si="3"/>
        <v>1</v>
      </c>
      <c r="H1280" s="7">
        <f t="shared" si="4"/>
        <v>2010</v>
      </c>
      <c r="I1280" s="9">
        <v>40439.0</v>
      </c>
      <c r="J1280" s="11">
        <f t="shared" si="5"/>
        <v>17</v>
      </c>
      <c r="K1280" s="7" t="s">
        <v>198</v>
      </c>
      <c r="L1280" s="7" t="s">
        <v>460</v>
      </c>
      <c r="M1280" s="7" t="str">
        <f>VLOOKUP(L1280,countries, 2,false)</f>
        <v>Macedonia</v>
      </c>
      <c r="N1280" s="7" t="str">
        <f>VLOOKUP(L1280,countries, 4,false)</f>
        <v>Europe</v>
      </c>
      <c r="O1280" s="7" t="str">
        <f>VLOOKUP(L1280,countries, 5,false)</f>
        <v>Southern Europe</v>
      </c>
      <c r="P1280" s="7" t="s">
        <v>129</v>
      </c>
      <c r="Q1280" s="7">
        <v>6850.0</v>
      </c>
      <c r="R1280" s="12">
        <v>205.7</v>
      </c>
      <c r="S1280" s="12">
        <v>117.11</v>
      </c>
      <c r="T1280" s="13">
        <f t="shared" si="6"/>
        <v>1409045</v>
      </c>
      <c r="U1280" s="13">
        <f t="shared" si="7"/>
        <v>65470.12</v>
      </c>
      <c r="V1280" s="13">
        <f t="shared" si="8"/>
        <v>1343574.88</v>
      </c>
      <c r="W1280" s="14">
        <f>Q1280/totals!B$2</f>
        <v>0.001041583669</v>
      </c>
      <c r="X1280" s="14">
        <f t="shared" si="9"/>
        <v>0.9593016007</v>
      </c>
      <c r="Y1280" s="14">
        <f>T1280/totals!B$5</f>
        <v>0.0008278130871</v>
      </c>
      <c r="Z1280" s="14">
        <f t="shared" si="10"/>
        <v>0.9627977104</v>
      </c>
      <c r="AA1280" s="14">
        <f>V1280/totals!B$4</f>
        <v>0.002679055901</v>
      </c>
      <c r="AB1280" s="14">
        <f t="shared" si="11"/>
        <v>0.9641610081</v>
      </c>
    </row>
    <row r="1281">
      <c r="A1281" s="7">
        <v>4594.0</v>
      </c>
      <c r="B1281" s="7" t="str">
        <f>VLOOKUP($A1281,product_category,2, False)</f>
        <v>Fruits</v>
      </c>
      <c r="C1281" s="7">
        <v>9.65796363E8</v>
      </c>
      <c r="D1281" s="9">
        <v>40611.0</v>
      </c>
      <c r="E1281" s="10">
        <f t="shared" si="1"/>
        <v>3</v>
      </c>
      <c r="F1281" s="10" t="str">
        <f t="shared" si="2"/>
        <v>Mar</v>
      </c>
      <c r="G1281" s="11">
        <f t="shared" si="3"/>
        <v>9</v>
      </c>
      <c r="H1281" s="7">
        <f t="shared" si="4"/>
        <v>2011</v>
      </c>
      <c r="I1281" s="9">
        <v>40621.0</v>
      </c>
      <c r="J1281" s="11">
        <f t="shared" si="5"/>
        <v>10</v>
      </c>
      <c r="K1281" s="7" t="s">
        <v>110</v>
      </c>
      <c r="L1281" s="7" t="s">
        <v>451</v>
      </c>
      <c r="M1281" s="7" t="str">
        <f>VLOOKUP(L1281,countries, 2,false)</f>
        <v>Lithuania</v>
      </c>
      <c r="N1281" s="7" t="str">
        <f>VLOOKUP(L1281,countries, 4,false)</f>
        <v>Europe</v>
      </c>
      <c r="O1281" s="7" t="str">
        <f>VLOOKUP(L1281,countries, 5,false)</f>
        <v>Northern Europe</v>
      </c>
      <c r="P1281" s="7" t="s">
        <v>129</v>
      </c>
      <c r="Q1281" s="7">
        <v>9461.0</v>
      </c>
      <c r="R1281" s="12">
        <v>9.33</v>
      </c>
      <c r="S1281" s="12">
        <v>6.92</v>
      </c>
      <c r="T1281" s="13">
        <f t="shared" si="6"/>
        <v>88271.13</v>
      </c>
      <c r="U1281" s="13">
        <f t="shared" si="7"/>
        <v>2372308.45</v>
      </c>
      <c r="V1281" s="13">
        <f t="shared" si="8"/>
        <v>-2284037.32</v>
      </c>
      <c r="W1281" s="14">
        <f>Q1281/totals!B$2</f>
        <v>0.001438601912</v>
      </c>
      <c r="X1281" s="14">
        <f t="shared" si="9"/>
        <v>0.9607402026</v>
      </c>
      <c r="Y1281" s="14">
        <f>T1281/totals!B$5</f>
        <v>0.0000518592356</v>
      </c>
      <c r="Z1281" s="14">
        <f t="shared" si="10"/>
        <v>0.9628495696</v>
      </c>
      <c r="AA1281" s="14">
        <f>V1281/totals!B$4</f>
        <v>-0.00455431532</v>
      </c>
      <c r="AB1281" s="14">
        <f t="shared" si="11"/>
        <v>0.9596066927</v>
      </c>
    </row>
    <row r="1282">
      <c r="A1282" s="7">
        <v>8875.0</v>
      </c>
      <c r="B1282" s="7" t="str">
        <f>VLOOKUP($A1282,product_category,2, False)</f>
        <v>Meat</v>
      </c>
      <c r="C1282" s="7">
        <v>9.66800153E8</v>
      </c>
      <c r="D1282" s="9">
        <v>40415.0</v>
      </c>
      <c r="E1282" s="10">
        <f t="shared" si="1"/>
        <v>8</v>
      </c>
      <c r="F1282" s="10" t="str">
        <f t="shared" si="2"/>
        <v>Aug</v>
      </c>
      <c r="G1282" s="11">
        <f t="shared" si="3"/>
        <v>25</v>
      </c>
      <c r="H1282" s="7">
        <f t="shared" si="4"/>
        <v>2010</v>
      </c>
      <c r="I1282" s="9">
        <v>40431.0</v>
      </c>
      <c r="J1282" s="11">
        <f t="shared" si="5"/>
        <v>16</v>
      </c>
      <c r="K1282" s="7" t="s">
        <v>110</v>
      </c>
      <c r="L1282" s="7" t="s">
        <v>264</v>
      </c>
      <c r="M1282" s="7" t="str">
        <f>VLOOKUP(L1282,countries, 2,false)</f>
        <v>Estonia</v>
      </c>
      <c r="N1282" s="7" t="str">
        <f>VLOOKUP(L1282,countries, 4,false)</f>
        <v>Europe</v>
      </c>
      <c r="O1282" s="7" t="str">
        <f>VLOOKUP(L1282,countries, 5,false)</f>
        <v>Northern Europe</v>
      </c>
      <c r="P1282" s="7" t="s">
        <v>212</v>
      </c>
      <c r="Q1282" s="7">
        <v>6505.0</v>
      </c>
      <c r="R1282" s="12">
        <v>421.89</v>
      </c>
      <c r="S1282" s="12">
        <v>364.69</v>
      </c>
      <c r="T1282" s="13">
        <f t="shared" si="6"/>
        <v>2744394.45</v>
      </c>
      <c r="U1282" s="13">
        <f t="shared" si="7"/>
        <v>113850.03</v>
      </c>
      <c r="V1282" s="13">
        <f t="shared" si="8"/>
        <v>2630544.42</v>
      </c>
      <c r="W1282" s="14">
        <f>Q1282/totals!B$2</f>
        <v>0.0009891243459</v>
      </c>
      <c r="X1282" s="14">
        <f t="shared" si="9"/>
        <v>0.9617293269</v>
      </c>
      <c r="Y1282" s="14">
        <f>T1282/totals!B$5</f>
        <v>0.001612330083</v>
      </c>
      <c r="Z1282" s="14">
        <f t="shared" si="10"/>
        <v>0.9644618997</v>
      </c>
      <c r="AA1282" s="14">
        <f>V1282/totals!B$4</f>
        <v>0.005245242119</v>
      </c>
      <c r="AB1282" s="14">
        <f t="shared" si="11"/>
        <v>0.9648519349</v>
      </c>
    </row>
    <row r="1283">
      <c r="A1283" s="7">
        <v>3127.0</v>
      </c>
      <c r="B1283" s="7" t="str">
        <f>VLOOKUP($A1283,product_category,2, False)</f>
        <v>Personal Care</v>
      </c>
      <c r="C1283" s="7">
        <v>9.67258059E8</v>
      </c>
      <c r="D1283" s="9">
        <v>41851.0</v>
      </c>
      <c r="E1283" s="10">
        <f t="shared" si="1"/>
        <v>7</v>
      </c>
      <c r="F1283" s="10" t="str">
        <f t="shared" si="2"/>
        <v>Jul</v>
      </c>
      <c r="G1283" s="11">
        <f t="shared" si="3"/>
        <v>31</v>
      </c>
      <c r="H1283" s="7">
        <f t="shared" si="4"/>
        <v>2014</v>
      </c>
      <c r="I1283" s="9">
        <v>41859.0</v>
      </c>
      <c r="J1283" s="11">
        <f t="shared" si="5"/>
        <v>8</v>
      </c>
      <c r="K1283" s="7" t="s">
        <v>110</v>
      </c>
      <c r="L1283" s="7" t="s">
        <v>88</v>
      </c>
      <c r="M1283" s="7" t="str">
        <f>VLOOKUP(L1283,countries, 2,false)</f>
        <v>Austria</v>
      </c>
      <c r="N1283" s="7" t="str">
        <f>VLOOKUP(L1283,countries, 4,false)</f>
        <v>Europe</v>
      </c>
      <c r="O1283" s="7" t="str">
        <f>VLOOKUP(L1283,countries, 5,false)</f>
        <v>Western Europe</v>
      </c>
      <c r="P1283" s="7" t="s">
        <v>129</v>
      </c>
      <c r="Q1283" s="7">
        <v>2009.0</v>
      </c>
      <c r="R1283" s="12">
        <v>81.73</v>
      </c>
      <c r="S1283" s="12">
        <v>56.67</v>
      </c>
      <c r="T1283" s="13">
        <f t="shared" si="6"/>
        <v>164195.57</v>
      </c>
      <c r="U1283" s="13">
        <f t="shared" si="7"/>
        <v>599410.56</v>
      </c>
      <c r="V1283" s="13">
        <f t="shared" si="8"/>
        <v>-435214.99</v>
      </c>
      <c r="W1283" s="14">
        <f>Q1283/totals!B$2</f>
        <v>0.0003054805244</v>
      </c>
      <c r="X1283" s="14">
        <f t="shared" si="9"/>
        <v>0.9620348074</v>
      </c>
      <c r="Y1283" s="14">
        <f>T1283/totals!B$5</f>
        <v>0.00009646479827</v>
      </c>
      <c r="Z1283" s="14">
        <f t="shared" si="10"/>
        <v>0.9645583645</v>
      </c>
      <c r="AA1283" s="14">
        <f>V1283/totals!B$4</f>
        <v>-0.0008678081917</v>
      </c>
      <c r="AB1283" s="14">
        <f t="shared" si="11"/>
        <v>0.9639841267</v>
      </c>
    </row>
    <row r="1284">
      <c r="A1284" s="7">
        <v>5988.0</v>
      </c>
      <c r="B1284" s="7" t="str">
        <f>VLOOKUP($A1284,product_category,2, False)</f>
        <v>Vegetables</v>
      </c>
      <c r="C1284" s="7">
        <v>9.67679059E8</v>
      </c>
      <c r="D1284" s="9">
        <v>41336.0</v>
      </c>
      <c r="E1284" s="10">
        <f t="shared" si="1"/>
        <v>3</v>
      </c>
      <c r="F1284" s="10" t="str">
        <f t="shared" si="2"/>
        <v>Mar</v>
      </c>
      <c r="G1284" s="11">
        <f t="shared" si="3"/>
        <v>3</v>
      </c>
      <c r="H1284" s="7">
        <f t="shared" si="4"/>
        <v>2013</v>
      </c>
      <c r="I1284" s="9">
        <v>41352.0</v>
      </c>
      <c r="J1284" s="11">
        <f t="shared" si="5"/>
        <v>16</v>
      </c>
      <c r="K1284" s="7" t="s">
        <v>198</v>
      </c>
      <c r="L1284" s="7" t="s">
        <v>56</v>
      </c>
      <c r="M1284" s="7" t="str">
        <f>VLOOKUP(L1284,countries, 2,false)</f>
        <v>Andorra</v>
      </c>
      <c r="N1284" s="7" t="str">
        <f>VLOOKUP(L1284,countries, 4,false)</f>
        <v>Europe</v>
      </c>
      <c r="O1284" s="7" t="str">
        <f>VLOOKUP(L1284,countries, 5,false)</f>
        <v>Southern Europe</v>
      </c>
      <c r="P1284" s="7" t="s">
        <v>129</v>
      </c>
      <c r="Q1284" s="7">
        <v>6592.0</v>
      </c>
      <c r="R1284" s="12">
        <v>154.06</v>
      </c>
      <c r="S1284" s="12">
        <v>90.93</v>
      </c>
      <c r="T1284" s="13">
        <f t="shared" si="6"/>
        <v>1015563.52</v>
      </c>
      <c r="U1284" s="13">
        <f t="shared" si="7"/>
        <v>628293.12</v>
      </c>
      <c r="V1284" s="13">
        <f t="shared" si="8"/>
        <v>387270.4</v>
      </c>
      <c r="W1284" s="14">
        <f>Q1284/totals!B$2</f>
        <v>0.001002353219</v>
      </c>
      <c r="X1284" s="14">
        <f t="shared" si="9"/>
        <v>0.9630371607</v>
      </c>
      <c r="Y1284" s="14">
        <f>T1284/totals!B$5</f>
        <v>0.0005966429551</v>
      </c>
      <c r="Z1284" s="14">
        <f t="shared" si="10"/>
        <v>0.9651550074</v>
      </c>
      <c r="AA1284" s="14">
        <f>V1284/totals!B$4</f>
        <v>0.0007722078358</v>
      </c>
      <c r="AB1284" s="14">
        <f t="shared" si="11"/>
        <v>0.9647563345</v>
      </c>
    </row>
    <row r="1285">
      <c r="A1285" s="7">
        <v>8969.0</v>
      </c>
      <c r="B1285" s="7" t="str">
        <f>VLOOKUP($A1285,product_category,2, False)</f>
        <v>Snacks</v>
      </c>
      <c r="C1285" s="7">
        <v>9.6818546E8</v>
      </c>
      <c r="D1285" s="9">
        <v>41283.0</v>
      </c>
      <c r="E1285" s="10">
        <f t="shared" si="1"/>
        <v>1</v>
      </c>
      <c r="F1285" s="10" t="str">
        <f t="shared" si="2"/>
        <v>Jan</v>
      </c>
      <c r="G1285" s="11">
        <f t="shared" si="3"/>
        <v>9</v>
      </c>
      <c r="H1285" s="7">
        <f t="shared" si="4"/>
        <v>2013</v>
      </c>
      <c r="I1285" s="9">
        <v>41308.0</v>
      </c>
      <c r="J1285" s="11">
        <f t="shared" si="5"/>
        <v>25</v>
      </c>
      <c r="K1285" s="7" t="s">
        <v>110</v>
      </c>
      <c r="L1285" s="7" t="s">
        <v>594</v>
      </c>
      <c r="M1285" s="7" t="str">
        <f>VLOOKUP(L1285,countries, 2,false)</f>
        <v>Poland</v>
      </c>
      <c r="N1285" s="7" t="str">
        <f>VLOOKUP(L1285,countries, 4,false)</f>
        <v>Europe</v>
      </c>
      <c r="O1285" s="7" t="str">
        <f>VLOOKUP(L1285,countries, 5,false)</f>
        <v>Eastern Europe</v>
      </c>
      <c r="P1285" s="7" t="s">
        <v>129</v>
      </c>
      <c r="Q1285" s="7">
        <v>6448.0</v>
      </c>
      <c r="R1285" s="12">
        <v>152.58</v>
      </c>
      <c r="S1285" s="12">
        <v>97.44</v>
      </c>
      <c r="T1285" s="13">
        <f t="shared" si="6"/>
        <v>983835.84</v>
      </c>
      <c r="U1285" s="13">
        <f t="shared" si="7"/>
        <v>479110.17</v>
      </c>
      <c r="V1285" s="13">
        <f t="shared" si="8"/>
        <v>504725.67</v>
      </c>
      <c r="W1285" s="14">
        <f>Q1285/totals!B$2</f>
        <v>0.0009804571534</v>
      </c>
      <c r="X1285" s="14">
        <f t="shared" si="9"/>
        <v>0.9640176178</v>
      </c>
      <c r="Y1285" s="14">
        <f>T1285/totals!B$5</f>
        <v>0.0005780029622</v>
      </c>
      <c r="Z1285" s="14">
        <f t="shared" si="10"/>
        <v>0.9657330104</v>
      </c>
      <c r="AA1285" s="14">
        <f>V1285/totals!B$4</f>
        <v>0.001006410811</v>
      </c>
      <c r="AB1285" s="14">
        <f t="shared" si="11"/>
        <v>0.9657627453</v>
      </c>
    </row>
    <row r="1286">
      <c r="A1286" s="7">
        <v>5988.0</v>
      </c>
      <c r="B1286" s="7" t="str">
        <f>VLOOKUP($A1286,product_category,2, False)</f>
        <v>Vegetables</v>
      </c>
      <c r="C1286" s="7">
        <v>9.69195258E8</v>
      </c>
      <c r="D1286" s="9">
        <v>41147.0</v>
      </c>
      <c r="E1286" s="10">
        <f t="shared" si="1"/>
        <v>8</v>
      </c>
      <c r="F1286" s="10" t="str">
        <f t="shared" si="2"/>
        <v>Aug</v>
      </c>
      <c r="G1286" s="11">
        <f t="shared" si="3"/>
        <v>26</v>
      </c>
      <c r="H1286" s="7">
        <f t="shared" si="4"/>
        <v>2012</v>
      </c>
      <c r="I1286" s="9">
        <v>41169.0</v>
      </c>
      <c r="J1286" s="11">
        <f t="shared" si="5"/>
        <v>22</v>
      </c>
      <c r="K1286" s="7" t="s">
        <v>322</v>
      </c>
      <c r="L1286" s="7" t="s">
        <v>237</v>
      </c>
      <c r="M1286" s="7" t="str">
        <f>VLOOKUP(L1286,countries, 2,false)</f>
        <v>Denmark</v>
      </c>
      <c r="N1286" s="7" t="str">
        <f>VLOOKUP(L1286,countries, 4,false)</f>
        <v>Europe</v>
      </c>
      <c r="O1286" s="7" t="str">
        <f>VLOOKUP(L1286,countries, 5,false)</f>
        <v>Northern Europe</v>
      </c>
      <c r="P1286" s="7" t="s">
        <v>129</v>
      </c>
      <c r="Q1286" s="7">
        <v>5269.0</v>
      </c>
      <c r="R1286" s="12">
        <v>154.06</v>
      </c>
      <c r="S1286" s="12">
        <v>90.93</v>
      </c>
      <c r="T1286" s="13">
        <f t="shared" si="6"/>
        <v>811742.14</v>
      </c>
      <c r="U1286" s="13">
        <f t="shared" si="7"/>
        <v>2431023.54</v>
      </c>
      <c r="V1286" s="13">
        <f t="shared" si="8"/>
        <v>-1619281.4</v>
      </c>
      <c r="W1286" s="14">
        <f>Q1286/totals!B$2</f>
        <v>0.0008011831174</v>
      </c>
      <c r="X1286" s="14">
        <f t="shared" si="9"/>
        <v>0.9648188009</v>
      </c>
      <c r="Y1286" s="14">
        <f>T1286/totals!B$5</f>
        <v>0.0004768980173</v>
      </c>
      <c r="Z1286" s="14">
        <f t="shared" si="10"/>
        <v>0.9662099084</v>
      </c>
      <c r="AA1286" s="14">
        <f>V1286/totals!B$4</f>
        <v>-0.003228808051</v>
      </c>
      <c r="AB1286" s="14">
        <f t="shared" si="11"/>
        <v>0.9625339373</v>
      </c>
    </row>
    <row r="1287">
      <c r="A1287" s="7">
        <v>8875.0</v>
      </c>
      <c r="B1287" s="7" t="str">
        <f>VLOOKUP($A1287,product_category,2, False)</f>
        <v>Meat</v>
      </c>
      <c r="C1287" s="7">
        <v>9.69199979E8</v>
      </c>
      <c r="D1287" s="9">
        <v>41590.0</v>
      </c>
      <c r="E1287" s="10">
        <f t="shared" si="1"/>
        <v>11</v>
      </c>
      <c r="F1287" s="10" t="str">
        <f t="shared" si="2"/>
        <v>Nov</v>
      </c>
      <c r="G1287" s="11">
        <f t="shared" si="3"/>
        <v>12</v>
      </c>
      <c r="H1287" s="7">
        <f t="shared" si="4"/>
        <v>2013</v>
      </c>
      <c r="I1287" s="9">
        <v>41615.0</v>
      </c>
      <c r="J1287" s="11">
        <f t="shared" si="5"/>
        <v>25</v>
      </c>
      <c r="K1287" s="7" t="s">
        <v>382</v>
      </c>
      <c r="L1287" s="7" t="s">
        <v>316</v>
      </c>
      <c r="M1287" s="7" t="str">
        <f>VLOOKUP(L1287,countries, 2,false)</f>
        <v>Greece</v>
      </c>
      <c r="N1287" s="7" t="str">
        <f>VLOOKUP(L1287,countries, 4,false)</f>
        <v>Europe</v>
      </c>
      <c r="O1287" s="7" t="str">
        <f>VLOOKUP(L1287,countries, 5,false)</f>
        <v>Southern Europe</v>
      </c>
      <c r="P1287" s="7" t="s">
        <v>129</v>
      </c>
      <c r="Q1287" s="7">
        <v>6666.0</v>
      </c>
      <c r="R1287" s="12">
        <v>421.89</v>
      </c>
      <c r="S1287" s="12">
        <v>364.69</v>
      </c>
      <c r="T1287" s="13">
        <f t="shared" si="6"/>
        <v>2812318.74</v>
      </c>
      <c r="U1287" s="13">
        <f t="shared" si="7"/>
        <v>1548828.28</v>
      </c>
      <c r="V1287" s="13">
        <f t="shared" si="8"/>
        <v>1263490.46</v>
      </c>
      <c r="W1287" s="14">
        <f>Q1287/totals!B$2</f>
        <v>0.001013605364</v>
      </c>
      <c r="X1287" s="14">
        <f t="shared" si="9"/>
        <v>0.9658324063</v>
      </c>
      <c r="Y1287" s="14">
        <f>T1287/totals!B$5</f>
        <v>0.001652235562</v>
      </c>
      <c r="Z1287" s="14">
        <f t="shared" si="10"/>
        <v>0.967862144</v>
      </c>
      <c r="AA1287" s="14">
        <f>V1287/totals!B$4</f>
        <v>0.002519369499</v>
      </c>
      <c r="AB1287" s="14">
        <f t="shared" si="11"/>
        <v>0.9650533068</v>
      </c>
    </row>
    <row r="1288">
      <c r="A1288" s="7">
        <v>7940.0</v>
      </c>
      <c r="B1288" s="7" t="str">
        <f>VLOOKUP($A1288,product_category,2, False)</f>
        <v>Household</v>
      </c>
      <c r="C1288" s="7">
        <v>9.69289243E8</v>
      </c>
      <c r="D1288" s="9">
        <v>40905.0</v>
      </c>
      <c r="E1288" s="10">
        <f t="shared" si="1"/>
        <v>12</v>
      </c>
      <c r="F1288" s="10" t="str">
        <f t="shared" si="2"/>
        <v>Dec</v>
      </c>
      <c r="G1288" s="11">
        <f t="shared" si="3"/>
        <v>28</v>
      </c>
      <c r="H1288" s="7">
        <f t="shared" si="4"/>
        <v>2011</v>
      </c>
      <c r="I1288" s="9">
        <v>40941.0</v>
      </c>
      <c r="J1288" s="11">
        <f t="shared" si="5"/>
        <v>36</v>
      </c>
      <c r="K1288" s="7" t="s">
        <v>198</v>
      </c>
      <c r="L1288" s="7" t="s">
        <v>136</v>
      </c>
      <c r="M1288" s="7" t="str">
        <f>VLOOKUP(L1288,countries, 2,false)</f>
        <v>Bosnia and Herzegovina</v>
      </c>
      <c r="N1288" s="7" t="str">
        <f>VLOOKUP(L1288,countries, 4,false)</f>
        <v>Europe</v>
      </c>
      <c r="O1288" s="7" t="str">
        <f>VLOOKUP(L1288,countries, 5,false)</f>
        <v>Southern Europe</v>
      </c>
      <c r="P1288" s="7" t="s">
        <v>129</v>
      </c>
      <c r="Q1288" s="7">
        <v>3082.0</v>
      </c>
      <c r="R1288" s="12">
        <v>668.27</v>
      </c>
      <c r="S1288" s="12">
        <v>502.54</v>
      </c>
      <c r="T1288" s="13">
        <f t="shared" si="6"/>
        <v>2059608.14</v>
      </c>
      <c r="U1288" s="13">
        <f t="shared" si="7"/>
        <v>3601313.75</v>
      </c>
      <c r="V1288" s="13">
        <f t="shared" si="8"/>
        <v>-1541705.61</v>
      </c>
      <c r="W1288" s="14">
        <f>Q1288/totals!B$2</f>
        <v>0.0004686366232</v>
      </c>
      <c r="X1288" s="14">
        <f t="shared" si="9"/>
        <v>0.9663010429</v>
      </c>
      <c r="Y1288" s="14">
        <f>T1288/totals!B$5</f>
        <v>0.001210018539</v>
      </c>
      <c r="Z1288" s="14">
        <f t="shared" si="10"/>
        <v>0.9690721625</v>
      </c>
      <c r="AA1288" s="14">
        <f>V1288/totals!B$4</f>
        <v>-0.003074123797</v>
      </c>
      <c r="AB1288" s="14">
        <f t="shared" si="11"/>
        <v>0.961979183</v>
      </c>
    </row>
    <row r="1289">
      <c r="A1289" s="7">
        <v>8875.0</v>
      </c>
      <c r="B1289" s="7" t="str">
        <f>VLOOKUP($A1289,product_category,2, False)</f>
        <v>Meat</v>
      </c>
      <c r="C1289" s="7">
        <v>9.70427358E8</v>
      </c>
      <c r="D1289" s="9">
        <v>40477.0</v>
      </c>
      <c r="E1289" s="10">
        <f t="shared" si="1"/>
        <v>10</v>
      </c>
      <c r="F1289" s="10" t="str">
        <f t="shared" si="2"/>
        <v>Oct</v>
      </c>
      <c r="G1289" s="11">
        <f t="shared" si="3"/>
        <v>26</v>
      </c>
      <c r="H1289" s="7">
        <f t="shared" si="4"/>
        <v>2010</v>
      </c>
      <c r="I1289" s="9">
        <v>40482.0</v>
      </c>
      <c r="J1289" s="11">
        <f t="shared" si="5"/>
        <v>5</v>
      </c>
      <c r="K1289" s="7" t="s">
        <v>382</v>
      </c>
      <c r="L1289" s="7" t="s">
        <v>77</v>
      </c>
      <c r="M1289" s="7" t="str">
        <f>VLOOKUP(L1289,countries, 2,false)</f>
        <v>Armenia</v>
      </c>
      <c r="N1289" s="7" t="str">
        <f>VLOOKUP(L1289,countries, 4,false)</f>
        <v>Asia</v>
      </c>
      <c r="O1289" s="7" t="str">
        <f>VLOOKUP(L1289,countries, 5,false)</f>
        <v>Western Asia</v>
      </c>
      <c r="P1289" s="7" t="s">
        <v>212</v>
      </c>
      <c r="Q1289" s="7">
        <v>9875.0</v>
      </c>
      <c r="R1289" s="12">
        <v>421.89</v>
      </c>
      <c r="S1289" s="12">
        <v>364.69</v>
      </c>
      <c r="T1289" s="13">
        <f t="shared" si="6"/>
        <v>4166163.75</v>
      </c>
      <c r="U1289" s="13">
        <f t="shared" si="7"/>
        <v>240214.12</v>
      </c>
      <c r="V1289" s="13">
        <f t="shared" si="8"/>
        <v>3925949.63</v>
      </c>
      <c r="W1289" s="14">
        <f>Q1289/totals!B$2</f>
        <v>0.0015015531</v>
      </c>
      <c r="X1289" s="14">
        <f t="shared" si="9"/>
        <v>0.967802596</v>
      </c>
      <c r="Y1289" s="14">
        <f>T1289/totals!B$5</f>
        <v>0.002447618689</v>
      </c>
      <c r="Z1289" s="14">
        <f t="shared" si="10"/>
        <v>0.9715197812</v>
      </c>
      <c r="AA1289" s="14">
        <f>V1289/totals!B$4</f>
        <v>0.00782824886</v>
      </c>
      <c r="AB1289" s="14">
        <f t="shared" si="11"/>
        <v>0.9698074318</v>
      </c>
    </row>
    <row r="1290">
      <c r="A1290" s="7">
        <v>7940.0</v>
      </c>
      <c r="B1290" s="7" t="str">
        <f>VLOOKUP($A1290,product_category,2, False)</f>
        <v>Household</v>
      </c>
      <c r="C1290" s="7">
        <v>9.71578347E8</v>
      </c>
      <c r="D1290" s="9">
        <v>41759.0</v>
      </c>
      <c r="E1290" s="10">
        <f t="shared" si="1"/>
        <v>4</v>
      </c>
      <c r="F1290" s="10" t="str">
        <f t="shared" si="2"/>
        <v>Apr</v>
      </c>
      <c r="G1290" s="11">
        <f t="shared" si="3"/>
        <v>30</v>
      </c>
      <c r="H1290" s="7">
        <f t="shared" si="4"/>
        <v>2014</v>
      </c>
      <c r="I1290" s="9">
        <v>41806.0</v>
      </c>
      <c r="J1290" s="11">
        <f t="shared" si="5"/>
        <v>47</v>
      </c>
      <c r="K1290" s="7" t="s">
        <v>322</v>
      </c>
      <c r="L1290" s="7" t="s">
        <v>505</v>
      </c>
      <c r="M1290" s="7" t="str">
        <f>VLOOKUP(L1290,countries, 2,false)</f>
        <v>Monaco</v>
      </c>
      <c r="N1290" s="7" t="str">
        <f>VLOOKUP(L1290,countries, 4,false)</f>
        <v>Europe</v>
      </c>
      <c r="O1290" s="7" t="str">
        <f>VLOOKUP(L1290,countries, 5,false)</f>
        <v>Western Europe</v>
      </c>
      <c r="P1290" s="7" t="s">
        <v>129</v>
      </c>
      <c r="Q1290" s="7">
        <v>478.0</v>
      </c>
      <c r="R1290" s="12">
        <v>668.27</v>
      </c>
      <c r="S1290" s="12">
        <v>502.54</v>
      </c>
      <c r="T1290" s="13">
        <f t="shared" si="6"/>
        <v>319433.06</v>
      </c>
      <c r="U1290" s="13">
        <f t="shared" si="7"/>
        <v>533094.24</v>
      </c>
      <c r="V1290" s="13">
        <f t="shared" si="8"/>
        <v>-213661.18</v>
      </c>
      <c r="W1290" s="14">
        <f>Q1290/totals!B$2</f>
        <v>0.00007268277284</v>
      </c>
      <c r="X1290" s="14">
        <f t="shared" si="9"/>
        <v>0.9678752788</v>
      </c>
      <c r="Y1290" s="14">
        <f>T1290/totals!B$5</f>
        <v>0.00018766673</v>
      </c>
      <c r="Z1290" s="14">
        <f t="shared" si="10"/>
        <v>0.9717074479</v>
      </c>
      <c r="AA1290" s="14">
        <f>V1290/totals!B$4</f>
        <v>-0.000426035239</v>
      </c>
      <c r="AB1290" s="14">
        <f t="shared" si="11"/>
        <v>0.9693813966</v>
      </c>
    </row>
    <row r="1291">
      <c r="A1291" s="7">
        <v>8969.0</v>
      </c>
      <c r="B1291" s="7" t="str">
        <f>VLOOKUP($A1291,product_category,2, False)</f>
        <v>Snacks</v>
      </c>
      <c r="C1291" s="7">
        <v>9.71899354E8</v>
      </c>
      <c r="D1291" s="9">
        <v>41426.0</v>
      </c>
      <c r="E1291" s="10">
        <f t="shared" si="1"/>
        <v>6</v>
      </c>
      <c r="F1291" s="10" t="str">
        <f t="shared" si="2"/>
        <v>Jun</v>
      </c>
      <c r="G1291" s="11">
        <f t="shared" si="3"/>
        <v>1</v>
      </c>
      <c r="H1291" s="7">
        <f t="shared" si="4"/>
        <v>2013</v>
      </c>
      <c r="I1291" s="9">
        <v>41426.0</v>
      </c>
      <c r="J1291" s="11">
        <f t="shared" si="5"/>
        <v>0</v>
      </c>
      <c r="K1291" s="7" t="s">
        <v>198</v>
      </c>
      <c r="L1291" s="7" t="s">
        <v>702</v>
      </c>
      <c r="M1291" s="7" t="str">
        <f>VLOOKUP(L1291,countries, 2,false)</f>
        <v>Sweden</v>
      </c>
      <c r="N1291" s="7" t="str">
        <f>VLOOKUP(L1291,countries, 4,false)</f>
        <v>Europe</v>
      </c>
      <c r="O1291" s="7" t="str">
        <f>VLOOKUP(L1291,countries, 5,false)</f>
        <v>Northern Europe</v>
      </c>
      <c r="P1291" s="7" t="s">
        <v>129</v>
      </c>
      <c r="Q1291" s="7">
        <v>5471.0</v>
      </c>
      <c r="R1291" s="12">
        <v>152.58</v>
      </c>
      <c r="S1291" s="12">
        <v>97.44</v>
      </c>
      <c r="T1291" s="13">
        <f t="shared" si="6"/>
        <v>834765.18</v>
      </c>
      <c r="U1291" s="13">
        <f t="shared" si="7"/>
        <v>1084907.04</v>
      </c>
      <c r="V1291" s="13">
        <f t="shared" si="8"/>
        <v>-250141.86</v>
      </c>
      <c r="W1291" s="14">
        <f>Q1291/totals!B$2</f>
        <v>0.0008318984315</v>
      </c>
      <c r="X1291" s="14">
        <f t="shared" si="9"/>
        <v>0.9687071772</v>
      </c>
      <c r="Y1291" s="14">
        <f>T1291/totals!B$5</f>
        <v>0.0004904240394</v>
      </c>
      <c r="Z1291" s="14">
        <f t="shared" si="10"/>
        <v>0.972197872</v>
      </c>
      <c r="AA1291" s="14">
        <f>V1291/totals!B$4</f>
        <v>-0.0004987768349</v>
      </c>
      <c r="AB1291" s="14">
        <f t="shared" si="11"/>
        <v>0.9688826198</v>
      </c>
    </row>
    <row r="1292">
      <c r="A1292" s="7">
        <v>2103.0</v>
      </c>
      <c r="B1292" s="7" t="str">
        <f>VLOOKUP($A1292,product_category,2, False)</f>
        <v>Cereal</v>
      </c>
      <c r="C1292" s="7">
        <v>9.72419059E8</v>
      </c>
      <c r="D1292" s="9">
        <v>41112.0</v>
      </c>
      <c r="E1292" s="10">
        <f t="shared" si="1"/>
        <v>7</v>
      </c>
      <c r="F1292" s="10" t="str">
        <f t="shared" si="2"/>
        <v>Jul</v>
      </c>
      <c r="G1292" s="11">
        <f t="shared" si="3"/>
        <v>22</v>
      </c>
      <c r="H1292" s="7">
        <f t="shared" si="4"/>
        <v>2012</v>
      </c>
      <c r="I1292" s="9">
        <v>41138.0</v>
      </c>
      <c r="J1292" s="11">
        <f t="shared" si="5"/>
        <v>26</v>
      </c>
      <c r="K1292" s="7" t="s">
        <v>382</v>
      </c>
      <c r="L1292" s="7" t="s">
        <v>670</v>
      </c>
      <c r="M1292" s="7" t="str">
        <f>VLOOKUP(L1292,countries, 2,false)</f>
        <v>Slovenia</v>
      </c>
      <c r="N1292" s="7" t="str">
        <f>VLOOKUP(L1292,countries, 4,false)</f>
        <v>Europe</v>
      </c>
      <c r="O1292" s="7" t="str">
        <f>VLOOKUP(L1292,countries, 5,false)</f>
        <v>Southern Europe</v>
      </c>
      <c r="P1292" s="7" t="s">
        <v>129</v>
      </c>
      <c r="Q1292" s="7">
        <v>9264.0</v>
      </c>
      <c r="R1292" s="12">
        <v>205.7</v>
      </c>
      <c r="S1292" s="12">
        <v>117.11</v>
      </c>
      <c r="T1292" s="13">
        <f t="shared" si="6"/>
        <v>1905604.8</v>
      </c>
      <c r="U1292" s="13">
        <f t="shared" si="7"/>
        <v>833737.17</v>
      </c>
      <c r="V1292" s="13">
        <f t="shared" si="8"/>
        <v>1071867.63</v>
      </c>
      <c r="W1292" s="14">
        <f>Q1292/totals!B$2</f>
        <v>0.001408646878</v>
      </c>
      <c r="X1292" s="14">
        <f t="shared" si="9"/>
        <v>0.9701158241</v>
      </c>
      <c r="Y1292" s="14">
        <f>T1292/totals!B$5</f>
        <v>0.00111954167</v>
      </c>
      <c r="Z1292" s="14">
        <f t="shared" si="10"/>
        <v>0.9733174136</v>
      </c>
      <c r="AA1292" s="14">
        <f>V1292/totals!B$4</f>
        <v>0.002137278198</v>
      </c>
      <c r="AB1292" s="14">
        <f t="shared" si="11"/>
        <v>0.971019898</v>
      </c>
    </row>
    <row r="1293">
      <c r="A1293" s="7">
        <v>5988.0</v>
      </c>
      <c r="B1293" s="7" t="str">
        <f>VLOOKUP($A1293,product_category,2, False)</f>
        <v>Vegetables</v>
      </c>
      <c r="C1293" s="7">
        <v>9.72452533E8</v>
      </c>
      <c r="D1293" s="9">
        <v>42238.0</v>
      </c>
      <c r="E1293" s="10">
        <f t="shared" si="1"/>
        <v>8</v>
      </c>
      <c r="F1293" s="10" t="str">
        <f t="shared" si="2"/>
        <v>Aug</v>
      </c>
      <c r="G1293" s="11">
        <f t="shared" si="3"/>
        <v>22</v>
      </c>
      <c r="H1293" s="7">
        <f t="shared" si="4"/>
        <v>2015</v>
      </c>
      <c r="I1293" s="9">
        <v>42281.0</v>
      </c>
      <c r="J1293" s="11">
        <f t="shared" si="5"/>
        <v>43</v>
      </c>
      <c r="K1293" s="7" t="s">
        <v>322</v>
      </c>
      <c r="L1293" s="7" t="s">
        <v>283</v>
      </c>
      <c r="M1293" s="7" t="str">
        <f>VLOOKUP(L1293,countries, 2,false)</f>
        <v>Finland</v>
      </c>
      <c r="N1293" s="7" t="str">
        <f>VLOOKUP(L1293,countries, 4,false)</f>
        <v>Europe</v>
      </c>
      <c r="O1293" s="7" t="str">
        <f>VLOOKUP(L1293,countries, 5,false)</f>
        <v>Northern Europe</v>
      </c>
      <c r="P1293" s="7" t="s">
        <v>129</v>
      </c>
      <c r="Q1293" s="7">
        <v>9169.0</v>
      </c>
      <c r="R1293" s="12">
        <v>154.06</v>
      </c>
      <c r="S1293" s="12">
        <v>90.93</v>
      </c>
      <c r="T1293" s="13">
        <f t="shared" si="6"/>
        <v>1412576.14</v>
      </c>
      <c r="U1293" s="13">
        <f t="shared" si="7"/>
        <v>560767.2</v>
      </c>
      <c r="V1293" s="13">
        <f t="shared" si="8"/>
        <v>851808.94</v>
      </c>
      <c r="W1293" s="14">
        <f>Q1293/totals!B$2</f>
        <v>0.001394201557</v>
      </c>
      <c r="X1293" s="14">
        <f t="shared" si="9"/>
        <v>0.9715100257</v>
      </c>
      <c r="Y1293" s="14">
        <f>T1293/totals!B$5</f>
        <v>0.0008298876297</v>
      </c>
      <c r="Z1293" s="14">
        <f t="shared" si="10"/>
        <v>0.9741473013</v>
      </c>
      <c r="AA1293" s="14">
        <f>V1293/totals!B$4</f>
        <v>0.001698486479</v>
      </c>
      <c r="AB1293" s="14">
        <f t="shared" si="11"/>
        <v>0.9727183844</v>
      </c>
    </row>
    <row r="1294">
      <c r="A1294" s="7">
        <v>8969.0</v>
      </c>
      <c r="B1294" s="7" t="str">
        <f>VLOOKUP($A1294,product_category,2, False)</f>
        <v>Snacks</v>
      </c>
      <c r="C1294" s="7">
        <v>9.72981679E8</v>
      </c>
      <c r="D1294" s="9">
        <v>42809.0</v>
      </c>
      <c r="E1294" s="10">
        <f t="shared" si="1"/>
        <v>3</v>
      </c>
      <c r="F1294" s="10" t="str">
        <f t="shared" si="2"/>
        <v>Mar</v>
      </c>
      <c r="G1294" s="11">
        <f t="shared" si="3"/>
        <v>15</v>
      </c>
      <c r="H1294" s="7">
        <f t="shared" si="4"/>
        <v>2017</v>
      </c>
      <c r="I1294" s="9">
        <v>42834.0</v>
      </c>
      <c r="J1294" s="11">
        <f t="shared" si="5"/>
        <v>25</v>
      </c>
      <c r="K1294" s="7" t="s">
        <v>198</v>
      </c>
      <c r="L1294" s="7" t="s">
        <v>432</v>
      </c>
      <c r="M1294" s="7" t="str">
        <f>VLOOKUP(L1294,countries, 2,false)</f>
        <v>Latvia</v>
      </c>
      <c r="N1294" s="7" t="str">
        <f>VLOOKUP(L1294,countries, 4,false)</f>
        <v>Europe</v>
      </c>
      <c r="O1294" s="7" t="str">
        <f>VLOOKUP(L1294,countries, 5,false)</f>
        <v>Northern Europe</v>
      </c>
      <c r="P1294" s="7" t="s">
        <v>129</v>
      </c>
      <c r="Q1294" s="7">
        <v>5755.0</v>
      </c>
      <c r="R1294" s="12">
        <v>152.58</v>
      </c>
      <c r="S1294" s="12">
        <v>97.44</v>
      </c>
      <c r="T1294" s="13">
        <f t="shared" si="6"/>
        <v>878097.9</v>
      </c>
      <c r="U1294" s="13">
        <f t="shared" si="7"/>
        <v>18724.31</v>
      </c>
      <c r="V1294" s="13">
        <f t="shared" si="8"/>
        <v>859373.59</v>
      </c>
      <c r="W1294" s="14">
        <f>Q1294/totals!B$2</f>
        <v>0.0008750823383</v>
      </c>
      <c r="X1294" s="14">
        <f t="shared" si="9"/>
        <v>0.972385108</v>
      </c>
      <c r="Y1294" s="14">
        <f>T1294/totals!B$5</f>
        <v>0.0005158819863</v>
      </c>
      <c r="Z1294" s="14">
        <f t="shared" si="10"/>
        <v>0.9746631833</v>
      </c>
      <c r="AA1294" s="14">
        <f>V1294/totals!B$4</f>
        <v>0.001713570209</v>
      </c>
      <c r="AB1294" s="14">
        <f t="shared" si="11"/>
        <v>0.9744319546</v>
      </c>
    </row>
    <row r="1295">
      <c r="A1295" s="7">
        <v>1270.0</v>
      </c>
      <c r="B1295" s="7" t="str">
        <f>VLOOKUP($A1295,product_category,2, False)</f>
        <v>Beverages</v>
      </c>
      <c r="C1295" s="7">
        <v>9.73268353E8</v>
      </c>
      <c r="D1295" s="9">
        <v>42526.0</v>
      </c>
      <c r="E1295" s="10">
        <f t="shared" si="1"/>
        <v>6</v>
      </c>
      <c r="F1295" s="10" t="str">
        <f t="shared" si="2"/>
        <v>Jun</v>
      </c>
      <c r="G1295" s="11">
        <f t="shared" si="3"/>
        <v>5</v>
      </c>
      <c r="H1295" s="7">
        <f t="shared" si="4"/>
        <v>2016</v>
      </c>
      <c r="I1295" s="9">
        <v>42547.0</v>
      </c>
      <c r="J1295" s="11">
        <f t="shared" si="5"/>
        <v>21</v>
      </c>
      <c r="K1295" s="7" t="s">
        <v>382</v>
      </c>
      <c r="L1295" s="7" t="s">
        <v>237</v>
      </c>
      <c r="M1295" s="7" t="str">
        <f>VLOOKUP(L1295,countries, 2,false)</f>
        <v>Denmark</v>
      </c>
      <c r="N1295" s="7" t="str">
        <f>VLOOKUP(L1295,countries, 4,false)</f>
        <v>Europe</v>
      </c>
      <c r="O1295" s="7" t="str">
        <f>VLOOKUP(L1295,countries, 5,false)</f>
        <v>Northern Europe</v>
      </c>
      <c r="P1295" s="7" t="s">
        <v>129</v>
      </c>
      <c r="Q1295" s="7">
        <v>589.0</v>
      </c>
      <c r="R1295" s="12">
        <v>47.45</v>
      </c>
      <c r="S1295" s="12">
        <v>31.79</v>
      </c>
      <c r="T1295" s="13">
        <f t="shared" si="6"/>
        <v>27948.05</v>
      </c>
      <c r="U1295" s="13">
        <f t="shared" si="7"/>
        <v>24263.68</v>
      </c>
      <c r="V1295" s="13">
        <f t="shared" si="8"/>
        <v>3684.37</v>
      </c>
      <c r="W1295" s="14">
        <f>Q1295/totals!B$2</f>
        <v>0.00008956098997</v>
      </c>
      <c r="X1295" s="14">
        <f t="shared" si="9"/>
        <v>0.972474669</v>
      </c>
      <c r="Y1295" s="14">
        <f>T1295/totals!B$5</f>
        <v>0.00001641946251</v>
      </c>
      <c r="Z1295" s="14">
        <f t="shared" si="10"/>
        <v>0.9746796027</v>
      </c>
      <c r="AA1295" s="14">
        <f>V1295/totals!B$4</f>
        <v>0.000007346544905</v>
      </c>
      <c r="AB1295" s="14">
        <f t="shared" si="11"/>
        <v>0.9744393012</v>
      </c>
    </row>
    <row r="1296">
      <c r="A1296" s="7">
        <v>2455.0</v>
      </c>
      <c r="B1296" s="7" t="str">
        <f>VLOOKUP($A1296,product_category,2, False)</f>
        <v>Clothes</v>
      </c>
      <c r="C1296" s="7">
        <v>9.7414726E8</v>
      </c>
      <c r="D1296" s="9">
        <v>40681.0</v>
      </c>
      <c r="E1296" s="10">
        <f t="shared" si="1"/>
        <v>5</v>
      </c>
      <c r="F1296" s="10" t="str">
        <f t="shared" si="2"/>
        <v>May</v>
      </c>
      <c r="G1296" s="11">
        <f t="shared" si="3"/>
        <v>18</v>
      </c>
      <c r="H1296" s="7">
        <f t="shared" si="4"/>
        <v>2011</v>
      </c>
      <c r="I1296" s="9">
        <v>40702.0</v>
      </c>
      <c r="J1296" s="11">
        <f t="shared" si="5"/>
        <v>21</v>
      </c>
      <c r="K1296" s="7" t="s">
        <v>322</v>
      </c>
      <c r="L1296" s="7" t="s">
        <v>56</v>
      </c>
      <c r="M1296" s="7" t="str">
        <f>VLOOKUP(L1296,countries, 2,false)</f>
        <v>Andorra</v>
      </c>
      <c r="N1296" s="7" t="str">
        <f>VLOOKUP(L1296,countries, 4,false)</f>
        <v>Europe</v>
      </c>
      <c r="O1296" s="7" t="str">
        <f>VLOOKUP(L1296,countries, 5,false)</f>
        <v>Southern Europe</v>
      </c>
      <c r="P1296" s="7" t="s">
        <v>212</v>
      </c>
      <c r="Q1296" s="7">
        <v>677.0</v>
      </c>
      <c r="R1296" s="12">
        <v>109.28</v>
      </c>
      <c r="S1296" s="12">
        <v>35.84</v>
      </c>
      <c r="T1296" s="13">
        <f t="shared" si="6"/>
        <v>73982.56</v>
      </c>
      <c r="U1296" s="13">
        <f t="shared" si="7"/>
        <v>10885.16</v>
      </c>
      <c r="V1296" s="13">
        <f t="shared" si="8"/>
        <v>63097.4</v>
      </c>
      <c r="W1296" s="14">
        <f>Q1296/totals!B$2</f>
        <v>0.0001029419189</v>
      </c>
      <c r="X1296" s="14">
        <f t="shared" si="9"/>
        <v>0.9725776109</v>
      </c>
      <c r="Y1296" s="14">
        <f>T1296/totals!B$5</f>
        <v>0.00004346470935</v>
      </c>
      <c r="Z1296" s="14">
        <f t="shared" si="10"/>
        <v>0.9747230674</v>
      </c>
      <c r="AA1296" s="14">
        <f>V1296/totals!B$4</f>
        <v>0.0001258146936</v>
      </c>
      <c r="AB1296" s="14">
        <f t="shared" si="11"/>
        <v>0.9745651159</v>
      </c>
    </row>
    <row r="1297">
      <c r="A1297" s="7">
        <v>4594.0</v>
      </c>
      <c r="B1297" s="7" t="str">
        <f>VLOOKUP($A1297,product_category,2, False)</f>
        <v>Fruits</v>
      </c>
      <c r="C1297" s="7">
        <v>9.7442063E8</v>
      </c>
      <c r="D1297" s="9">
        <v>40659.0</v>
      </c>
      <c r="E1297" s="10">
        <f t="shared" si="1"/>
        <v>4</v>
      </c>
      <c r="F1297" s="10" t="str">
        <f t="shared" si="2"/>
        <v>Apr</v>
      </c>
      <c r="G1297" s="11">
        <f t="shared" si="3"/>
        <v>26</v>
      </c>
      <c r="H1297" s="7">
        <f t="shared" si="4"/>
        <v>2011</v>
      </c>
      <c r="I1297" s="9">
        <v>40709.0</v>
      </c>
      <c r="J1297" s="11">
        <f t="shared" si="5"/>
        <v>50</v>
      </c>
      <c r="K1297" s="7" t="s">
        <v>382</v>
      </c>
      <c r="L1297" s="7" t="s">
        <v>448</v>
      </c>
      <c r="M1297" s="7" t="str">
        <f>VLOOKUP(L1297,countries, 2,false)</f>
        <v>Liechtenstein</v>
      </c>
      <c r="N1297" s="7" t="str">
        <f>VLOOKUP(L1297,countries, 4,false)</f>
        <v>Europe</v>
      </c>
      <c r="O1297" s="7" t="str">
        <f>VLOOKUP(L1297,countries, 5,false)</f>
        <v>Western Europe</v>
      </c>
      <c r="P1297" s="7" t="s">
        <v>212</v>
      </c>
      <c r="Q1297" s="7">
        <v>1573.0</v>
      </c>
      <c r="R1297" s="12">
        <v>9.33</v>
      </c>
      <c r="S1297" s="12">
        <v>6.92</v>
      </c>
      <c r="T1297" s="13">
        <f t="shared" si="6"/>
        <v>14676.09</v>
      </c>
      <c r="U1297" s="13">
        <f t="shared" si="7"/>
        <v>626780.49</v>
      </c>
      <c r="V1297" s="13">
        <f t="shared" si="8"/>
        <v>-612104.4</v>
      </c>
      <c r="W1297" s="14">
        <f>Q1297/totals!B$2</f>
        <v>0.0002391841039</v>
      </c>
      <c r="X1297" s="14">
        <f t="shared" si="9"/>
        <v>0.972816795</v>
      </c>
      <c r="Y1297" s="14">
        <f>T1297/totals!B$5</f>
        <v>0.000008622194017</v>
      </c>
      <c r="Z1297" s="14">
        <f t="shared" si="10"/>
        <v>0.9747316896</v>
      </c>
      <c r="AA1297" s="14">
        <f>V1297/totals!B$4</f>
        <v>-0.001220521408</v>
      </c>
      <c r="AB1297" s="14">
        <f t="shared" si="11"/>
        <v>0.9733445945</v>
      </c>
    </row>
    <row r="1298">
      <c r="A1298" s="7">
        <v>5988.0</v>
      </c>
      <c r="B1298" s="7" t="str">
        <f>VLOOKUP($A1298,product_category,2, False)</f>
        <v>Vegetables</v>
      </c>
      <c r="C1298" s="7">
        <v>9.75080668E8</v>
      </c>
      <c r="D1298" s="9">
        <v>42939.0</v>
      </c>
      <c r="E1298" s="10">
        <f t="shared" si="1"/>
        <v>7</v>
      </c>
      <c r="F1298" s="10" t="str">
        <f t="shared" si="2"/>
        <v>Jul</v>
      </c>
      <c r="G1298" s="11">
        <f t="shared" si="3"/>
        <v>23</v>
      </c>
      <c r="H1298" s="7">
        <f t="shared" si="4"/>
        <v>2017</v>
      </c>
      <c r="I1298" s="9">
        <v>42967.0</v>
      </c>
      <c r="J1298" s="11">
        <f t="shared" si="5"/>
        <v>28</v>
      </c>
      <c r="K1298" s="7" t="s">
        <v>198</v>
      </c>
      <c r="L1298" s="7" t="e">
        <v>#N/A</v>
      </c>
      <c r="M1298" s="7"/>
      <c r="N1298" s="7"/>
      <c r="O1298" s="7"/>
      <c r="P1298" s="7" t="s">
        <v>212</v>
      </c>
      <c r="Q1298" s="7">
        <v>6893.0</v>
      </c>
      <c r="R1298" s="12">
        <v>154.06</v>
      </c>
      <c r="S1298" s="12">
        <v>90.93</v>
      </c>
      <c r="T1298" s="13">
        <f t="shared" si="6"/>
        <v>1061935.58</v>
      </c>
      <c r="U1298" s="13">
        <f t="shared" si="7"/>
        <v>3595976</v>
      </c>
      <c r="V1298" s="13">
        <f t="shared" si="8"/>
        <v>-2534040.42</v>
      </c>
      <c r="W1298" s="14">
        <f>Q1298/totals!B$2</f>
        <v>0.001048122078</v>
      </c>
      <c r="X1298" s="14">
        <f t="shared" si="9"/>
        <v>0.9738649171</v>
      </c>
      <c r="Y1298" s="14">
        <f>T1298/totals!B$5</f>
        <v>0.0006238865123</v>
      </c>
      <c r="Z1298" s="14">
        <f t="shared" si="10"/>
        <v>0.9753555761</v>
      </c>
      <c r="AA1298" s="14">
        <f>V1298/totals!B$4</f>
        <v>-0.005052815471</v>
      </c>
      <c r="AB1298" s="14">
        <f t="shared" si="11"/>
        <v>0.968291779</v>
      </c>
    </row>
    <row r="1299">
      <c r="A1299" s="7">
        <v>8681.0</v>
      </c>
      <c r="B1299" s="7" t="str">
        <f>VLOOKUP($A1299,product_category,2, False)</f>
        <v>Office Supplies</v>
      </c>
      <c r="C1299" s="7">
        <v>9.75823962E8</v>
      </c>
      <c r="D1299" s="9">
        <v>41709.0</v>
      </c>
      <c r="E1299" s="10">
        <f t="shared" si="1"/>
        <v>3</v>
      </c>
      <c r="F1299" s="10" t="str">
        <f t="shared" si="2"/>
        <v>Mar</v>
      </c>
      <c r="G1299" s="11">
        <f t="shared" si="3"/>
        <v>11</v>
      </c>
      <c r="H1299" s="7">
        <f t="shared" si="4"/>
        <v>2014</v>
      </c>
      <c r="I1299" s="9">
        <v>41737.0</v>
      </c>
      <c r="J1299" s="11">
        <f t="shared" si="5"/>
        <v>28</v>
      </c>
      <c r="K1299" s="7" t="s">
        <v>322</v>
      </c>
      <c r="L1299" s="7" t="s">
        <v>316</v>
      </c>
      <c r="M1299" s="7" t="str">
        <f>VLOOKUP(L1299,countries, 2,false)</f>
        <v>Greece</v>
      </c>
      <c r="N1299" s="7" t="str">
        <f>VLOOKUP(L1299,countries, 4,false)</f>
        <v>Europe</v>
      </c>
      <c r="O1299" s="7" t="str">
        <f>VLOOKUP(L1299,countries, 5,false)</f>
        <v>Southern Europe</v>
      </c>
      <c r="P1299" s="7" t="s">
        <v>129</v>
      </c>
      <c r="Q1299" s="7">
        <v>6850.0</v>
      </c>
      <c r="R1299" s="12">
        <v>651.21</v>
      </c>
      <c r="S1299" s="12">
        <v>524.96</v>
      </c>
      <c r="T1299" s="13">
        <f t="shared" si="6"/>
        <v>4460788.5</v>
      </c>
      <c r="U1299" s="13">
        <f t="shared" si="7"/>
        <v>148586.46</v>
      </c>
      <c r="V1299" s="13">
        <f t="shared" si="8"/>
        <v>4312202.04</v>
      </c>
      <c r="W1299" s="14">
        <f>Q1299/totals!B$2</f>
        <v>0.001041583669</v>
      </c>
      <c r="X1299" s="14">
        <f t="shared" si="9"/>
        <v>0.9749065008</v>
      </c>
      <c r="Y1299" s="14">
        <f>T1299/totals!B$5</f>
        <v>0.002620710551</v>
      </c>
      <c r="Z1299" s="14">
        <f t="shared" si="10"/>
        <v>0.9779762867</v>
      </c>
      <c r="AA1299" s="14">
        <f>V1299/totals!B$4</f>
        <v>0.008598426848</v>
      </c>
      <c r="AB1299" s="14">
        <f t="shared" si="11"/>
        <v>0.9768902058</v>
      </c>
    </row>
    <row r="1300">
      <c r="A1300" s="7">
        <v>1270.0</v>
      </c>
      <c r="B1300" s="7" t="str">
        <f>VLOOKUP($A1300,product_category,2, False)</f>
        <v>Beverages</v>
      </c>
      <c r="C1300" s="7">
        <v>9.76323497E8</v>
      </c>
      <c r="D1300" s="9">
        <v>42772.0</v>
      </c>
      <c r="E1300" s="10">
        <f t="shared" si="1"/>
        <v>2</v>
      </c>
      <c r="F1300" s="10" t="str">
        <f t="shared" si="2"/>
        <v>Feb</v>
      </c>
      <c r="G1300" s="11">
        <f t="shared" si="3"/>
        <v>6</v>
      </c>
      <c r="H1300" s="7">
        <f t="shared" si="4"/>
        <v>2017</v>
      </c>
      <c r="I1300" s="9">
        <v>42776.0</v>
      </c>
      <c r="J1300" s="11">
        <f t="shared" si="5"/>
        <v>4</v>
      </c>
      <c r="K1300" s="7" t="s">
        <v>110</v>
      </c>
      <c r="L1300" s="7" t="s">
        <v>222</v>
      </c>
      <c r="M1300" s="7" t="str">
        <f>VLOOKUP(L1300,countries, 2,false)</f>
        <v>Croatia</v>
      </c>
      <c r="N1300" s="7" t="str">
        <f>VLOOKUP(L1300,countries, 4,false)</f>
        <v>Europe</v>
      </c>
      <c r="O1300" s="7" t="str">
        <f>VLOOKUP(L1300,countries, 5,false)</f>
        <v>Southern Europe</v>
      </c>
      <c r="P1300" s="7" t="s">
        <v>129</v>
      </c>
      <c r="Q1300" s="7">
        <v>4674.0</v>
      </c>
      <c r="R1300" s="12">
        <v>47.45</v>
      </c>
      <c r="S1300" s="12">
        <v>31.79</v>
      </c>
      <c r="T1300" s="13">
        <f t="shared" si="6"/>
        <v>221781.3</v>
      </c>
      <c r="U1300" s="13">
        <f t="shared" si="7"/>
        <v>93055.2</v>
      </c>
      <c r="V1300" s="13">
        <f t="shared" si="8"/>
        <v>128726.1</v>
      </c>
      <c r="W1300" s="14">
        <f>Q1300/totals!B$2</f>
        <v>0.0007107097914</v>
      </c>
      <c r="X1300" s="14">
        <f t="shared" si="9"/>
        <v>0.9756172106</v>
      </c>
      <c r="Y1300" s="14">
        <f>T1300/totals!B$5</f>
        <v>0.0001302963799</v>
      </c>
      <c r="Z1300" s="14">
        <f t="shared" si="10"/>
        <v>0.9781065831</v>
      </c>
      <c r="AA1300" s="14">
        <f>V1300/totals!B$4</f>
        <v>0.0002566767382</v>
      </c>
      <c r="AB1300" s="14">
        <f t="shared" si="11"/>
        <v>0.9771468826</v>
      </c>
    </row>
    <row r="1301">
      <c r="A1301" s="7">
        <v>8969.0</v>
      </c>
      <c r="B1301" s="7" t="str">
        <f>VLOOKUP($A1301,product_category,2, False)</f>
        <v>Snacks</v>
      </c>
      <c r="C1301" s="7">
        <v>9.77324712E8</v>
      </c>
      <c r="D1301" s="9">
        <v>40575.0</v>
      </c>
      <c r="E1301" s="10">
        <f t="shared" si="1"/>
        <v>2</v>
      </c>
      <c r="F1301" s="10" t="str">
        <f t="shared" si="2"/>
        <v>Feb</v>
      </c>
      <c r="G1301" s="11">
        <f t="shared" si="3"/>
        <v>1</v>
      </c>
      <c r="H1301" s="7">
        <f t="shared" si="4"/>
        <v>2011</v>
      </c>
      <c r="I1301" s="9">
        <v>40612.0</v>
      </c>
      <c r="J1301" s="11">
        <f t="shared" si="5"/>
        <v>37</v>
      </c>
      <c r="K1301" s="7" t="s">
        <v>382</v>
      </c>
      <c r="L1301" s="7" t="s">
        <v>454</v>
      </c>
      <c r="M1301" s="7" t="str">
        <f>VLOOKUP(L1301,countries, 2,false)</f>
        <v>Luxembourg</v>
      </c>
      <c r="N1301" s="7" t="str">
        <f>VLOOKUP(L1301,countries, 4,false)</f>
        <v>Europe</v>
      </c>
      <c r="O1301" s="7" t="str">
        <f>VLOOKUP(L1301,countries, 5,false)</f>
        <v>Western Europe</v>
      </c>
      <c r="P1301" s="7" t="s">
        <v>129</v>
      </c>
      <c r="Q1301" s="7">
        <v>955.0</v>
      </c>
      <c r="R1301" s="12">
        <v>152.58</v>
      </c>
      <c r="S1301" s="12">
        <v>97.44</v>
      </c>
      <c r="T1301" s="13">
        <f t="shared" si="6"/>
        <v>145713.9</v>
      </c>
      <c r="U1301" s="13">
        <f t="shared" si="7"/>
        <v>1369577.22</v>
      </c>
      <c r="V1301" s="13">
        <f t="shared" si="8"/>
        <v>-1223863.32</v>
      </c>
      <c r="W1301" s="14">
        <f>Q1301/totals!B$2</f>
        <v>0.0001452134897</v>
      </c>
      <c r="X1301" s="14">
        <f t="shared" si="9"/>
        <v>0.975762424</v>
      </c>
      <c r="Y1301" s="14">
        <f>T1301/totals!B$5</f>
        <v>0.0000856068283</v>
      </c>
      <c r="Z1301" s="14">
        <f t="shared" si="10"/>
        <v>0.9781921899</v>
      </c>
      <c r="AA1301" s="14">
        <f>V1301/totals!B$4</f>
        <v>-0.002440353938</v>
      </c>
      <c r="AB1301" s="14">
        <f t="shared" si="11"/>
        <v>0.9747065286</v>
      </c>
    </row>
    <row r="1302">
      <c r="A1302" s="7">
        <v>7331.0</v>
      </c>
      <c r="B1302" s="7" t="str">
        <f>VLOOKUP($A1302,product_category,2, False)</f>
        <v>Baby Food</v>
      </c>
      <c r="C1302" s="7">
        <v>9.79073941E8</v>
      </c>
      <c r="D1302" s="9">
        <v>40355.0</v>
      </c>
      <c r="E1302" s="10">
        <f t="shared" si="1"/>
        <v>6</v>
      </c>
      <c r="F1302" s="10" t="str">
        <f t="shared" si="2"/>
        <v>Jun</v>
      </c>
      <c r="G1302" s="11">
        <f t="shared" si="3"/>
        <v>26</v>
      </c>
      <c r="H1302" s="7">
        <f t="shared" si="4"/>
        <v>2010</v>
      </c>
      <c r="I1302" s="9">
        <v>40377.0</v>
      </c>
      <c r="J1302" s="11">
        <f t="shared" si="5"/>
        <v>22</v>
      </c>
      <c r="K1302" s="7" t="s">
        <v>198</v>
      </c>
      <c r="L1302" s="7" t="s">
        <v>705</v>
      </c>
      <c r="M1302" s="7" t="str">
        <f>VLOOKUP(L1302,countries, 2,false)</f>
        <v>Switzerland</v>
      </c>
      <c r="N1302" s="7" t="str">
        <f>VLOOKUP(L1302,countries, 4,false)</f>
        <v>Europe</v>
      </c>
      <c r="O1302" s="7" t="str">
        <f>VLOOKUP(L1302,countries, 5,false)</f>
        <v>Western Europe</v>
      </c>
      <c r="P1302" s="7" t="s">
        <v>129</v>
      </c>
      <c r="Q1302" s="7">
        <v>8591.0</v>
      </c>
      <c r="R1302" s="12">
        <v>255.28</v>
      </c>
      <c r="S1302" s="12">
        <v>159.42</v>
      </c>
      <c r="T1302" s="13">
        <f t="shared" si="6"/>
        <v>2193110.48</v>
      </c>
      <c r="U1302" s="13">
        <f t="shared" si="7"/>
        <v>2161882.32</v>
      </c>
      <c r="V1302" s="13">
        <f t="shared" si="8"/>
        <v>31228.16</v>
      </c>
      <c r="W1302" s="14">
        <f>Q1302/totals!B$2</f>
        <v>0.001306313183</v>
      </c>
      <c r="X1302" s="14">
        <f t="shared" si="9"/>
        <v>0.9770687372</v>
      </c>
      <c r="Y1302" s="14">
        <f>T1302/totals!B$5</f>
        <v>0.001288451083</v>
      </c>
      <c r="Z1302" s="14">
        <f t="shared" si="10"/>
        <v>0.979480641</v>
      </c>
      <c r="AA1302" s="14">
        <f>V1302/totals!B$4</f>
        <v>0.00006226819775</v>
      </c>
      <c r="AB1302" s="14">
        <f t="shared" si="11"/>
        <v>0.9747687968</v>
      </c>
    </row>
    <row r="1303">
      <c r="A1303" s="7">
        <v>8875.0</v>
      </c>
      <c r="B1303" s="7" t="str">
        <f>VLOOKUP($A1303,product_category,2, False)</f>
        <v>Meat</v>
      </c>
      <c r="C1303" s="7">
        <v>9.79200112E8</v>
      </c>
      <c r="D1303" s="9">
        <v>41622.0</v>
      </c>
      <c r="E1303" s="10">
        <f t="shared" si="1"/>
        <v>12</v>
      </c>
      <c r="F1303" s="10" t="str">
        <f t="shared" si="2"/>
        <v>Dec</v>
      </c>
      <c r="G1303" s="11">
        <f t="shared" si="3"/>
        <v>14</v>
      </c>
      <c r="H1303" s="7">
        <f t="shared" si="4"/>
        <v>2013</v>
      </c>
      <c r="I1303" s="9">
        <v>41638.0</v>
      </c>
      <c r="J1303" s="11">
        <f t="shared" si="5"/>
        <v>16</v>
      </c>
      <c r="K1303" s="7" t="s">
        <v>198</v>
      </c>
      <c r="L1303" s="7" t="s">
        <v>460</v>
      </c>
      <c r="M1303" s="7" t="str">
        <f>VLOOKUP(L1303,countries, 2,false)</f>
        <v>Macedonia</v>
      </c>
      <c r="N1303" s="7" t="str">
        <f>VLOOKUP(L1303,countries, 4,false)</f>
        <v>Europe</v>
      </c>
      <c r="O1303" s="7" t="str">
        <f>VLOOKUP(L1303,countries, 5,false)</f>
        <v>Southern Europe</v>
      </c>
      <c r="P1303" s="7" t="s">
        <v>129</v>
      </c>
      <c r="Q1303" s="7">
        <v>5928.0</v>
      </c>
      <c r="R1303" s="12">
        <v>421.89</v>
      </c>
      <c r="S1303" s="12">
        <v>364.69</v>
      </c>
      <c r="T1303" s="13">
        <f t="shared" si="6"/>
        <v>2500963.92</v>
      </c>
      <c r="U1303" s="13">
        <f t="shared" si="7"/>
        <v>864215.82</v>
      </c>
      <c r="V1303" s="13">
        <f t="shared" si="8"/>
        <v>1636748.1</v>
      </c>
      <c r="W1303" s="14">
        <f>Q1303/totals!B$2</f>
        <v>0.0009013880281</v>
      </c>
      <c r="X1303" s="14">
        <f t="shared" si="9"/>
        <v>0.9779701253</v>
      </c>
      <c r="Y1303" s="14">
        <f>T1303/totals!B$5</f>
        <v>0.001469314794</v>
      </c>
      <c r="Z1303" s="14">
        <f t="shared" si="10"/>
        <v>0.9809499558</v>
      </c>
      <c r="AA1303" s="14">
        <f>V1303/totals!B$4</f>
        <v>0.00326363623</v>
      </c>
      <c r="AB1303" s="14">
        <f t="shared" si="11"/>
        <v>0.9780324331</v>
      </c>
    </row>
    <row r="1304">
      <c r="A1304" s="7">
        <v>7331.0</v>
      </c>
      <c r="B1304" s="7" t="str">
        <f>VLOOKUP($A1304,product_category,2, False)</f>
        <v>Baby Food</v>
      </c>
      <c r="C1304" s="7">
        <v>9.80381143E8</v>
      </c>
      <c r="D1304" s="9">
        <v>40439.0</v>
      </c>
      <c r="E1304" s="10">
        <f t="shared" si="1"/>
        <v>9</v>
      </c>
      <c r="F1304" s="10" t="str">
        <f t="shared" si="2"/>
        <v>Sep</v>
      </c>
      <c r="G1304" s="11">
        <f t="shared" si="3"/>
        <v>18</v>
      </c>
      <c r="H1304" s="7">
        <f t="shared" si="4"/>
        <v>2010</v>
      </c>
      <c r="I1304" s="9">
        <v>40447.0</v>
      </c>
      <c r="J1304" s="11">
        <f t="shared" si="5"/>
        <v>8</v>
      </c>
      <c r="K1304" s="7" t="s">
        <v>198</v>
      </c>
      <c r="L1304" s="7" t="s">
        <v>155</v>
      </c>
      <c r="M1304" s="7" t="str">
        <f>VLOOKUP(L1304,countries, 2,false)</f>
        <v>Bulgaria</v>
      </c>
      <c r="N1304" s="7" t="str">
        <f>VLOOKUP(L1304,countries, 4,false)</f>
        <v>Europe</v>
      </c>
      <c r="O1304" s="7" t="str">
        <f>VLOOKUP(L1304,countries, 5,false)</f>
        <v>Eastern Europe</v>
      </c>
      <c r="P1304" s="7" t="s">
        <v>212</v>
      </c>
      <c r="Q1304" s="7">
        <v>5421.0</v>
      </c>
      <c r="R1304" s="12">
        <v>255.28</v>
      </c>
      <c r="S1304" s="12">
        <v>159.42</v>
      </c>
      <c r="T1304" s="13">
        <f t="shared" si="6"/>
        <v>1383872.88</v>
      </c>
      <c r="U1304" s="13">
        <f t="shared" si="7"/>
        <v>555819.36</v>
      </c>
      <c r="V1304" s="13">
        <f t="shared" si="8"/>
        <v>828053.52</v>
      </c>
      <c r="W1304" s="14">
        <f>Q1304/totals!B$2</f>
        <v>0.0008242956309</v>
      </c>
      <c r="X1304" s="14">
        <f t="shared" si="9"/>
        <v>0.9787944209</v>
      </c>
      <c r="Y1304" s="14">
        <f>T1304/totals!B$5</f>
        <v>0.0008130244818</v>
      </c>
      <c r="Z1304" s="14">
        <f t="shared" si="10"/>
        <v>0.9817629803</v>
      </c>
      <c r="AA1304" s="14">
        <f>V1304/totals!B$4</f>
        <v>0.001651118744</v>
      </c>
      <c r="AB1304" s="14">
        <f t="shared" si="11"/>
        <v>0.9796835518</v>
      </c>
    </row>
    <row r="1305">
      <c r="A1305" s="7">
        <v>3127.0</v>
      </c>
      <c r="B1305" s="7" t="str">
        <f>VLOOKUP($A1305,product_category,2, False)</f>
        <v>Personal Care</v>
      </c>
      <c r="C1305" s="7">
        <v>9.80598723E8</v>
      </c>
      <c r="D1305" s="9">
        <v>42229.0</v>
      </c>
      <c r="E1305" s="10">
        <f t="shared" si="1"/>
        <v>8</v>
      </c>
      <c r="F1305" s="10" t="str">
        <f t="shared" si="2"/>
        <v>Aug</v>
      </c>
      <c r="G1305" s="11">
        <f t="shared" si="3"/>
        <v>13</v>
      </c>
      <c r="H1305" s="7">
        <f t="shared" si="4"/>
        <v>2015</v>
      </c>
      <c r="I1305" s="9">
        <v>42271.0</v>
      </c>
      <c r="J1305" s="11">
        <f t="shared" si="5"/>
        <v>42</v>
      </c>
      <c r="K1305" s="7" t="s">
        <v>198</v>
      </c>
      <c r="L1305" s="7" t="s">
        <v>286</v>
      </c>
      <c r="M1305" s="7" t="str">
        <f>VLOOKUP(L1305,countries, 2,false)</f>
        <v>France</v>
      </c>
      <c r="N1305" s="7" t="str">
        <f>VLOOKUP(L1305,countries, 4,false)</f>
        <v>Europe</v>
      </c>
      <c r="O1305" s="7" t="str">
        <f>VLOOKUP(L1305,countries, 5,false)</f>
        <v>Western Europe</v>
      </c>
      <c r="P1305" s="7" t="s">
        <v>212</v>
      </c>
      <c r="Q1305" s="7">
        <v>9808.0</v>
      </c>
      <c r="R1305" s="12">
        <v>81.73</v>
      </c>
      <c r="S1305" s="12">
        <v>56.67</v>
      </c>
      <c r="T1305" s="13">
        <f t="shared" si="6"/>
        <v>801607.84</v>
      </c>
      <c r="U1305" s="13">
        <f t="shared" si="7"/>
        <v>1874909.6</v>
      </c>
      <c r="V1305" s="13">
        <f t="shared" si="8"/>
        <v>-1073301.76</v>
      </c>
      <c r="W1305" s="14">
        <f>Q1305/totals!B$2</f>
        <v>0.001491365347</v>
      </c>
      <c r="X1305" s="14">
        <f t="shared" si="9"/>
        <v>0.9802857862</v>
      </c>
      <c r="Y1305" s="14">
        <f>T1305/totals!B$5</f>
        <v>0.0004709441222</v>
      </c>
      <c r="Z1305" s="14">
        <f t="shared" si="10"/>
        <v>0.9822339244</v>
      </c>
      <c r="AA1305" s="14">
        <f>V1305/totals!B$4</f>
        <v>-0.002140137819</v>
      </c>
      <c r="AB1305" s="14">
        <f t="shared" si="11"/>
        <v>0.977543414</v>
      </c>
    </row>
    <row r="1306">
      <c r="A1306" s="7">
        <v>8293.0</v>
      </c>
      <c r="B1306" s="7" t="str">
        <f>VLOOKUP($A1306,product_category,2, False)</f>
        <v>Cosmetics</v>
      </c>
      <c r="C1306" s="7">
        <v>9.80961358E8</v>
      </c>
      <c r="D1306" s="9">
        <v>41523.0</v>
      </c>
      <c r="E1306" s="10">
        <f t="shared" si="1"/>
        <v>9</v>
      </c>
      <c r="F1306" s="10" t="str">
        <f t="shared" si="2"/>
        <v>Sep</v>
      </c>
      <c r="G1306" s="11">
        <f t="shared" si="3"/>
        <v>6</v>
      </c>
      <c r="H1306" s="7">
        <f t="shared" si="4"/>
        <v>2013</v>
      </c>
      <c r="I1306" s="9">
        <v>41555.0</v>
      </c>
      <c r="J1306" s="11">
        <f t="shared" si="5"/>
        <v>32</v>
      </c>
      <c r="K1306" s="7" t="s">
        <v>198</v>
      </c>
      <c r="L1306" s="7" t="s">
        <v>454</v>
      </c>
      <c r="M1306" s="7" t="str">
        <f>VLOOKUP(L1306,countries, 2,false)</f>
        <v>Luxembourg</v>
      </c>
      <c r="N1306" s="7" t="str">
        <f>VLOOKUP(L1306,countries, 4,false)</f>
        <v>Europe</v>
      </c>
      <c r="O1306" s="7" t="str">
        <f>VLOOKUP(L1306,countries, 5,false)</f>
        <v>Western Europe</v>
      </c>
      <c r="P1306" s="7" t="s">
        <v>129</v>
      </c>
      <c r="Q1306" s="7">
        <v>7120.0</v>
      </c>
      <c r="R1306" s="12">
        <v>437.2</v>
      </c>
      <c r="S1306" s="12">
        <v>263.33</v>
      </c>
      <c r="T1306" s="13">
        <f t="shared" si="6"/>
        <v>3112864</v>
      </c>
      <c r="U1306" s="13">
        <f t="shared" si="7"/>
        <v>131642.39</v>
      </c>
      <c r="V1306" s="13">
        <f t="shared" si="8"/>
        <v>2981221.61</v>
      </c>
      <c r="W1306" s="14">
        <f>Q1306/totals!B$2</f>
        <v>0.001082638792</v>
      </c>
      <c r="X1306" s="14">
        <f t="shared" si="9"/>
        <v>0.981368425</v>
      </c>
      <c r="Y1306" s="14">
        <f>T1306/totals!B$5</f>
        <v>0.001828805721</v>
      </c>
      <c r="Z1306" s="14">
        <f t="shared" si="10"/>
        <v>0.9840627301</v>
      </c>
      <c r="AA1306" s="14">
        <f>V1306/totals!B$4</f>
        <v>0.005944483977</v>
      </c>
      <c r="AB1306" s="14">
        <f t="shared" si="11"/>
        <v>0.983487898</v>
      </c>
    </row>
    <row r="1307">
      <c r="A1307" s="7">
        <v>1270.0</v>
      </c>
      <c r="B1307" s="7" t="str">
        <f>VLOOKUP($A1307,product_category,2, False)</f>
        <v>Beverages</v>
      </c>
      <c r="C1307" s="7">
        <v>9.81154048E8</v>
      </c>
      <c r="D1307" s="9">
        <v>41482.0</v>
      </c>
      <c r="E1307" s="10">
        <f t="shared" si="1"/>
        <v>7</v>
      </c>
      <c r="F1307" s="10" t="str">
        <f t="shared" si="2"/>
        <v>Jul</v>
      </c>
      <c r="G1307" s="11">
        <f t="shared" si="3"/>
        <v>27</v>
      </c>
      <c r="H1307" s="7">
        <f t="shared" si="4"/>
        <v>2013</v>
      </c>
      <c r="I1307" s="9">
        <v>41495.0</v>
      </c>
      <c r="J1307" s="11">
        <f t="shared" si="5"/>
        <v>13</v>
      </c>
      <c r="K1307" s="7" t="s">
        <v>198</v>
      </c>
      <c r="L1307" s="7" t="s">
        <v>392</v>
      </c>
      <c r="M1307" s="7" t="str">
        <f>VLOOKUP(L1307,countries, 2,false)</f>
        <v>Italy</v>
      </c>
      <c r="N1307" s="7" t="str">
        <f>VLOOKUP(L1307,countries, 4,false)</f>
        <v>Europe</v>
      </c>
      <c r="O1307" s="7" t="str">
        <f>VLOOKUP(L1307,countries, 5,false)</f>
        <v>Southern Europe</v>
      </c>
      <c r="P1307" s="7" t="s">
        <v>212</v>
      </c>
      <c r="Q1307" s="7">
        <v>4141.0</v>
      </c>
      <c r="R1307" s="12">
        <v>47.45</v>
      </c>
      <c r="S1307" s="12">
        <v>31.79</v>
      </c>
      <c r="T1307" s="13">
        <f t="shared" si="6"/>
        <v>196490.45</v>
      </c>
      <c r="U1307" s="13">
        <f t="shared" si="7"/>
        <v>748631.52</v>
      </c>
      <c r="V1307" s="13">
        <f t="shared" si="8"/>
        <v>-552141.07</v>
      </c>
      <c r="W1307" s="14">
        <f>Q1307/totals!B$2</f>
        <v>0.000629663938</v>
      </c>
      <c r="X1307" s="14">
        <f t="shared" si="9"/>
        <v>0.981998089</v>
      </c>
      <c r="Y1307" s="14">
        <f>T1307/totals!B$5</f>
        <v>0.0001154380208</v>
      </c>
      <c r="Z1307" s="14">
        <f t="shared" si="10"/>
        <v>0.9841781681</v>
      </c>
      <c r="AA1307" s="14">
        <f>V1307/totals!B$4</f>
        <v>-0.001100955975</v>
      </c>
      <c r="AB1307" s="14">
        <f t="shared" si="11"/>
        <v>0.982386942</v>
      </c>
    </row>
    <row r="1308">
      <c r="A1308" s="7">
        <v>8969.0</v>
      </c>
      <c r="B1308" s="7" t="str">
        <f>VLOOKUP($A1308,product_category,2, False)</f>
        <v>Snacks</v>
      </c>
      <c r="C1308" s="7">
        <v>9.81808078E8</v>
      </c>
      <c r="D1308" s="9">
        <v>40935.0</v>
      </c>
      <c r="E1308" s="10">
        <f t="shared" si="1"/>
        <v>1</v>
      </c>
      <c r="F1308" s="10" t="str">
        <f t="shared" si="2"/>
        <v>Jan</v>
      </c>
      <c r="G1308" s="11">
        <f t="shared" si="3"/>
        <v>27</v>
      </c>
      <c r="H1308" s="7">
        <f t="shared" si="4"/>
        <v>2012</v>
      </c>
      <c r="I1308" s="9">
        <v>40936.0</v>
      </c>
      <c r="J1308" s="11">
        <f t="shared" si="5"/>
        <v>1</v>
      </c>
      <c r="K1308" s="7" t="s">
        <v>322</v>
      </c>
      <c r="L1308" s="7" t="s">
        <v>478</v>
      </c>
      <c r="M1308" s="7" t="str">
        <f>VLOOKUP(L1308,countries, 2,false)</f>
        <v>Malta</v>
      </c>
      <c r="N1308" s="7" t="str">
        <f>VLOOKUP(L1308,countries, 4,false)</f>
        <v>Europe</v>
      </c>
      <c r="O1308" s="7" t="str">
        <f>VLOOKUP(L1308,countries, 5,false)</f>
        <v>Southern Europe</v>
      </c>
      <c r="P1308" s="7" t="s">
        <v>129</v>
      </c>
      <c r="Q1308" s="7">
        <v>7683.0</v>
      </c>
      <c r="R1308" s="12">
        <v>152.58</v>
      </c>
      <c r="S1308" s="12">
        <v>97.44</v>
      </c>
      <c r="T1308" s="13">
        <f t="shared" si="6"/>
        <v>1172272.14</v>
      </c>
      <c r="U1308" s="13">
        <f t="shared" si="7"/>
        <v>1161211.52</v>
      </c>
      <c r="V1308" s="13">
        <f t="shared" si="8"/>
        <v>11060.62</v>
      </c>
      <c r="W1308" s="14">
        <f>Q1308/totals!B$2</f>
        <v>0.001168246326</v>
      </c>
      <c r="X1308" s="14">
        <f t="shared" si="9"/>
        <v>0.9831663353</v>
      </c>
      <c r="Y1308" s="14">
        <f>T1308/totals!B$5</f>
        <v>0.0006887091747</v>
      </c>
      <c r="Z1308" s="14">
        <f t="shared" si="10"/>
        <v>0.9848668773</v>
      </c>
      <c r="AA1308" s="14">
        <f>V1308/totals!B$4</f>
        <v>0.00002205460947</v>
      </c>
      <c r="AB1308" s="14">
        <f t="shared" si="11"/>
        <v>0.9824089966</v>
      </c>
    </row>
    <row r="1309">
      <c r="A1309" s="7">
        <v>8681.0</v>
      </c>
      <c r="B1309" s="7" t="str">
        <f>VLOOKUP($A1309,product_category,2, False)</f>
        <v>Office Supplies</v>
      </c>
      <c r="C1309" s="7">
        <v>9.82566821E8</v>
      </c>
      <c r="D1309" s="9">
        <v>40650.0</v>
      </c>
      <c r="E1309" s="10">
        <f t="shared" si="1"/>
        <v>4</v>
      </c>
      <c r="F1309" s="10" t="str">
        <f t="shared" si="2"/>
        <v>Apr</v>
      </c>
      <c r="G1309" s="11">
        <f t="shared" si="3"/>
        <v>17</v>
      </c>
      <c r="H1309" s="7">
        <f t="shared" si="4"/>
        <v>2011</v>
      </c>
      <c r="I1309" s="9">
        <v>40699.0</v>
      </c>
      <c r="J1309" s="11">
        <f t="shared" si="5"/>
        <v>49</v>
      </c>
      <c r="K1309" s="7" t="s">
        <v>110</v>
      </c>
      <c r="L1309" s="7" t="s">
        <v>451</v>
      </c>
      <c r="M1309" s="7" t="str">
        <f>VLOOKUP(L1309,countries, 2,false)</f>
        <v>Lithuania</v>
      </c>
      <c r="N1309" s="7" t="str">
        <f>VLOOKUP(L1309,countries, 4,false)</f>
        <v>Europe</v>
      </c>
      <c r="O1309" s="7" t="str">
        <f>VLOOKUP(L1309,countries, 5,false)</f>
        <v>Northern Europe</v>
      </c>
      <c r="P1309" s="7" t="s">
        <v>129</v>
      </c>
      <c r="Q1309" s="7">
        <v>2212.0</v>
      </c>
      <c r="R1309" s="12">
        <v>651.21</v>
      </c>
      <c r="S1309" s="12">
        <v>524.96</v>
      </c>
      <c r="T1309" s="13">
        <f t="shared" si="6"/>
        <v>1440476.52</v>
      </c>
      <c r="U1309" s="13">
        <f t="shared" si="7"/>
        <v>121946.44</v>
      </c>
      <c r="V1309" s="13">
        <f t="shared" si="8"/>
        <v>1318530.08</v>
      </c>
      <c r="W1309" s="14">
        <f>Q1309/totals!B$2</f>
        <v>0.0003363478944</v>
      </c>
      <c r="X1309" s="14">
        <f t="shared" si="9"/>
        <v>0.9835026832</v>
      </c>
      <c r="Y1309" s="14">
        <f>T1309/totals!B$5</f>
        <v>0.0008462790861</v>
      </c>
      <c r="Z1309" s="14">
        <f t="shared" si="10"/>
        <v>0.9857131564</v>
      </c>
      <c r="AA1309" s="14">
        <f>V1309/totals!B$4</f>
        <v>0.002629117174</v>
      </c>
      <c r="AB1309" s="14">
        <f t="shared" si="11"/>
        <v>0.9850381138</v>
      </c>
    </row>
    <row r="1310">
      <c r="A1310" s="7">
        <v>1270.0</v>
      </c>
      <c r="B1310" s="7" t="str">
        <f>VLOOKUP($A1310,product_category,2, False)</f>
        <v>Beverages</v>
      </c>
      <c r="C1310" s="7">
        <v>9.85039174E8</v>
      </c>
      <c r="D1310" s="9">
        <v>40578.0</v>
      </c>
      <c r="E1310" s="10">
        <f t="shared" si="1"/>
        <v>2</v>
      </c>
      <c r="F1310" s="10" t="str">
        <f t="shared" si="2"/>
        <v>Feb</v>
      </c>
      <c r="G1310" s="11">
        <f t="shared" si="3"/>
        <v>4</v>
      </c>
      <c r="H1310" s="7">
        <f t="shared" si="4"/>
        <v>2011</v>
      </c>
      <c r="I1310" s="9">
        <v>40612.0</v>
      </c>
      <c r="J1310" s="11">
        <f t="shared" si="5"/>
        <v>34</v>
      </c>
      <c r="K1310" s="7" t="s">
        <v>382</v>
      </c>
      <c r="L1310" s="7" t="s">
        <v>534</v>
      </c>
      <c r="M1310" s="7" t="str">
        <f>VLOOKUP(L1310,countries, 2,false)</f>
        <v>Netherlands</v>
      </c>
      <c r="N1310" s="7" t="str">
        <f>VLOOKUP(L1310,countries, 4,false)</f>
        <v>Europe</v>
      </c>
      <c r="O1310" s="7" t="str">
        <f>VLOOKUP(L1310,countries, 5,false)</f>
        <v>Western Europe</v>
      </c>
      <c r="P1310" s="7" t="s">
        <v>129</v>
      </c>
      <c r="Q1310" s="7">
        <v>3836.0</v>
      </c>
      <c r="R1310" s="12">
        <v>47.45</v>
      </c>
      <c r="S1310" s="12">
        <v>31.79</v>
      </c>
      <c r="T1310" s="13">
        <f t="shared" si="6"/>
        <v>182018.2</v>
      </c>
      <c r="U1310" s="13">
        <f t="shared" si="7"/>
        <v>669869.2</v>
      </c>
      <c r="V1310" s="13">
        <f t="shared" si="8"/>
        <v>-487851</v>
      </c>
      <c r="W1310" s="14">
        <f>Q1310/totals!B$2</f>
        <v>0.0005832868549</v>
      </c>
      <c r="X1310" s="14">
        <f t="shared" si="9"/>
        <v>0.98408597</v>
      </c>
      <c r="Y1310" s="14">
        <f>T1310/totals!B$5</f>
        <v>0.0001069355826</v>
      </c>
      <c r="Z1310" s="14">
        <f t="shared" si="10"/>
        <v>0.985820092</v>
      </c>
      <c r="AA1310" s="14">
        <f>V1310/totals!B$4</f>
        <v>-0.000972763126</v>
      </c>
      <c r="AB1310" s="14">
        <f t="shared" si="11"/>
        <v>0.9840653507</v>
      </c>
    </row>
    <row r="1311">
      <c r="A1311" s="7">
        <v>2103.0</v>
      </c>
      <c r="B1311" s="7" t="str">
        <f>VLOOKUP($A1311,product_category,2, False)</f>
        <v>Cereal</v>
      </c>
      <c r="C1311" s="7">
        <v>9.85417258E8</v>
      </c>
      <c r="D1311" s="9">
        <v>40817.0</v>
      </c>
      <c r="E1311" s="10">
        <f t="shared" si="1"/>
        <v>10</v>
      </c>
      <c r="F1311" s="10" t="str">
        <f t="shared" si="2"/>
        <v>Oct</v>
      </c>
      <c r="G1311" s="11">
        <f t="shared" si="3"/>
        <v>1</v>
      </c>
      <c r="H1311" s="7">
        <f t="shared" si="4"/>
        <v>2011</v>
      </c>
      <c r="I1311" s="9">
        <v>40837.0</v>
      </c>
      <c r="J1311" s="11">
        <f t="shared" si="5"/>
        <v>20</v>
      </c>
      <c r="K1311" s="7" t="s">
        <v>110</v>
      </c>
      <c r="L1311" s="7" t="s">
        <v>762</v>
      </c>
      <c r="M1311" s="7" t="str">
        <f>VLOOKUP(L1311,countries, 2,false)</f>
        <v>United Kingdom</v>
      </c>
      <c r="N1311" s="7" t="str">
        <f>VLOOKUP(L1311,countries, 4,false)</f>
        <v>Europe</v>
      </c>
      <c r="O1311" s="7" t="str">
        <f>VLOOKUP(L1311,countries, 5,false)</f>
        <v>Northern Europe</v>
      </c>
      <c r="P1311" s="7" t="s">
        <v>129</v>
      </c>
      <c r="Q1311" s="7">
        <v>5720.0</v>
      </c>
      <c r="R1311" s="12">
        <v>205.7</v>
      </c>
      <c r="S1311" s="12">
        <v>117.11</v>
      </c>
      <c r="T1311" s="13">
        <f t="shared" si="6"/>
        <v>1176604</v>
      </c>
      <c r="U1311" s="13">
        <f t="shared" si="7"/>
        <v>463885.68</v>
      </c>
      <c r="V1311" s="13">
        <f t="shared" si="8"/>
        <v>712718.32</v>
      </c>
      <c r="W1311" s="14">
        <f>Q1311/totals!B$2</f>
        <v>0.000869760378</v>
      </c>
      <c r="X1311" s="14">
        <f t="shared" si="9"/>
        <v>0.9849557304</v>
      </c>
      <c r="Y1311" s="14">
        <f>T1311/totals!B$5</f>
        <v>0.0006912541399</v>
      </c>
      <c r="Z1311" s="14">
        <f t="shared" si="10"/>
        <v>0.9865113461</v>
      </c>
      <c r="AA1311" s="14">
        <f>V1311/totals!B$4</f>
        <v>0.001421143138</v>
      </c>
      <c r="AB1311" s="14">
        <f t="shared" si="11"/>
        <v>0.9854864938</v>
      </c>
    </row>
    <row r="1312">
      <c r="A1312" s="7">
        <v>8875.0</v>
      </c>
      <c r="B1312" s="7" t="str">
        <f>VLOOKUP($A1312,product_category,2, False)</f>
        <v>Meat</v>
      </c>
      <c r="C1312" s="7">
        <v>9.86449801E8</v>
      </c>
      <c r="D1312" s="9">
        <v>41305.0</v>
      </c>
      <c r="E1312" s="10">
        <f t="shared" si="1"/>
        <v>1</v>
      </c>
      <c r="F1312" s="10" t="str">
        <f t="shared" si="2"/>
        <v>Jan</v>
      </c>
      <c r="G1312" s="11">
        <f t="shared" si="3"/>
        <v>31</v>
      </c>
      <c r="H1312" s="7">
        <f t="shared" si="4"/>
        <v>2013</v>
      </c>
      <c r="I1312" s="9">
        <v>41346.0</v>
      </c>
      <c r="J1312" s="11">
        <f t="shared" si="5"/>
        <v>41</v>
      </c>
      <c r="K1312" s="7" t="s">
        <v>382</v>
      </c>
      <c r="L1312" s="7" t="s">
        <v>28</v>
      </c>
      <c r="M1312" s="7" t="str">
        <f>VLOOKUP(L1312,countries, 2,false)</f>
        <v>Albania</v>
      </c>
      <c r="N1312" s="7" t="str">
        <f>VLOOKUP(L1312,countries, 4,false)</f>
        <v>Europe</v>
      </c>
      <c r="O1312" s="7" t="str">
        <f>VLOOKUP(L1312,countries, 5,false)</f>
        <v>Southern Europe</v>
      </c>
      <c r="P1312" s="7" t="s">
        <v>212</v>
      </c>
      <c r="Q1312" s="7">
        <v>1272.0</v>
      </c>
      <c r="R1312" s="12">
        <v>421.89</v>
      </c>
      <c r="S1312" s="12">
        <v>364.69</v>
      </c>
      <c r="T1312" s="13">
        <f t="shared" si="6"/>
        <v>536644.08</v>
      </c>
      <c r="U1312" s="13">
        <f t="shared" si="7"/>
        <v>812914.2</v>
      </c>
      <c r="V1312" s="13">
        <f t="shared" si="8"/>
        <v>-276270.12</v>
      </c>
      <c r="W1312" s="14">
        <f>Q1312/totals!B$2</f>
        <v>0.0001934152449</v>
      </c>
      <c r="X1312" s="14">
        <f t="shared" si="9"/>
        <v>0.9851491457</v>
      </c>
      <c r="Y1312" s="14">
        <f>T1312/totals!B$5</f>
        <v>0.0003152780731</v>
      </c>
      <c r="Z1312" s="14">
        <f t="shared" si="10"/>
        <v>0.9868266242</v>
      </c>
      <c r="AA1312" s="14">
        <f>V1312/totals!B$4</f>
        <v>-0.000550875955</v>
      </c>
      <c r="AB1312" s="14">
        <f t="shared" si="11"/>
        <v>0.9849356178</v>
      </c>
    </row>
    <row r="1313">
      <c r="A1313" s="7">
        <v>5988.0</v>
      </c>
      <c r="B1313" s="7" t="str">
        <f>VLOOKUP($A1313,product_category,2, False)</f>
        <v>Vegetables</v>
      </c>
      <c r="C1313" s="7">
        <v>9.87050187E8</v>
      </c>
      <c r="D1313" s="9">
        <v>41011.0</v>
      </c>
      <c r="E1313" s="10">
        <f t="shared" si="1"/>
        <v>4</v>
      </c>
      <c r="F1313" s="10" t="str">
        <f t="shared" si="2"/>
        <v>Apr</v>
      </c>
      <c r="G1313" s="11">
        <f t="shared" si="3"/>
        <v>12</v>
      </c>
      <c r="H1313" s="7">
        <f t="shared" si="4"/>
        <v>2012</v>
      </c>
      <c r="I1313" s="9">
        <v>41024.0</v>
      </c>
      <c r="J1313" s="11">
        <f t="shared" si="5"/>
        <v>13</v>
      </c>
      <c r="K1313" s="7" t="s">
        <v>198</v>
      </c>
      <c r="L1313" s="7" t="s">
        <v>460</v>
      </c>
      <c r="M1313" s="7" t="str">
        <f>VLOOKUP(L1313,countries, 2,false)</f>
        <v>Macedonia</v>
      </c>
      <c r="N1313" s="7" t="str">
        <f>VLOOKUP(L1313,countries, 4,false)</f>
        <v>Europe</v>
      </c>
      <c r="O1313" s="7" t="str">
        <f>VLOOKUP(L1313,countries, 5,false)</f>
        <v>Southern Europe</v>
      </c>
      <c r="P1313" s="7" t="s">
        <v>129</v>
      </c>
      <c r="Q1313" s="7">
        <v>8940.0</v>
      </c>
      <c r="R1313" s="12">
        <v>154.06</v>
      </c>
      <c r="S1313" s="12">
        <v>90.93</v>
      </c>
      <c r="T1313" s="13">
        <f t="shared" si="6"/>
        <v>1377296.4</v>
      </c>
      <c r="U1313" s="13">
        <f t="shared" si="7"/>
        <v>657689.76</v>
      </c>
      <c r="V1313" s="13">
        <f t="shared" si="8"/>
        <v>719606.64</v>
      </c>
      <c r="W1313" s="14">
        <f>Q1313/totals!B$2</f>
        <v>0.001359380731</v>
      </c>
      <c r="X1313" s="14">
        <f t="shared" si="9"/>
        <v>0.9865085264</v>
      </c>
      <c r="Y1313" s="14">
        <f>T1313/totals!B$5</f>
        <v>0.0008091608037</v>
      </c>
      <c r="Z1313" s="14">
        <f t="shared" si="10"/>
        <v>0.987635785</v>
      </c>
      <c r="AA1313" s="14">
        <f>V1313/totals!B$4</f>
        <v>0.001434878282</v>
      </c>
      <c r="AB1313" s="14">
        <f t="shared" si="11"/>
        <v>0.9863704961</v>
      </c>
    </row>
    <row r="1314">
      <c r="A1314" s="7">
        <v>2103.0</v>
      </c>
      <c r="B1314" s="7" t="str">
        <f>VLOOKUP($A1314,product_category,2, False)</f>
        <v>Cereal</v>
      </c>
      <c r="C1314" s="7">
        <v>9.87410676E8</v>
      </c>
      <c r="D1314" s="9">
        <v>41864.0</v>
      </c>
      <c r="E1314" s="10">
        <f t="shared" si="1"/>
        <v>8</v>
      </c>
      <c r="F1314" s="10" t="str">
        <f t="shared" si="2"/>
        <v>Aug</v>
      </c>
      <c r="G1314" s="11">
        <f t="shared" si="3"/>
        <v>13</v>
      </c>
      <c r="H1314" s="7">
        <f t="shared" si="4"/>
        <v>2014</v>
      </c>
      <c r="I1314" s="9">
        <v>41888.0</v>
      </c>
      <c r="J1314" s="11">
        <f t="shared" si="5"/>
        <v>24</v>
      </c>
      <c r="K1314" s="7" t="s">
        <v>198</v>
      </c>
      <c r="L1314" s="7" t="s">
        <v>88</v>
      </c>
      <c r="M1314" s="7" t="str">
        <f>VLOOKUP(L1314,countries, 2,false)</f>
        <v>Austria</v>
      </c>
      <c r="N1314" s="7" t="str">
        <f>VLOOKUP(L1314,countries, 4,false)</f>
        <v>Europe</v>
      </c>
      <c r="O1314" s="7" t="str">
        <f>VLOOKUP(L1314,countries, 5,false)</f>
        <v>Western Europe</v>
      </c>
      <c r="P1314" s="7" t="s">
        <v>212</v>
      </c>
      <c r="Q1314" s="7">
        <v>5616.0</v>
      </c>
      <c r="R1314" s="12">
        <v>205.7</v>
      </c>
      <c r="S1314" s="12">
        <v>117.11</v>
      </c>
      <c r="T1314" s="13">
        <f t="shared" si="6"/>
        <v>1155211.2</v>
      </c>
      <c r="U1314" s="13">
        <f t="shared" si="7"/>
        <v>564829.89</v>
      </c>
      <c r="V1314" s="13">
        <f t="shared" si="8"/>
        <v>590381.31</v>
      </c>
      <c r="W1314" s="14">
        <f>Q1314/totals!B$2</f>
        <v>0.0008539465529</v>
      </c>
      <c r="X1314" s="14">
        <f t="shared" si="9"/>
        <v>0.9873624729</v>
      </c>
      <c r="Y1314" s="14">
        <f>T1314/totals!B$5</f>
        <v>0.0006786858828</v>
      </c>
      <c r="Z1314" s="14">
        <f t="shared" si="10"/>
        <v>0.9883144709</v>
      </c>
      <c r="AA1314" s="14">
        <f>V1314/totals!B$4</f>
        <v>0.001177206091</v>
      </c>
      <c r="AB1314" s="14">
        <f t="shared" si="11"/>
        <v>0.9875477022</v>
      </c>
    </row>
    <row r="1315">
      <c r="A1315" s="7">
        <v>3127.0</v>
      </c>
      <c r="B1315" s="7" t="str">
        <f>VLOOKUP($A1315,product_category,2, False)</f>
        <v>Personal Care</v>
      </c>
      <c r="C1315" s="7">
        <v>9.8745917E8</v>
      </c>
      <c r="D1315" s="9">
        <v>40375.0</v>
      </c>
      <c r="E1315" s="10">
        <f t="shared" si="1"/>
        <v>7</v>
      </c>
      <c r="F1315" s="10" t="str">
        <f t="shared" si="2"/>
        <v>Jul</v>
      </c>
      <c r="G1315" s="11">
        <f t="shared" si="3"/>
        <v>16</v>
      </c>
      <c r="H1315" s="7">
        <f t="shared" si="4"/>
        <v>2010</v>
      </c>
      <c r="I1315" s="9">
        <v>40417.0</v>
      </c>
      <c r="J1315" s="11">
        <f t="shared" si="5"/>
        <v>42</v>
      </c>
      <c r="K1315" s="7" t="s">
        <v>110</v>
      </c>
      <c r="L1315" s="7" t="s">
        <v>756</v>
      </c>
      <c r="M1315" s="7" t="str">
        <f>VLOOKUP(L1315,countries, 2,false)</f>
        <v>Ukraine</v>
      </c>
      <c r="N1315" s="7" t="str">
        <f>VLOOKUP(L1315,countries, 4,false)</f>
        <v>Europe</v>
      </c>
      <c r="O1315" s="7" t="str">
        <f>VLOOKUP(L1315,countries, 5,false)</f>
        <v>Eastern Europe</v>
      </c>
      <c r="P1315" s="7" t="s">
        <v>129</v>
      </c>
      <c r="Q1315" s="7">
        <v>9967.0</v>
      </c>
      <c r="R1315" s="12">
        <v>81.73</v>
      </c>
      <c r="S1315" s="12">
        <v>56.67</v>
      </c>
      <c r="T1315" s="13">
        <f t="shared" si="6"/>
        <v>814602.91</v>
      </c>
      <c r="U1315" s="13">
        <f t="shared" si="7"/>
        <v>603704</v>
      </c>
      <c r="V1315" s="13">
        <f t="shared" si="8"/>
        <v>210898.91</v>
      </c>
      <c r="W1315" s="14">
        <f>Q1315/totals!B$2</f>
        <v>0.001515542253</v>
      </c>
      <c r="X1315" s="14">
        <f t="shared" si="9"/>
        <v>0.9888780152</v>
      </c>
      <c r="Y1315" s="14">
        <f>T1315/totals!B$5</f>
        <v>0.000478578718</v>
      </c>
      <c r="Z1315" s="14">
        <f t="shared" si="10"/>
        <v>0.9887930496</v>
      </c>
      <c r="AA1315" s="14">
        <f>V1315/totals!B$4</f>
        <v>0.0004205273392</v>
      </c>
      <c r="AB1315" s="14">
        <f t="shared" si="11"/>
        <v>0.9879682296</v>
      </c>
    </row>
    <row r="1316">
      <c r="A1316" s="7">
        <v>8681.0</v>
      </c>
      <c r="B1316" s="7" t="str">
        <f>VLOOKUP($A1316,product_category,2, False)</f>
        <v>Office Supplies</v>
      </c>
      <c r="C1316" s="7">
        <v>9.87767302E8</v>
      </c>
      <c r="D1316" s="9">
        <v>41098.0</v>
      </c>
      <c r="E1316" s="10">
        <f t="shared" si="1"/>
        <v>7</v>
      </c>
      <c r="F1316" s="10" t="str">
        <f t="shared" si="2"/>
        <v>Jul</v>
      </c>
      <c r="G1316" s="11">
        <f t="shared" si="3"/>
        <v>8</v>
      </c>
      <c r="H1316" s="7">
        <f t="shared" si="4"/>
        <v>2012</v>
      </c>
      <c r="I1316" s="9">
        <v>41122.0</v>
      </c>
      <c r="J1316" s="11">
        <f t="shared" si="5"/>
        <v>24</v>
      </c>
      <c r="K1316" s="7" t="s">
        <v>198</v>
      </c>
      <c r="L1316" s="7" t="s">
        <v>451</v>
      </c>
      <c r="M1316" s="7" t="str">
        <f>VLOOKUP(L1316,countries, 2,false)</f>
        <v>Lithuania</v>
      </c>
      <c r="N1316" s="7" t="str">
        <f>VLOOKUP(L1316,countries, 4,false)</f>
        <v>Europe</v>
      </c>
      <c r="O1316" s="7" t="str">
        <f>VLOOKUP(L1316,countries, 5,false)</f>
        <v>Northern Europe</v>
      </c>
      <c r="P1316" s="7" t="s">
        <v>129</v>
      </c>
      <c r="Q1316" s="7">
        <v>1150.0</v>
      </c>
      <c r="R1316" s="12">
        <v>651.21</v>
      </c>
      <c r="S1316" s="12">
        <v>524.96</v>
      </c>
      <c r="T1316" s="13">
        <f t="shared" si="6"/>
        <v>748891.5</v>
      </c>
      <c r="U1316" s="13">
        <f t="shared" si="7"/>
        <v>3780105.88</v>
      </c>
      <c r="V1316" s="13">
        <f t="shared" si="8"/>
        <v>-3031214.38</v>
      </c>
      <c r="W1316" s="14">
        <f>Q1316/totals!B$2</f>
        <v>0.0001748644117</v>
      </c>
      <c r="X1316" s="14">
        <f t="shared" si="9"/>
        <v>0.9890528796</v>
      </c>
      <c r="Y1316" s="14">
        <f>T1316/totals!B$5</f>
        <v>0.0004399733043</v>
      </c>
      <c r="Z1316" s="14">
        <f t="shared" si="10"/>
        <v>0.9892330229</v>
      </c>
      <c r="AA1316" s="14">
        <f>V1316/totals!B$4</f>
        <v>-0.006044168354</v>
      </c>
      <c r="AB1316" s="14">
        <f t="shared" si="11"/>
        <v>0.9819240612</v>
      </c>
    </row>
    <row r="1317">
      <c r="A1317" s="7">
        <v>7940.0</v>
      </c>
      <c r="B1317" s="7" t="str">
        <f>VLOOKUP($A1317,product_category,2, False)</f>
        <v>Household</v>
      </c>
      <c r="C1317" s="7">
        <v>9.8859986E8</v>
      </c>
      <c r="D1317" s="9">
        <v>41949.0</v>
      </c>
      <c r="E1317" s="10">
        <f t="shared" si="1"/>
        <v>11</v>
      </c>
      <c r="F1317" s="10" t="str">
        <f t="shared" si="2"/>
        <v>Nov</v>
      </c>
      <c r="G1317" s="11">
        <f t="shared" si="3"/>
        <v>6</v>
      </c>
      <c r="H1317" s="7">
        <f t="shared" si="4"/>
        <v>2014</v>
      </c>
      <c r="I1317" s="9">
        <v>41984.0</v>
      </c>
      <c r="J1317" s="11">
        <f t="shared" si="5"/>
        <v>35</v>
      </c>
      <c r="K1317" s="7" t="s">
        <v>382</v>
      </c>
      <c r="L1317" s="7" t="s">
        <v>234</v>
      </c>
      <c r="M1317" s="7" t="str">
        <f>VLOOKUP(L1317,countries, 2,false)</f>
        <v>Czech Republic</v>
      </c>
      <c r="N1317" s="7" t="str">
        <f>VLOOKUP(L1317,countries, 4,false)</f>
        <v>Europe</v>
      </c>
      <c r="O1317" s="7" t="str">
        <f>VLOOKUP(L1317,countries, 5,false)</f>
        <v>Eastern Europe</v>
      </c>
      <c r="P1317" s="7" t="s">
        <v>212</v>
      </c>
      <c r="Q1317" s="7">
        <v>7522.0</v>
      </c>
      <c r="R1317" s="12">
        <v>668.27</v>
      </c>
      <c r="S1317" s="12">
        <v>502.54</v>
      </c>
      <c r="T1317" s="13">
        <f t="shared" si="6"/>
        <v>5026726.94</v>
      </c>
      <c r="U1317" s="13">
        <f t="shared" si="7"/>
        <v>200609.43</v>
      </c>
      <c r="V1317" s="13">
        <f t="shared" si="8"/>
        <v>4826117.51</v>
      </c>
      <c r="W1317" s="14">
        <f>Q1317/totals!B$2</f>
        <v>0.001143765308</v>
      </c>
      <c r="X1317" s="14">
        <f t="shared" si="9"/>
        <v>0.9901966449</v>
      </c>
      <c r="Y1317" s="14">
        <f>T1317/totals!B$5</f>
        <v>0.002953199043</v>
      </c>
      <c r="Z1317" s="14">
        <f t="shared" si="10"/>
        <v>0.9921862219</v>
      </c>
      <c r="AA1317" s="14">
        <f>V1317/totals!B$4</f>
        <v>0.009623161899</v>
      </c>
      <c r="AB1317" s="14">
        <f t="shared" si="11"/>
        <v>0.9915472231</v>
      </c>
    </row>
    <row r="1318">
      <c r="A1318" s="7">
        <v>2103.0</v>
      </c>
      <c r="B1318" s="7" t="str">
        <f>VLOOKUP($A1318,product_category,2, False)</f>
        <v>Cereal</v>
      </c>
      <c r="C1318" s="7">
        <v>9.88614022E8</v>
      </c>
      <c r="D1318" s="9">
        <v>40510.0</v>
      </c>
      <c r="E1318" s="10">
        <f t="shared" si="1"/>
        <v>11</v>
      </c>
      <c r="F1318" s="10" t="str">
        <f t="shared" si="2"/>
        <v>Nov</v>
      </c>
      <c r="G1318" s="11">
        <f t="shared" si="3"/>
        <v>28</v>
      </c>
      <c r="H1318" s="7">
        <f t="shared" si="4"/>
        <v>2010</v>
      </c>
      <c r="I1318" s="9">
        <v>40554.0</v>
      </c>
      <c r="J1318" s="11">
        <f t="shared" si="5"/>
        <v>44</v>
      </c>
      <c r="K1318" s="7" t="s">
        <v>322</v>
      </c>
      <c r="L1318" s="7" t="s">
        <v>460</v>
      </c>
      <c r="M1318" s="7" t="str">
        <f>VLOOKUP(L1318,countries, 2,false)</f>
        <v>Macedonia</v>
      </c>
      <c r="N1318" s="7" t="str">
        <f>VLOOKUP(L1318,countries, 4,false)</f>
        <v>Europe</v>
      </c>
      <c r="O1318" s="7" t="str">
        <f>VLOOKUP(L1318,countries, 5,false)</f>
        <v>Southern Europe</v>
      </c>
      <c r="P1318" s="7" t="s">
        <v>212</v>
      </c>
      <c r="Q1318" s="7">
        <v>1713.0</v>
      </c>
      <c r="R1318" s="12">
        <v>205.7</v>
      </c>
      <c r="S1318" s="12">
        <v>117.11</v>
      </c>
      <c r="T1318" s="13">
        <f t="shared" si="6"/>
        <v>352364.1</v>
      </c>
      <c r="U1318" s="13">
        <f t="shared" si="7"/>
        <v>44025.04</v>
      </c>
      <c r="V1318" s="13">
        <f t="shared" si="8"/>
        <v>308339.06</v>
      </c>
      <c r="W1318" s="14">
        <f>Q1318/totals!B$2</f>
        <v>0.0002604719454</v>
      </c>
      <c r="X1318" s="14">
        <f t="shared" si="9"/>
        <v>0.9904571169</v>
      </c>
      <c r="Y1318" s="14">
        <f>T1318/totals!B$5</f>
        <v>0.0002070136961</v>
      </c>
      <c r="Z1318" s="14">
        <f t="shared" si="10"/>
        <v>0.9923932356</v>
      </c>
      <c r="AA1318" s="14">
        <f>V1318/totals!B$4</f>
        <v>0.0006148206478</v>
      </c>
      <c r="AB1318" s="14">
        <f t="shared" si="11"/>
        <v>0.9921620437</v>
      </c>
    </row>
    <row r="1319">
      <c r="A1319" s="7">
        <v>4594.0</v>
      </c>
      <c r="B1319" s="7" t="str">
        <f>VLOOKUP($A1319,product_category,2, False)</f>
        <v>Fruits</v>
      </c>
      <c r="C1319" s="7">
        <v>9.89102828E8</v>
      </c>
      <c r="D1319" s="9">
        <v>41071.0</v>
      </c>
      <c r="E1319" s="10">
        <f t="shared" si="1"/>
        <v>6</v>
      </c>
      <c r="F1319" s="10" t="str">
        <f t="shared" si="2"/>
        <v>Jun</v>
      </c>
      <c r="G1319" s="11">
        <f t="shared" si="3"/>
        <v>11</v>
      </c>
      <c r="H1319" s="7">
        <f t="shared" si="4"/>
        <v>2012</v>
      </c>
      <c r="I1319" s="9">
        <v>41098.0</v>
      </c>
      <c r="J1319" s="11">
        <f t="shared" si="5"/>
        <v>27</v>
      </c>
      <c r="K1319" s="7" t="s">
        <v>322</v>
      </c>
      <c r="L1319" s="7" t="e">
        <v>#N/A</v>
      </c>
      <c r="M1319" s="7"/>
      <c r="N1319" s="7"/>
      <c r="O1319" s="7"/>
      <c r="P1319" s="7" t="s">
        <v>129</v>
      </c>
      <c r="Q1319" s="7">
        <v>6362.0</v>
      </c>
      <c r="R1319" s="12">
        <v>9.33</v>
      </c>
      <c r="S1319" s="12">
        <v>6.92</v>
      </c>
      <c r="T1319" s="13">
        <f t="shared" si="6"/>
        <v>59357.46</v>
      </c>
      <c r="U1319" s="13">
        <f t="shared" si="7"/>
        <v>193034.24</v>
      </c>
      <c r="V1319" s="13">
        <f t="shared" si="8"/>
        <v>-133676.78</v>
      </c>
      <c r="W1319" s="14">
        <f>Q1319/totals!B$2</f>
        <v>0.0009673803365</v>
      </c>
      <c r="X1319" s="14">
        <f t="shared" si="9"/>
        <v>0.9914244972</v>
      </c>
      <c r="Y1319" s="14">
        <f>T1319/totals!B$5</f>
        <v>0.00003487247192</v>
      </c>
      <c r="Z1319" s="14">
        <f t="shared" si="10"/>
        <v>0.9924281081</v>
      </c>
      <c r="AA1319" s="14">
        <f>V1319/totals!B$4</f>
        <v>-0.0002665482747</v>
      </c>
      <c r="AB1319" s="14">
        <f t="shared" si="11"/>
        <v>0.9918954955</v>
      </c>
    </row>
    <row r="1320">
      <c r="A1320" s="7">
        <v>2455.0</v>
      </c>
      <c r="B1320" s="7" t="str">
        <f>VLOOKUP($A1320,product_category,2, False)</f>
        <v>Clothes</v>
      </c>
      <c r="C1320" s="7">
        <v>9.89403665E8</v>
      </c>
      <c r="D1320" s="9">
        <v>42116.0</v>
      </c>
      <c r="E1320" s="10">
        <f t="shared" si="1"/>
        <v>4</v>
      </c>
      <c r="F1320" s="10" t="str">
        <f t="shared" si="2"/>
        <v>Apr</v>
      </c>
      <c r="G1320" s="11">
        <f t="shared" si="3"/>
        <v>22</v>
      </c>
      <c r="H1320" s="7">
        <f t="shared" si="4"/>
        <v>2015</v>
      </c>
      <c r="I1320" s="9">
        <v>42149.0</v>
      </c>
      <c r="J1320" s="11">
        <f t="shared" si="5"/>
        <v>33</v>
      </c>
      <c r="K1320" s="7" t="s">
        <v>110</v>
      </c>
      <c r="L1320" s="7" t="s">
        <v>460</v>
      </c>
      <c r="M1320" s="7" t="str">
        <f>VLOOKUP(L1320,countries, 2,false)</f>
        <v>Macedonia</v>
      </c>
      <c r="N1320" s="7" t="str">
        <f>VLOOKUP(L1320,countries, 4,false)</f>
        <v>Europe</v>
      </c>
      <c r="O1320" s="7" t="str">
        <f>VLOOKUP(L1320,countries, 5,false)</f>
        <v>Southern Europe</v>
      </c>
      <c r="P1320" s="7" t="s">
        <v>129</v>
      </c>
      <c r="Q1320" s="7">
        <v>5386.0</v>
      </c>
      <c r="R1320" s="12">
        <v>109.28</v>
      </c>
      <c r="S1320" s="12">
        <v>35.84</v>
      </c>
      <c r="T1320" s="13">
        <f t="shared" si="6"/>
        <v>588582.08</v>
      </c>
      <c r="U1320" s="13">
        <f t="shared" si="7"/>
        <v>3279576.04</v>
      </c>
      <c r="V1320" s="13">
        <f t="shared" si="8"/>
        <v>-2690993.96</v>
      </c>
      <c r="W1320" s="14">
        <f>Q1320/totals!B$2</f>
        <v>0.0008189736706</v>
      </c>
      <c r="X1320" s="14">
        <f t="shared" si="9"/>
        <v>0.9922434709</v>
      </c>
      <c r="Y1320" s="14">
        <f>T1320/totals!B$5</f>
        <v>0.0003457916168</v>
      </c>
      <c r="Z1320" s="14">
        <f t="shared" si="10"/>
        <v>0.9927738997</v>
      </c>
      <c r="AA1320" s="14">
        <f>V1320/totals!B$4</f>
        <v>-0.005365777044</v>
      </c>
      <c r="AB1320" s="14">
        <f t="shared" si="11"/>
        <v>0.9865297184</v>
      </c>
    </row>
    <row r="1321">
      <c r="A1321" s="7">
        <v>7940.0</v>
      </c>
      <c r="B1321" s="7" t="str">
        <f>VLOOKUP($A1321,product_category,2, False)</f>
        <v>Household</v>
      </c>
      <c r="C1321" s="7">
        <v>9.9045509E8</v>
      </c>
      <c r="D1321" s="9">
        <v>41608.0</v>
      </c>
      <c r="E1321" s="10">
        <f t="shared" si="1"/>
        <v>11</v>
      </c>
      <c r="F1321" s="10" t="str">
        <f t="shared" si="2"/>
        <v>Nov</v>
      </c>
      <c r="G1321" s="11">
        <f t="shared" si="3"/>
        <v>30</v>
      </c>
      <c r="H1321" s="7">
        <f t="shared" si="4"/>
        <v>2013</v>
      </c>
      <c r="I1321" s="9">
        <v>41622.0</v>
      </c>
      <c r="J1321" s="11">
        <f t="shared" si="5"/>
        <v>14</v>
      </c>
      <c r="K1321" s="7" t="s">
        <v>110</v>
      </c>
      <c r="L1321" s="7" t="s">
        <v>107</v>
      </c>
      <c r="M1321" s="7" t="str">
        <f>VLOOKUP(L1321,countries, 2,false)</f>
        <v>Belarus</v>
      </c>
      <c r="N1321" s="7" t="str">
        <f>VLOOKUP(L1321,countries, 4,false)</f>
        <v>Europe</v>
      </c>
      <c r="O1321" s="7" t="str">
        <f>VLOOKUP(L1321,countries, 5,false)</f>
        <v>Eastern Europe</v>
      </c>
      <c r="P1321" s="7" t="s">
        <v>129</v>
      </c>
      <c r="Q1321" s="7">
        <v>6526.0</v>
      </c>
      <c r="R1321" s="12">
        <v>668.27</v>
      </c>
      <c r="S1321" s="12">
        <v>502.54</v>
      </c>
      <c r="T1321" s="13">
        <f t="shared" si="6"/>
        <v>4361130.02</v>
      </c>
      <c r="U1321" s="13">
        <f t="shared" si="7"/>
        <v>571890.52</v>
      </c>
      <c r="V1321" s="13">
        <f t="shared" si="8"/>
        <v>3789239.5</v>
      </c>
      <c r="W1321" s="14">
        <f>Q1321/totals!B$2</f>
        <v>0.0009923175221</v>
      </c>
      <c r="X1321" s="14">
        <f t="shared" si="9"/>
        <v>0.9932357884</v>
      </c>
      <c r="Y1321" s="14">
        <f>T1321/totals!B$5</f>
        <v>0.002562161255</v>
      </c>
      <c r="Z1321" s="14">
        <f t="shared" si="10"/>
        <v>0.995336061</v>
      </c>
      <c r="AA1321" s="14">
        <f>V1321/totals!B$4</f>
        <v>0.007555652158</v>
      </c>
      <c r="AB1321" s="14">
        <f t="shared" si="11"/>
        <v>0.9940853706</v>
      </c>
    </row>
    <row r="1322">
      <c r="A1322" s="7">
        <v>7940.0</v>
      </c>
      <c r="B1322" s="7" t="str">
        <f>VLOOKUP($A1322,product_category,2, False)</f>
        <v>Household</v>
      </c>
      <c r="C1322" s="7">
        <v>9.9077481E8</v>
      </c>
      <c r="D1322" s="9">
        <v>41656.0</v>
      </c>
      <c r="E1322" s="10">
        <f t="shared" si="1"/>
        <v>1</v>
      </c>
      <c r="F1322" s="10" t="str">
        <f t="shared" si="2"/>
        <v>Jan</v>
      </c>
      <c r="G1322" s="11">
        <f t="shared" si="3"/>
        <v>17</v>
      </c>
      <c r="H1322" s="7">
        <f t="shared" si="4"/>
        <v>2014</v>
      </c>
      <c r="I1322" s="9">
        <v>41688.0</v>
      </c>
      <c r="J1322" s="11">
        <f t="shared" si="5"/>
        <v>32</v>
      </c>
      <c r="K1322" s="7" t="s">
        <v>198</v>
      </c>
      <c r="L1322" s="7" t="s">
        <v>534</v>
      </c>
      <c r="M1322" s="7" t="str">
        <f>VLOOKUP(L1322,countries, 2,false)</f>
        <v>Netherlands</v>
      </c>
      <c r="N1322" s="7" t="str">
        <f>VLOOKUP(L1322,countries, 4,false)</f>
        <v>Europe</v>
      </c>
      <c r="O1322" s="7" t="str">
        <f>VLOOKUP(L1322,countries, 5,false)</f>
        <v>Western Europe</v>
      </c>
      <c r="P1322" s="7" t="s">
        <v>212</v>
      </c>
      <c r="Q1322" s="7">
        <v>1138.0</v>
      </c>
      <c r="R1322" s="12">
        <v>668.27</v>
      </c>
      <c r="S1322" s="12">
        <v>502.54</v>
      </c>
      <c r="T1322" s="13">
        <f t="shared" si="6"/>
        <v>760491.26</v>
      </c>
      <c r="U1322" s="13">
        <f t="shared" si="7"/>
        <v>22344.68</v>
      </c>
      <c r="V1322" s="13">
        <f t="shared" si="8"/>
        <v>738146.58</v>
      </c>
      <c r="W1322" s="14">
        <f>Q1322/totals!B$2</f>
        <v>0.0001730397395</v>
      </c>
      <c r="X1322" s="14">
        <f t="shared" si="9"/>
        <v>0.9934088281</v>
      </c>
      <c r="Y1322" s="14">
        <f>T1322/totals!B$5</f>
        <v>0.0004467881563</v>
      </c>
      <c r="Z1322" s="14">
        <f t="shared" si="10"/>
        <v>0.9957828491</v>
      </c>
      <c r="AA1322" s="14">
        <f>V1322/totals!B$4</f>
        <v>0.001471846475</v>
      </c>
      <c r="AB1322" s="14">
        <f t="shared" si="11"/>
        <v>0.9955572171</v>
      </c>
    </row>
    <row r="1323">
      <c r="A1323" s="7">
        <v>4594.0</v>
      </c>
      <c r="B1323" s="7" t="str">
        <f>VLOOKUP($A1323,product_category,2, False)</f>
        <v>Fruits</v>
      </c>
      <c r="C1323" s="7">
        <v>9.91761863E8</v>
      </c>
      <c r="D1323" s="9">
        <v>40897.0</v>
      </c>
      <c r="E1323" s="10">
        <f t="shared" si="1"/>
        <v>12</v>
      </c>
      <c r="F1323" s="10" t="str">
        <f t="shared" si="2"/>
        <v>Dec</v>
      </c>
      <c r="G1323" s="11">
        <f t="shared" si="3"/>
        <v>20</v>
      </c>
      <c r="H1323" s="7">
        <f t="shared" si="4"/>
        <v>2011</v>
      </c>
      <c r="I1323" s="9">
        <v>40901.0</v>
      </c>
      <c r="J1323" s="11">
        <f t="shared" si="5"/>
        <v>4</v>
      </c>
      <c r="K1323" s="7" t="s">
        <v>110</v>
      </c>
      <c r="L1323" s="7" t="s">
        <v>111</v>
      </c>
      <c r="M1323" s="7" t="str">
        <f>VLOOKUP(L1323,countries, 2,false)</f>
        <v>Norway</v>
      </c>
      <c r="N1323" s="7" t="str">
        <f>VLOOKUP(L1323,countries, 4,false)</f>
        <v>Europe</v>
      </c>
      <c r="O1323" s="7" t="str">
        <f>VLOOKUP(L1323,countries, 5,false)</f>
        <v>Northern Europe</v>
      </c>
      <c r="P1323" s="7" t="s">
        <v>212</v>
      </c>
      <c r="Q1323" s="7">
        <v>3229.0</v>
      </c>
      <c r="R1323" s="12">
        <v>9.33</v>
      </c>
      <c r="S1323" s="12">
        <v>6.92</v>
      </c>
      <c r="T1323" s="13">
        <f t="shared" si="6"/>
        <v>30126.57</v>
      </c>
      <c r="U1323" s="13">
        <f t="shared" si="7"/>
        <v>677792.22</v>
      </c>
      <c r="V1323" s="13">
        <f t="shared" si="8"/>
        <v>-647665.65</v>
      </c>
      <c r="W1323" s="14">
        <f>Q1323/totals!B$2</f>
        <v>0.0004909888567</v>
      </c>
      <c r="X1323" s="14">
        <f t="shared" si="9"/>
        <v>0.993899817</v>
      </c>
      <c r="Y1323" s="14">
        <f>T1323/totals!B$5</f>
        <v>0.00001769934169</v>
      </c>
      <c r="Z1323" s="14">
        <f t="shared" si="10"/>
        <v>0.9958005485</v>
      </c>
      <c r="AA1323" s="14">
        <f>V1323/totals!B$4</f>
        <v>-0.001291429683</v>
      </c>
      <c r="AB1323" s="14">
        <f t="shared" si="11"/>
        <v>0.9942657874</v>
      </c>
    </row>
    <row r="1324">
      <c r="A1324" s="7">
        <v>5988.0</v>
      </c>
      <c r="B1324" s="7" t="str">
        <f>VLOOKUP($A1324,product_category,2, False)</f>
        <v>Vegetables</v>
      </c>
      <c r="C1324" s="7">
        <v>9.92992675E8</v>
      </c>
      <c r="D1324" s="9">
        <v>40610.0</v>
      </c>
      <c r="E1324" s="10">
        <f t="shared" si="1"/>
        <v>3</v>
      </c>
      <c r="F1324" s="10" t="str">
        <f t="shared" si="2"/>
        <v>Mar</v>
      </c>
      <c r="G1324" s="11">
        <f t="shared" si="3"/>
        <v>8</v>
      </c>
      <c r="H1324" s="7">
        <f t="shared" si="4"/>
        <v>2011</v>
      </c>
      <c r="I1324" s="9">
        <v>40611.0</v>
      </c>
      <c r="J1324" s="11">
        <f t="shared" si="5"/>
        <v>1</v>
      </c>
      <c r="K1324" s="7" t="s">
        <v>110</v>
      </c>
      <c r="L1324" s="7" t="s">
        <v>200</v>
      </c>
      <c r="M1324" s="7" t="str">
        <f>VLOOKUP(L1324,countries, 2,false)</f>
        <v>Serbia</v>
      </c>
      <c r="N1324" s="7" t="str">
        <f>VLOOKUP(L1324,countries, 4,false)</f>
        <v>Europe</v>
      </c>
      <c r="O1324" s="7" t="str">
        <f>VLOOKUP(L1324,countries, 5,false)</f>
        <v>Southern Europe</v>
      </c>
      <c r="P1324" s="7" t="s">
        <v>212</v>
      </c>
      <c r="Q1324" s="7">
        <v>7454.0</v>
      </c>
      <c r="R1324" s="12">
        <v>154.06</v>
      </c>
      <c r="S1324" s="12">
        <v>90.93</v>
      </c>
      <c r="T1324" s="13">
        <f t="shared" si="6"/>
        <v>1148363.24</v>
      </c>
      <c r="U1324" s="13">
        <f t="shared" si="7"/>
        <v>493142.34</v>
      </c>
      <c r="V1324" s="13">
        <f t="shared" si="8"/>
        <v>655220.9</v>
      </c>
      <c r="W1324" s="14">
        <f>Q1324/totals!B$2</f>
        <v>0.0011334255</v>
      </c>
      <c r="X1324" s="14">
        <f t="shared" si="9"/>
        <v>0.9950332425</v>
      </c>
      <c r="Y1324" s="14">
        <f>T1324/totals!B$5</f>
        <v>0.0006746627104</v>
      </c>
      <c r="Z1324" s="14">
        <f t="shared" si="10"/>
        <v>0.9964752112</v>
      </c>
      <c r="AA1324" s="14">
        <f>V1324/totals!B$4</f>
        <v>0.001306494669</v>
      </c>
      <c r="AB1324" s="14">
        <f t="shared" si="11"/>
        <v>0.995572282</v>
      </c>
    </row>
    <row r="1325">
      <c r="A1325" s="7">
        <v>3127.0</v>
      </c>
      <c r="B1325" s="7" t="str">
        <f>VLOOKUP($A1325,product_category,2, False)</f>
        <v>Personal Care</v>
      </c>
      <c r="C1325" s="7">
        <v>9.93368613E8</v>
      </c>
      <c r="D1325" s="9">
        <v>42408.0</v>
      </c>
      <c r="E1325" s="10">
        <f t="shared" si="1"/>
        <v>2</v>
      </c>
      <c r="F1325" s="10" t="str">
        <f t="shared" si="2"/>
        <v>Feb</v>
      </c>
      <c r="G1325" s="11">
        <f t="shared" si="3"/>
        <v>8</v>
      </c>
      <c r="H1325" s="7">
        <f t="shared" si="4"/>
        <v>2016</v>
      </c>
      <c r="I1325" s="9">
        <v>42416.0</v>
      </c>
      <c r="J1325" s="11">
        <f t="shared" si="5"/>
        <v>8</v>
      </c>
      <c r="K1325" s="7" t="s">
        <v>382</v>
      </c>
      <c r="L1325" s="7" t="s">
        <v>307</v>
      </c>
      <c r="M1325" s="7" t="str">
        <f>VLOOKUP(L1325,countries, 2,false)</f>
        <v>Germany</v>
      </c>
      <c r="N1325" s="7" t="str">
        <f>VLOOKUP(L1325,countries, 4,false)</f>
        <v>Europe</v>
      </c>
      <c r="O1325" s="7" t="str">
        <f>VLOOKUP(L1325,countries, 5,false)</f>
        <v>Western Europe</v>
      </c>
      <c r="P1325" s="7" t="s">
        <v>212</v>
      </c>
      <c r="Q1325" s="7">
        <v>8702.0</v>
      </c>
      <c r="R1325" s="12">
        <v>81.73</v>
      </c>
      <c r="S1325" s="12">
        <v>56.67</v>
      </c>
      <c r="T1325" s="13">
        <f t="shared" si="6"/>
        <v>711214.46</v>
      </c>
      <c r="U1325" s="13">
        <f t="shared" si="7"/>
        <v>187751.74</v>
      </c>
      <c r="V1325" s="13">
        <f t="shared" si="8"/>
        <v>523462.72</v>
      </c>
      <c r="W1325" s="14">
        <f>Q1325/totals!B$2</f>
        <v>0.0013231914</v>
      </c>
      <c r="X1325" s="14">
        <f t="shared" si="9"/>
        <v>0.9963564339</v>
      </c>
      <c r="Y1325" s="14">
        <f>T1325/totals!B$5</f>
        <v>0.000417838066</v>
      </c>
      <c r="Z1325" s="14">
        <f t="shared" si="10"/>
        <v>0.9968930492</v>
      </c>
      <c r="AA1325" s="14">
        <f>V1325/totals!B$4</f>
        <v>0.001043772037</v>
      </c>
      <c r="AB1325" s="14">
        <f t="shared" si="11"/>
        <v>0.9966160541</v>
      </c>
    </row>
    <row r="1326">
      <c r="A1326" s="7">
        <v>1270.0</v>
      </c>
      <c r="B1326" s="7" t="str">
        <f>VLOOKUP($A1326,product_category,2, False)</f>
        <v>Beverages</v>
      </c>
      <c r="C1326" s="7">
        <v>9.94406735E8</v>
      </c>
      <c r="D1326" s="9">
        <v>42162.0</v>
      </c>
      <c r="E1326" s="10">
        <f t="shared" si="1"/>
        <v>6</v>
      </c>
      <c r="F1326" s="10" t="str">
        <f t="shared" si="2"/>
        <v>Jun</v>
      </c>
      <c r="G1326" s="11">
        <f t="shared" si="3"/>
        <v>7</v>
      </c>
      <c r="H1326" s="7">
        <f t="shared" si="4"/>
        <v>2015</v>
      </c>
      <c r="I1326" s="9">
        <v>42185.0</v>
      </c>
      <c r="J1326" s="11">
        <f t="shared" si="5"/>
        <v>23</v>
      </c>
      <c r="K1326" s="7" t="s">
        <v>110</v>
      </c>
      <c r="L1326" s="7" t="s">
        <v>478</v>
      </c>
      <c r="M1326" s="7" t="str">
        <f>VLOOKUP(L1326,countries, 2,false)</f>
        <v>Malta</v>
      </c>
      <c r="N1326" s="7" t="str">
        <f>VLOOKUP(L1326,countries, 4,false)</f>
        <v>Europe</v>
      </c>
      <c r="O1326" s="7" t="str">
        <f>VLOOKUP(L1326,countries, 5,false)</f>
        <v>Southern Europe</v>
      </c>
      <c r="P1326" s="7" t="s">
        <v>129</v>
      </c>
      <c r="Q1326" s="7">
        <v>5906.0</v>
      </c>
      <c r="R1326" s="12">
        <v>47.45</v>
      </c>
      <c r="S1326" s="12">
        <v>31.79</v>
      </c>
      <c r="T1326" s="13">
        <f t="shared" si="6"/>
        <v>280239.7</v>
      </c>
      <c r="U1326" s="13">
        <f t="shared" si="7"/>
        <v>32759.28</v>
      </c>
      <c r="V1326" s="13">
        <f t="shared" si="8"/>
        <v>247480.42</v>
      </c>
      <c r="W1326" s="14">
        <f>Q1326/totals!B$2</f>
        <v>0.0008980427959</v>
      </c>
      <c r="X1326" s="14">
        <f t="shared" si="9"/>
        <v>0.9972544767</v>
      </c>
      <c r="Y1326" s="14">
        <f>T1326/totals!B$5</f>
        <v>0.0001646406546</v>
      </c>
      <c r="Z1326" s="14">
        <f t="shared" si="10"/>
        <v>0.9970576899</v>
      </c>
      <c r="AA1326" s="14">
        <f>V1326/totals!B$4</f>
        <v>0.0004934699877</v>
      </c>
      <c r="AB1326" s="14">
        <f t="shared" si="11"/>
        <v>0.9971095241</v>
      </c>
    </row>
    <row r="1327">
      <c r="A1327" s="7">
        <v>4594.0</v>
      </c>
      <c r="B1327" s="7" t="str">
        <f>VLOOKUP($A1327,product_category,2, False)</f>
        <v>Fruits</v>
      </c>
      <c r="C1327" s="7">
        <v>9.94504153E8</v>
      </c>
      <c r="D1327" s="9">
        <v>42745.0</v>
      </c>
      <c r="E1327" s="10">
        <f t="shared" si="1"/>
        <v>1</v>
      </c>
      <c r="F1327" s="10" t="str">
        <f t="shared" si="2"/>
        <v>Jan</v>
      </c>
      <c r="G1327" s="11">
        <f t="shared" si="3"/>
        <v>10</v>
      </c>
      <c r="H1327" s="7">
        <f t="shared" si="4"/>
        <v>2017</v>
      </c>
      <c r="I1327" s="9">
        <v>42748.0</v>
      </c>
      <c r="J1327" s="11">
        <f t="shared" si="5"/>
        <v>3</v>
      </c>
      <c r="K1327" s="7" t="s">
        <v>110</v>
      </c>
      <c r="L1327" s="7" t="s">
        <v>702</v>
      </c>
      <c r="M1327" s="7" t="str">
        <f>VLOOKUP(L1327,countries, 2,false)</f>
        <v>Sweden</v>
      </c>
      <c r="N1327" s="7" t="str">
        <f>VLOOKUP(L1327,countries, 4,false)</f>
        <v>Europe</v>
      </c>
      <c r="O1327" s="7" t="str">
        <f>VLOOKUP(L1327,countries, 5,false)</f>
        <v>Northern Europe</v>
      </c>
      <c r="P1327" s="7" t="s">
        <v>129</v>
      </c>
      <c r="Q1327" s="7">
        <v>4734.0</v>
      </c>
      <c r="R1327" s="12">
        <v>9.33</v>
      </c>
      <c r="S1327" s="12">
        <v>6.92</v>
      </c>
      <c r="T1327" s="13">
        <f t="shared" si="6"/>
        <v>44168.22</v>
      </c>
      <c r="U1327" s="13">
        <f t="shared" si="7"/>
        <v>165053.68</v>
      </c>
      <c r="V1327" s="13">
        <f t="shared" si="8"/>
        <v>-120885.46</v>
      </c>
      <c r="W1327" s="14">
        <f>Q1327/totals!B$2</f>
        <v>0.000719833152</v>
      </c>
      <c r="X1327" s="14">
        <f t="shared" si="9"/>
        <v>0.9979743098</v>
      </c>
      <c r="Y1327" s="14">
        <f>T1327/totals!B$5</f>
        <v>0.00002594880259</v>
      </c>
      <c r="Z1327" s="14">
        <f t="shared" si="10"/>
        <v>0.9970836387</v>
      </c>
      <c r="AA1327" s="14">
        <f>V1327/totals!B$4</f>
        <v>-0.0002410426912</v>
      </c>
      <c r="AB1327" s="14">
        <f t="shared" si="11"/>
        <v>0.9968684814</v>
      </c>
    </row>
    <row r="1328">
      <c r="A1328" s="7">
        <v>1270.0</v>
      </c>
      <c r="B1328" s="7" t="str">
        <f>VLOOKUP($A1328,product_category,2, False)</f>
        <v>Beverages</v>
      </c>
      <c r="C1328" s="7">
        <v>9.94978797E8</v>
      </c>
      <c r="D1328" s="9">
        <v>41978.0</v>
      </c>
      <c r="E1328" s="10">
        <f t="shared" si="1"/>
        <v>12</v>
      </c>
      <c r="F1328" s="10" t="str">
        <f t="shared" si="2"/>
        <v>Dec</v>
      </c>
      <c r="G1328" s="11">
        <f t="shared" si="3"/>
        <v>5</v>
      </c>
      <c r="H1328" s="7">
        <f t="shared" si="4"/>
        <v>2014</v>
      </c>
      <c r="I1328" s="9">
        <v>42006.0</v>
      </c>
      <c r="J1328" s="11">
        <f t="shared" si="5"/>
        <v>28</v>
      </c>
      <c r="K1328" s="7" t="s">
        <v>382</v>
      </c>
      <c r="L1328" s="7" t="s">
        <v>392</v>
      </c>
      <c r="M1328" s="7" t="str">
        <f>VLOOKUP(L1328,countries, 2,false)</f>
        <v>Italy</v>
      </c>
      <c r="N1328" s="7" t="str">
        <f>VLOOKUP(L1328,countries, 4,false)</f>
        <v>Europe</v>
      </c>
      <c r="O1328" s="7" t="str">
        <f>VLOOKUP(L1328,countries, 5,false)</f>
        <v>Southern Europe</v>
      </c>
      <c r="P1328" s="7" t="s">
        <v>212</v>
      </c>
      <c r="Q1328" s="7">
        <v>5192.0</v>
      </c>
      <c r="R1328" s="12">
        <v>47.45</v>
      </c>
      <c r="S1328" s="12">
        <v>31.79</v>
      </c>
      <c r="T1328" s="13">
        <f t="shared" si="6"/>
        <v>246360.4</v>
      </c>
      <c r="U1328" s="13">
        <f t="shared" si="7"/>
        <v>91507.08</v>
      </c>
      <c r="V1328" s="13">
        <f t="shared" si="8"/>
        <v>154853.32</v>
      </c>
      <c r="W1328" s="14">
        <f>Q1328/totals!B$2</f>
        <v>0.0007894748046</v>
      </c>
      <c r="X1328" s="14">
        <f t="shared" si="9"/>
        <v>0.9987637846</v>
      </c>
      <c r="Y1328" s="14">
        <f>T1328/totals!B$5</f>
        <v>0.0001447365863</v>
      </c>
      <c r="Z1328" s="14">
        <f t="shared" si="10"/>
        <v>0.9972283753</v>
      </c>
      <c r="AA1328" s="14">
        <f>V1328/totals!B$4</f>
        <v>0.0003087737847</v>
      </c>
      <c r="AB1328" s="14">
        <f t="shared" si="11"/>
        <v>0.9971772552</v>
      </c>
    </row>
    <row r="1329">
      <c r="A1329" s="7">
        <v>7331.0</v>
      </c>
      <c r="B1329" s="7" t="str">
        <f>VLOOKUP($A1329,product_category,2, False)</f>
        <v>Baby Food</v>
      </c>
      <c r="C1329" s="7">
        <v>9.96754205E8</v>
      </c>
      <c r="D1329" s="9">
        <v>40441.0</v>
      </c>
      <c r="E1329" s="10">
        <f t="shared" si="1"/>
        <v>9</v>
      </c>
      <c r="F1329" s="10" t="str">
        <f t="shared" si="2"/>
        <v>Sep</v>
      </c>
      <c r="G1329" s="11">
        <f t="shared" si="3"/>
        <v>20</v>
      </c>
      <c r="H1329" s="7">
        <f t="shared" si="4"/>
        <v>2010</v>
      </c>
      <c r="I1329" s="9">
        <v>40443.0</v>
      </c>
      <c r="J1329" s="11">
        <f t="shared" si="5"/>
        <v>2</v>
      </c>
      <c r="K1329" s="7" t="s">
        <v>322</v>
      </c>
      <c r="L1329" s="7" t="s">
        <v>612</v>
      </c>
      <c r="M1329" s="7" t="str">
        <f>VLOOKUP(L1329,countries, 2,false)</f>
        <v>Russia</v>
      </c>
      <c r="N1329" s="7" t="str">
        <f>VLOOKUP(L1329,countries, 4,false)</f>
        <v>Europe</v>
      </c>
      <c r="O1329" s="7" t="str">
        <f>VLOOKUP(L1329,countries, 5,false)</f>
        <v>Eastern Europe</v>
      </c>
      <c r="P1329" s="7" t="s">
        <v>212</v>
      </c>
      <c r="Q1329" s="7">
        <v>574.0</v>
      </c>
      <c r="R1329" s="12">
        <v>255.28</v>
      </c>
      <c r="S1329" s="12">
        <v>159.42</v>
      </c>
      <c r="T1329" s="13">
        <f t="shared" si="6"/>
        <v>146530.72</v>
      </c>
      <c r="U1329" s="13">
        <f t="shared" si="7"/>
        <v>545093.1</v>
      </c>
      <c r="V1329" s="13">
        <f t="shared" si="8"/>
        <v>-398562.38</v>
      </c>
      <c r="W1329" s="14">
        <f>Q1329/totals!B$2</f>
        <v>0.00008728014982</v>
      </c>
      <c r="X1329" s="14">
        <f t="shared" si="9"/>
        <v>0.9988510648</v>
      </c>
      <c r="Y1329" s="14">
        <f>T1329/totals!B$5</f>
        <v>0.00008608670956</v>
      </c>
      <c r="Z1329" s="14">
        <f t="shared" si="10"/>
        <v>0.997314462</v>
      </c>
      <c r="AA1329" s="14">
        <f>V1329/totals!B$4</f>
        <v>-0.0007947237715</v>
      </c>
      <c r="AB1329" s="14">
        <f t="shared" si="11"/>
        <v>0.9963825314</v>
      </c>
    </row>
    <row r="1330">
      <c r="A1330" s="7">
        <v>8293.0</v>
      </c>
      <c r="B1330" s="7" t="str">
        <f>VLOOKUP($A1330,product_category,2, False)</f>
        <v>Cosmetics</v>
      </c>
      <c r="C1330" s="7">
        <v>9.98043382E8</v>
      </c>
      <c r="D1330" s="9">
        <v>40344.0</v>
      </c>
      <c r="E1330" s="10">
        <f t="shared" si="1"/>
        <v>6</v>
      </c>
      <c r="F1330" s="10" t="str">
        <f t="shared" si="2"/>
        <v>Jun</v>
      </c>
      <c r="G1330" s="11">
        <f t="shared" si="3"/>
        <v>15</v>
      </c>
      <c r="H1330" s="7">
        <f t="shared" si="4"/>
        <v>2010</v>
      </c>
      <c r="I1330" s="9">
        <v>40362.0</v>
      </c>
      <c r="J1330" s="11">
        <f t="shared" si="5"/>
        <v>18</v>
      </c>
      <c r="K1330" s="7" t="s">
        <v>382</v>
      </c>
      <c r="L1330" s="7" t="s">
        <v>478</v>
      </c>
      <c r="M1330" s="7" t="str">
        <f>VLOOKUP(L1330,countries, 2,false)</f>
        <v>Malta</v>
      </c>
      <c r="N1330" s="7" t="str">
        <f>VLOOKUP(L1330,countries, 4,false)</f>
        <v>Europe</v>
      </c>
      <c r="O1330" s="7" t="str">
        <f>VLOOKUP(L1330,countries, 5,false)</f>
        <v>Southern Europe</v>
      </c>
      <c r="P1330" s="7" t="s">
        <v>129</v>
      </c>
      <c r="Q1330" s="7">
        <v>2070.0</v>
      </c>
      <c r="R1330" s="12">
        <v>437.2</v>
      </c>
      <c r="S1330" s="12">
        <v>263.33</v>
      </c>
      <c r="T1330" s="13">
        <f t="shared" si="6"/>
        <v>905004</v>
      </c>
      <c r="U1330" s="13">
        <f t="shared" si="7"/>
        <v>2756934.44</v>
      </c>
      <c r="V1330" s="13">
        <f t="shared" si="8"/>
        <v>-1851930.44</v>
      </c>
      <c r="W1330" s="14">
        <f>Q1330/totals!B$2</f>
        <v>0.000314755941</v>
      </c>
      <c r="X1330" s="14">
        <f t="shared" si="9"/>
        <v>0.9991658207</v>
      </c>
      <c r="Y1330" s="14">
        <f>T1330/totals!B$5</f>
        <v>0.0005316893038</v>
      </c>
      <c r="Z1330" s="14">
        <f t="shared" si="10"/>
        <v>0.9978461513</v>
      </c>
      <c r="AA1330" s="14">
        <f>V1330/totals!B$4</f>
        <v>-0.003692704625</v>
      </c>
      <c r="AB1330" s="14">
        <f t="shared" si="11"/>
        <v>0.9926898268</v>
      </c>
    </row>
    <row r="1331">
      <c r="A1331" s="7">
        <v>7940.0</v>
      </c>
      <c r="B1331" s="7" t="str">
        <f>VLOOKUP($A1331,product_category,2, False)</f>
        <v>Household</v>
      </c>
      <c r="C1331" s="7">
        <v>9.99879729E8</v>
      </c>
      <c r="D1331" s="9">
        <v>40999.0</v>
      </c>
      <c r="E1331" s="10">
        <f t="shared" si="1"/>
        <v>3</v>
      </c>
      <c r="F1331" s="10" t="str">
        <f t="shared" si="2"/>
        <v>Mar</v>
      </c>
      <c r="G1331" s="11">
        <f t="shared" si="3"/>
        <v>31</v>
      </c>
      <c r="H1331" s="7">
        <f t="shared" si="4"/>
        <v>2012</v>
      </c>
      <c r="I1331" s="9">
        <v>41035.0</v>
      </c>
      <c r="J1331" s="11">
        <f t="shared" si="5"/>
        <v>36</v>
      </c>
      <c r="K1331" s="7" t="s">
        <v>110</v>
      </c>
      <c r="L1331" s="7" t="s">
        <v>28</v>
      </c>
      <c r="M1331" s="7" t="str">
        <f>VLOOKUP(L1331,countries, 2,false)</f>
        <v>Albania</v>
      </c>
      <c r="N1331" s="7" t="str">
        <f>VLOOKUP(L1331,countries, 4,false)</f>
        <v>Europe</v>
      </c>
      <c r="O1331" s="7" t="str">
        <f>VLOOKUP(L1331,countries, 5,false)</f>
        <v>Southern Europe</v>
      </c>
      <c r="P1331" s="7" t="s">
        <v>212</v>
      </c>
      <c r="Q1331" s="7">
        <v>5486.0</v>
      </c>
      <c r="R1331" s="12">
        <v>668.27</v>
      </c>
      <c r="S1331" s="12">
        <v>502.54</v>
      </c>
      <c r="T1331" s="13">
        <f t="shared" si="6"/>
        <v>3666129.22</v>
      </c>
      <c r="U1331" s="17">
        <f t="shared" si="7"/>
        <v>0</v>
      </c>
      <c r="V1331" s="13">
        <f t="shared" si="8"/>
        <v>3666129.22</v>
      </c>
      <c r="W1331" s="14">
        <f>Q1331/totals!B$2</f>
        <v>0.0008341792716</v>
      </c>
      <c r="X1331" s="14">
        <f t="shared" si="9"/>
        <v>1</v>
      </c>
      <c r="Y1331" s="14">
        <f>T1331/totals!B$5</f>
        <v>0.002153848704</v>
      </c>
      <c r="Z1331" s="14">
        <f t="shared" si="10"/>
        <v>1</v>
      </c>
      <c r="AA1331" s="14">
        <f>V1331/totals!B$4</f>
        <v>0.00731017323</v>
      </c>
      <c r="AB1331" s="14">
        <f t="shared" si="11"/>
        <v>1</v>
      </c>
    </row>
  </sheetData>
  <autoFilter ref="$H$1:$H$133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22" t="s">
        <v>827</v>
      </c>
      <c r="F1" s="22" t="s">
        <v>828</v>
      </c>
      <c r="G1" s="22" t="s">
        <v>829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</row>
    <row r="2">
      <c r="E2" s="14">
        <f t="shared" ref="E2:G2" si="1">B2/sum(B$2:B$13)</f>
        <v>0.1023088877</v>
      </c>
      <c r="F2" s="14">
        <f t="shared" si="1"/>
        <v>0.2504480132</v>
      </c>
      <c r="G2" s="23">
        <f t="shared" si="1"/>
        <v>0.623406106</v>
      </c>
    </row>
    <row r="3">
      <c r="E3" s="14">
        <f t="shared" ref="E3:G3" si="2">B3/sum(B$2:B$13)</f>
        <v>0.1213392951</v>
      </c>
      <c r="F3" s="14">
        <f t="shared" si="2"/>
        <v>0.199418198</v>
      </c>
      <c r="G3" s="23">
        <f t="shared" si="2"/>
        <v>0.4822192069</v>
      </c>
    </row>
    <row r="4">
      <c r="E4" s="14">
        <f t="shared" ref="E4:G4" si="3">B4/sum(B$2:B$13)</f>
        <v>0.06463950893</v>
      </c>
      <c r="F4" s="14">
        <f t="shared" si="3"/>
        <v>0.1623802405</v>
      </c>
      <c r="G4" s="23">
        <f t="shared" si="3"/>
        <v>0.3917230446</v>
      </c>
    </row>
    <row r="5">
      <c r="E5" s="14">
        <f t="shared" ref="E5:G5" si="4">B5/sum(B$2:B$13)</f>
        <v>0.08514607766</v>
      </c>
      <c r="F5" s="14">
        <f t="shared" si="4"/>
        <v>0.1350352163</v>
      </c>
      <c r="G5" s="23">
        <f t="shared" si="4"/>
        <v>-0.09954533741</v>
      </c>
    </row>
    <row r="6">
      <c r="E6" s="14">
        <f t="shared" ref="E6:G6" si="5">B6/sum(B$2:B$13)</f>
        <v>0.1444106455</v>
      </c>
      <c r="F6" s="14">
        <f t="shared" si="5"/>
        <v>0.08282853621</v>
      </c>
      <c r="G6" s="23">
        <f t="shared" si="5"/>
        <v>0.101846805</v>
      </c>
    </row>
    <row r="7">
      <c r="E7" s="14">
        <f t="shared" ref="E7:G7" si="6">B7/sum(B$2:B$13)</f>
        <v>0.09111498869</v>
      </c>
      <c r="F7" s="14">
        <f t="shared" si="6"/>
        <v>0.05276705856</v>
      </c>
      <c r="G7" s="23">
        <f t="shared" si="6"/>
        <v>-0.06160121308</v>
      </c>
    </row>
    <row r="8">
      <c r="E8" s="14">
        <f t="shared" ref="E8:G8" si="7">B8/sum(B$2:B$13)</f>
        <v>0.04479507063</v>
      </c>
      <c r="F8" s="14">
        <f t="shared" si="7"/>
        <v>0.0429863117</v>
      </c>
      <c r="G8" s="23">
        <f t="shared" si="7"/>
        <v>0.05925737978</v>
      </c>
    </row>
    <row r="9">
      <c r="E9" s="14">
        <f t="shared" ref="E9:G9" si="8">B9/sum(B$2:B$13)</f>
        <v>0.157653254</v>
      </c>
      <c r="F9" s="14">
        <f t="shared" si="8"/>
        <v>0.02812045363</v>
      </c>
      <c r="G9" s="23">
        <f t="shared" si="8"/>
        <v>-0.07083591895</v>
      </c>
    </row>
    <row r="10">
      <c r="E10" s="14">
        <f t="shared" ref="E10:G10" si="9">B10/sum(B$2:B$13)</f>
        <v>0.04713784387</v>
      </c>
      <c r="F10" s="14">
        <f t="shared" si="9"/>
        <v>0.01936393278</v>
      </c>
      <c r="G10" s="23">
        <f t="shared" si="9"/>
        <v>-0.114553354</v>
      </c>
    </row>
    <row r="11">
      <c r="E11" s="14">
        <f t="shared" ref="E11:G11" si="10">B11/sum(B$2:B$13)</f>
        <v>0.0504212318</v>
      </c>
      <c r="F11" s="14">
        <f t="shared" si="10"/>
        <v>0.0154909523</v>
      </c>
      <c r="G11" s="23">
        <f t="shared" si="10"/>
        <v>-0.08996727622</v>
      </c>
    </row>
    <row r="12">
      <c r="E12" s="14">
        <f t="shared" ref="E12:G12" si="11">B12/sum(B$2:B$13)</f>
        <v>0.01079467336</v>
      </c>
      <c r="F12" s="14">
        <f t="shared" si="11"/>
        <v>0.008346933691</v>
      </c>
      <c r="G12" s="23">
        <f t="shared" si="11"/>
        <v>-0.1576390999</v>
      </c>
    </row>
    <row r="13">
      <c r="E13" s="14">
        <f t="shared" ref="E13:G13" si="12">B13/sum(B$2:B$13)</f>
        <v>0.08023852275</v>
      </c>
      <c r="F13" s="14">
        <f t="shared" si="12"/>
        <v>0.002814153189</v>
      </c>
      <c r="G13" s="23">
        <f t="shared" si="12"/>
        <v>-0.06431034262</v>
      </c>
    </row>
    <row r="14">
      <c r="C14" s="18"/>
      <c r="D14" s="18"/>
    </row>
    <row r="15">
      <c r="C15" s="18"/>
      <c r="D15" s="18"/>
    </row>
    <row r="16">
      <c r="C16" s="18"/>
      <c r="D16" s="18"/>
    </row>
    <row r="17">
      <c r="C17" s="18"/>
      <c r="D17" s="18"/>
      <c r="F17" s="14"/>
    </row>
    <row r="18">
      <c r="C18" s="18"/>
      <c r="D18" s="18"/>
    </row>
    <row r="19">
      <c r="C19" s="18"/>
      <c r="D19" s="18"/>
    </row>
    <row r="20">
      <c r="C20" s="18"/>
      <c r="D20" s="18"/>
    </row>
    <row r="21">
      <c r="C21" s="18"/>
      <c r="D21" s="18"/>
    </row>
    <row r="22">
      <c r="C22" s="18"/>
      <c r="D22" s="18"/>
    </row>
    <row r="23">
      <c r="C23" s="18"/>
      <c r="D23" s="18"/>
    </row>
    <row r="24">
      <c r="C24" s="18"/>
      <c r="D24" s="18"/>
    </row>
    <row r="25">
      <c r="C25" s="18"/>
      <c r="D25" s="18"/>
    </row>
    <row r="26">
      <c r="C26" s="18"/>
      <c r="D26" s="18"/>
    </row>
    <row r="27">
      <c r="C27" s="18"/>
      <c r="D27" s="18"/>
    </row>
    <row r="28">
      <c r="C28" s="18"/>
      <c r="D28" s="18"/>
    </row>
    <row r="29">
      <c r="C29" s="18"/>
      <c r="D29" s="18"/>
    </row>
    <row r="30">
      <c r="C30" s="18"/>
      <c r="D30" s="18"/>
    </row>
    <row r="31">
      <c r="C31" s="18"/>
      <c r="D31" s="18"/>
    </row>
    <row r="32">
      <c r="C32" s="18"/>
      <c r="D32" s="18"/>
    </row>
    <row r="33">
      <c r="C33" s="18"/>
      <c r="D33" s="18"/>
    </row>
    <row r="34">
      <c r="C34" s="18"/>
      <c r="D34" s="18"/>
    </row>
    <row r="35">
      <c r="C35" s="18"/>
      <c r="D35" s="18"/>
    </row>
    <row r="36">
      <c r="C36" s="18"/>
      <c r="D36" s="18"/>
    </row>
    <row r="37">
      <c r="C37" s="18"/>
      <c r="D37" s="18"/>
    </row>
    <row r="38">
      <c r="C38" s="18"/>
      <c r="D38" s="18"/>
    </row>
    <row r="39">
      <c r="C39" s="18"/>
      <c r="D39" s="18"/>
    </row>
    <row r="40">
      <c r="C40" s="18"/>
      <c r="D40" s="18"/>
    </row>
    <row r="41">
      <c r="C41" s="18"/>
      <c r="D41" s="18"/>
    </row>
    <row r="42">
      <c r="C42" s="18"/>
      <c r="D42" s="18"/>
    </row>
    <row r="43">
      <c r="C43" s="18"/>
      <c r="D43" s="18"/>
    </row>
    <row r="44">
      <c r="C44" s="18"/>
      <c r="D44" s="18"/>
    </row>
    <row r="45">
      <c r="C45" s="18"/>
      <c r="D45" s="18"/>
    </row>
    <row r="46">
      <c r="C46" s="18"/>
      <c r="D46" s="18"/>
    </row>
    <row r="47">
      <c r="C47" s="18"/>
      <c r="D47" s="18"/>
    </row>
    <row r="48">
      <c r="C48" s="18"/>
      <c r="D48" s="18"/>
    </row>
    <row r="49">
      <c r="C49" s="18"/>
      <c r="D49" s="18"/>
    </row>
    <row r="50">
      <c r="C50" s="18"/>
      <c r="D50" s="18"/>
    </row>
    <row r="51">
      <c r="C51" s="18"/>
      <c r="D51" s="18"/>
    </row>
    <row r="52">
      <c r="C52" s="18"/>
      <c r="D52" s="18"/>
    </row>
    <row r="53">
      <c r="C53" s="18"/>
      <c r="D53" s="18"/>
    </row>
    <row r="54">
      <c r="C54" s="18"/>
      <c r="D54" s="18"/>
    </row>
    <row r="55">
      <c r="C55" s="18"/>
      <c r="D55" s="18"/>
    </row>
    <row r="56">
      <c r="C56" s="18"/>
      <c r="D56" s="18"/>
    </row>
    <row r="57">
      <c r="C57" s="18"/>
      <c r="D57" s="18"/>
    </row>
    <row r="58">
      <c r="C58" s="18"/>
      <c r="D58" s="18"/>
    </row>
    <row r="59">
      <c r="C59" s="18"/>
      <c r="D59" s="18"/>
    </row>
    <row r="60">
      <c r="C60" s="18"/>
      <c r="D60" s="18"/>
    </row>
    <row r="61">
      <c r="C61" s="18"/>
      <c r="D61" s="18"/>
    </row>
    <row r="62">
      <c r="C62" s="18"/>
      <c r="D62" s="18"/>
    </row>
    <row r="63">
      <c r="C63" s="18"/>
      <c r="D63" s="18"/>
    </row>
    <row r="64">
      <c r="C64" s="18"/>
      <c r="D64" s="18"/>
    </row>
    <row r="65">
      <c r="C65" s="18"/>
      <c r="D65" s="18"/>
    </row>
    <row r="66">
      <c r="C66" s="18"/>
      <c r="D66" s="18"/>
    </row>
    <row r="67">
      <c r="C67" s="18"/>
      <c r="D67" s="18"/>
    </row>
    <row r="68">
      <c r="C68" s="18"/>
      <c r="D68" s="18"/>
    </row>
    <row r="69">
      <c r="C69" s="18"/>
      <c r="D69" s="18"/>
    </row>
    <row r="70">
      <c r="C70" s="18"/>
      <c r="D70" s="18"/>
    </row>
    <row r="71">
      <c r="C71" s="18"/>
      <c r="D71" s="18"/>
    </row>
    <row r="72">
      <c r="C72" s="18"/>
      <c r="D72" s="18"/>
    </row>
    <row r="73">
      <c r="C73" s="18"/>
      <c r="D73" s="18"/>
    </row>
    <row r="74">
      <c r="C74" s="18"/>
      <c r="D74" s="18"/>
    </row>
    <row r="75">
      <c r="C75" s="18"/>
      <c r="D75" s="18"/>
    </row>
    <row r="76">
      <c r="C76" s="18"/>
      <c r="D76" s="18"/>
    </row>
    <row r="77">
      <c r="C77" s="18"/>
      <c r="D77" s="18"/>
    </row>
    <row r="78">
      <c r="C78" s="18"/>
      <c r="D78" s="18"/>
    </row>
    <row r="79">
      <c r="C79" s="18"/>
      <c r="D79" s="18"/>
    </row>
    <row r="80">
      <c r="C80" s="18"/>
      <c r="D80" s="18"/>
    </row>
    <row r="81">
      <c r="C81" s="18"/>
      <c r="D81" s="18"/>
    </row>
    <row r="82">
      <c r="C82" s="18"/>
      <c r="D82" s="18"/>
    </row>
    <row r="83">
      <c r="C83" s="18"/>
      <c r="D83" s="18"/>
    </row>
    <row r="84">
      <c r="C84" s="18"/>
      <c r="D84" s="18"/>
    </row>
    <row r="85">
      <c r="C85" s="18"/>
      <c r="D85" s="18"/>
    </row>
    <row r="86">
      <c r="C86" s="18"/>
      <c r="D86" s="18"/>
    </row>
    <row r="87">
      <c r="C87" s="18"/>
      <c r="D87" s="18"/>
    </row>
    <row r="88">
      <c r="C88" s="18"/>
      <c r="D88" s="18"/>
    </row>
    <row r="89">
      <c r="C89" s="18"/>
      <c r="D89" s="18"/>
    </row>
    <row r="90">
      <c r="C90" s="18"/>
      <c r="D90" s="18"/>
    </row>
    <row r="91">
      <c r="C91" s="18"/>
      <c r="D91" s="18"/>
    </row>
    <row r="92">
      <c r="C92" s="18"/>
      <c r="D92" s="18"/>
    </row>
    <row r="93">
      <c r="C93" s="18"/>
      <c r="D93" s="18"/>
    </row>
    <row r="94">
      <c r="C94" s="18"/>
      <c r="D94" s="18"/>
    </row>
    <row r="95">
      <c r="C95" s="18"/>
      <c r="D95" s="18"/>
    </row>
    <row r="96">
      <c r="C96" s="18"/>
      <c r="D96" s="18"/>
    </row>
    <row r="97">
      <c r="C97" s="18"/>
      <c r="D97" s="18"/>
    </row>
    <row r="98">
      <c r="C98" s="18"/>
      <c r="D98" s="18"/>
    </row>
    <row r="99">
      <c r="C99" s="18"/>
      <c r="D99" s="18"/>
    </row>
    <row r="100">
      <c r="C100" s="18"/>
      <c r="D100" s="18"/>
    </row>
    <row r="101">
      <c r="C101" s="18"/>
      <c r="D101" s="18"/>
    </row>
    <row r="102">
      <c r="C102" s="18"/>
      <c r="D102" s="18"/>
    </row>
    <row r="103">
      <c r="C103" s="18"/>
      <c r="D103" s="18"/>
    </row>
    <row r="104">
      <c r="C104" s="18"/>
      <c r="D104" s="18"/>
    </row>
    <row r="105">
      <c r="C105" s="18"/>
      <c r="D105" s="18"/>
    </row>
    <row r="106">
      <c r="C106" s="18"/>
      <c r="D106" s="18"/>
    </row>
    <row r="107">
      <c r="C107" s="18"/>
      <c r="D107" s="18"/>
    </row>
    <row r="108">
      <c r="C108" s="18"/>
      <c r="D108" s="18"/>
    </row>
    <row r="109">
      <c r="C109" s="18"/>
      <c r="D109" s="18"/>
    </row>
    <row r="110">
      <c r="C110" s="18"/>
      <c r="D110" s="18"/>
    </row>
    <row r="111">
      <c r="C111" s="18"/>
      <c r="D111" s="18"/>
    </row>
    <row r="112">
      <c r="C112" s="18"/>
      <c r="D112" s="18"/>
    </row>
    <row r="113">
      <c r="C113" s="18"/>
      <c r="D113" s="18"/>
    </row>
    <row r="114">
      <c r="C114" s="18"/>
      <c r="D114" s="18"/>
    </row>
    <row r="115">
      <c r="C115" s="18"/>
      <c r="D115" s="18"/>
    </row>
    <row r="116">
      <c r="C116" s="18"/>
      <c r="D116" s="18"/>
    </row>
    <row r="117">
      <c r="C117" s="18"/>
      <c r="D117" s="18"/>
    </row>
    <row r="118">
      <c r="C118" s="18"/>
      <c r="D118" s="18"/>
    </row>
    <row r="119">
      <c r="C119" s="18"/>
      <c r="D119" s="18"/>
    </row>
    <row r="120">
      <c r="C120" s="18"/>
      <c r="D120" s="18"/>
    </row>
    <row r="121">
      <c r="C121" s="18"/>
      <c r="D121" s="18"/>
    </row>
    <row r="122">
      <c r="C122" s="18"/>
      <c r="D122" s="18"/>
    </row>
    <row r="123">
      <c r="C123" s="18"/>
      <c r="D123" s="18"/>
    </row>
    <row r="124">
      <c r="C124" s="18"/>
      <c r="D124" s="18"/>
    </row>
    <row r="125">
      <c r="C125" s="18"/>
      <c r="D125" s="18"/>
    </row>
    <row r="126">
      <c r="C126" s="18"/>
      <c r="D126" s="18"/>
    </row>
    <row r="127">
      <c r="C127" s="18"/>
      <c r="D127" s="18"/>
    </row>
    <row r="128">
      <c r="C128" s="18"/>
      <c r="D128" s="18"/>
    </row>
    <row r="129">
      <c r="C129" s="18"/>
      <c r="D129" s="18"/>
    </row>
    <row r="130">
      <c r="C130" s="18"/>
      <c r="D130" s="18"/>
    </row>
    <row r="131">
      <c r="C131" s="18"/>
      <c r="D131" s="18"/>
    </row>
    <row r="132">
      <c r="C132" s="18"/>
      <c r="D132" s="18"/>
    </row>
    <row r="133">
      <c r="C133" s="18"/>
      <c r="D133" s="18"/>
    </row>
    <row r="134">
      <c r="C134" s="18"/>
      <c r="D134" s="18"/>
    </row>
    <row r="135">
      <c r="C135" s="18"/>
      <c r="D135" s="18"/>
    </row>
    <row r="136">
      <c r="C136" s="18"/>
      <c r="D136" s="18"/>
    </row>
    <row r="137">
      <c r="C137" s="18"/>
      <c r="D137" s="18"/>
    </row>
    <row r="138">
      <c r="C138" s="18"/>
      <c r="D138" s="18"/>
    </row>
    <row r="139">
      <c r="C139" s="18"/>
      <c r="D139" s="18"/>
    </row>
    <row r="140">
      <c r="C140" s="18"/>
      <c r="D140" s="18"/>
    </row>
    <row r="141">
      <c r="C141" s="18"/>
      <c r="D141" s="18"/>
    </row>
    <row r="142">
      <c r="C142" s="18"/>
      <c r="D142" s="18"/>
    </row>
    <row r="143">
      <c r="C143" s="18"/>
      <c r="D143" s="18"/>
    </row>
    <row r="144">
      <c r="C144" s="18"/>
      <c r="D144" s="18"/>
    </row>
    <row r="145">
      <c r="C145" s="18"/>
      <c r="D145" s="18"/>
    </row>
    <row r="146">
      <c r="C146" s="18"/>
      <c r="D146" s="18"/>
    </row>
    <row r="147">
      <c r="C147" s="18"/>
      <c r="D147" s="18"/>
    </row>
    <row r="148">
      <c r="C148" s="18"/>
      <c r="D148" s="18"/>
    </row>
    <row r="149">
      <c r="C149" s="18"/>
      <c r="D149" s="18"/>
    </row>
    <row r="150">
      <c r="C150" s="18"/>
      <c r="D150" s="18"/>
    </row>
    <row r="151">
      <c r="C151" s="18"/>
      <c r="D151" s="18"/>
    </row>
    <row r="152">
      <c r="C152" s="18"/>
      <c r="D152" s="18"/>
    </row>
    <row r="153">
      <c r="C153" s="18"/>
      <c r="D153" s="18"/>
    </row>
    <row r="154">
      <c r="C154" s="18"/>
      <c r="D154" s="18"/>
    </row>
    <row r="155">
      <c r="C155" s="18"/>
      <c r="D155" s="18"/>
    </row>
    <row r="156">
      <c r="C156" s="18"/>
      <c r="D156" s="18"/>
    </row>
    <row r="157">
      <c r="C157" s="18"/>
      <c r="D157" s="18"/>
    </row>
    <row r="158">
      <c r="C158" s="18"/>
      <c r="D158" s="18"/>
    </row>
    <row r="159">
      <c r="C159" s="18"/>
      <c r="D159" s="18"/>
    </row>
    <row r="160">
      <c r="C160" s="18"/>
      <c r="D160" s="18"/>
    </row>
    <row r="161">
      <c r="C161" s="18"/>
      <c r="D161" s="18"/>
    </row>
    <row r="162">
      <c r="C162" s="18"/>
      <c r="D162" s="18"/>
    </row>
    <row r="163">
      <c r="C163" s="18"/>
      <c r="D163" s="18"/>
    </row>
    <row r="164">
      <c r="C164" s="18"/>
      <c r="D164" s="18"/>
    </row>
    <row r="165">
      <c r="C165" s="18"/>
      <c r="D165" s="18"/>
    </row>
    <row r="166">
      <c r="C166" s="18"/>
      <c r="D166" s="18"/>
    </row>
    <row r="167">
      <c r="C167" s="18"/>
      <c r="D167" s="18"/>
    </row>
    <row r="168">
      <c r="C168" s="18"/>
      <c r="D168" s="18"/>
    </row>
    <row r="169">
      <c r="C169" s="18"/>
      <c r="D169" s="18"/>
    </row>
    <row r="170">
      <c r="C170" s="18"/>
      <c r="D170" s="18"/>
    </row>
    <row r="171">
      <c r="C171" s="18"/>
      <c r="D171" s="18"/>
    </row>
    <row r="172">
      <c r="C172" s="18"/>
      <c r="D172" s="18"/>
    </row>
    <row r="173">
      <c r="C173" s="18"/>
      <c r="D173" s="18"/>
    </row>
    <row r="174">
      <c r="C174" s="18"/>
      <c r="D174" s="18"/>
    </row>
    <row r="175">
      <c r="C175" s="18"/>
      <c r="D175" s="18"/>
    </row>
    <row r="176">
      <c r="C176" s="18"/>
      <c r="D176" s="18"/>
    </row>
    <row r="177">
      <c r="C177" s="18"/>
      <c r="D177" s="18"/>
    </row>
    <row r="178">
      <c r="C178" s="18"/>
      <c r="D178" s="18"/>
    </row>
    <row r="179">
      <c r="C179" s="18"/>
      <c r="D179" s="18"/>
    </row>
    <row r="180">
      <c r="C180" s="18"/>
      <c r="D180" s="18"/>
    </row>
    <row r="181">
      <c r="C181" s="18"/>
      <c r="D181" s="18"/>
    </row>
    <row r="182">
      <c r="C182" s="18"/>
      <c r="D182" s="18"/>
    </row>
    <row r="183">
      <c r="C183" s="18"/>
      <c r="D183" s="18"/>
    </row>
    <row r="184">
      <c r="C184" s="18"/>
      <c r="D184" s="18"/>
    </row>
    <row r="185">
      <c r="C185" s="18"/>
      <c r="D185" s="18"/>
    </row>
    <row r="186">
      <c r="C186" s="18"/>
      <c r="D186" s="18"/>
    </row>
    <row r="187">
      <c r="C187" s="18"/>
      <c r="D187" s="18"/>
    </row>
    <row r="188">
      <c r="C188" s="18"/>
      <c r="D188" s="18"/>
    </row>
    <row r="189">
      <c r="C189" s="18"/>
      <c r="D189" s="18"/>
    </row>
    <row r="190">
      <c r="C190" s="18"/>
      <c r="D190" s="18"/>
    </row>
    <row r="191">
      <c r="C191" s="18"/>
      <c r="D191" s="18"/>
    </row>
    <row r="192">
      <c r="C192" s="18"/>
      <c r="D192" s="18"/>
    </row>
    <row r="193">
      <c r="C193" s="18"/>
      <c r="D193" s="18"/>
    </row>
    <row r="194">
      <c r="C194" s="18"/>
      <c r="D194" s="18"/>
    </row>
    <row r="195">
      <c r="C195" s="18"/>
      <c r="D195" s="18"/>
    </row>
    <row r="196">
      <c r="C196" s="18"/>
      <c r="D196" s="18"/>
    </row>
    <row r="197">
      <c r="C197" s="18"/>
      <c r="D197" s="18"/>
    </row>
    <row r="198">
      <c r="C198" s="18"/>
      <c r="D198" s="18"/>
    </row>
    <row r="199">
      <c r="C199" s="18"/>
      <c r="D199" s="18"/>
    </row>
    <row r="200">
      <c r="C200" s="18"/>
      <c r="D200" s="18"/>
    </row>
    <row r="201">
      <c r="C201" s="18"/>
      <c r="D201" s="18"/>
    </row>
    <row r="202">
      <c r="C202" s="18"/>
      <c r="D202" s="18"/>
    </row>
    <row r="203">
      <c r="C203" s="18"/>
      <c r="D203" s="18"/>
    </row>
    <row r="204">
      <c r="C204" s="18"/>
      <c r="D204" s="18"/>
    </row>
    <row r="205">
      <c r="C205" s="18"/>
      <c r="D205" s="18"/>
    </row>
    <row r="206">
      <c r="C206" s="18"/>
      <c r="D206" s="18"/>
    </row>
    <row r="207">
      <c r="C207" s="18"/>
      <c r="D207" s="18"/>
    </row>
    <row r="208">
      <c r="C208" s="18"/>
      <c r="D208" s="18"/>
    </row>
    <row r="209">
      <c r="C209" s="18"/>
      <c r="D209" s="18"/>
    </row>
    <row r="210">
      <c r="C210" s="18"/>
      <c r="D210" s="18"/>
    </row>
    <row r="211">
      <c r="C211" s="18"/>
      <c r="D211" s="18"/>
    </row>
    <row r="212">
      <c r="C212" s="18"/>
      <c r="D212" s="18"/>
    </row>
    <row r="213">
      <c r="C213" s="18"/>
      <c r="D213" s="18"/>
    </row>
    <row r="214">
      <c r="C214" s="18"/>
      <c r="D214" s="18"/>
    </row>
    <row r="215">
      <c r="C215" s="18"/>
      <c r="D215" s="18"/>
    </row>
    <row r="216">
      <c r="C216" s="18"/>
      <c r="D216" s="18"/>
    </row>
    <row r="217">
      <c r="C217" s="18"/>
      <c r="D217" s="18"/>
    </row>
    <row r="218">
      <c r="C218" s="18"/>
      <c r="D218" s="18"/>
    </row>
    <row r="219">
      <c r="C219" s="18"/>
      <c r="D219" s="18"/>
    </row>
    <row r="220">
      <c r="C220" s="18"/>
      <c r="D220" s="18"/>
    </row>
    <row r="221">
      <c r="C221" s="18"/>
      <c r="D221" s="18"/>
    </row>
    <row r="222">
      <c r="C222" s="18"/>
      <c r="D222" s="18"/>
    </row>
    <row r="223">
      <c r="C223" s="18"/>
      <c r="D223" s="18"/>
    </row>
    <row r="224">
      <c r="C224" s="18"/>
      <c r="D224" s="18"/>
    </row>
    <row r="225">
      <c r="C225" s="18"/>
      <c r="D225" s="18"/>
    </row>
    <row r="226">
      <c r="C226" s="18"/>
      <c r="D226" s="18"/>
    </row>
    <row r="227">
      <c r="C227" s="18"/>
      <c r="D227" s="18"/>
    </row>
    <row r="228">
      <c r="C228" s="18"/>
      <c r="D228" s="18"/>
    </row>
    <row r="229">
      <c r="C229" s="18"/>
      <c r="D229" s="18"/>
    </row>
    <row r="230">
      <c r="C230" s="18"/>
      <c r="D230" s="18"/>
    </row>
    <row r="231">
      <c r="C231" s="18"/>
      <c r="D231" s="18"/>
    </row>
    <row r="232">
      <c r="C232" s="18"/>
      <c r="D232" s="18"/>
    </row>
    <row r="233">
      <c r="C233" s="18"/>
      <c r="D233" s="18"/>
    </row>
    <row r="234">
      <c r="C234" s="18"/>
      <c r="D234" s="18"/>
    </row>
    <row r="235">
      <c r="C235" s="18"/>
      <c r="D235" s="18"/>
    </row>
    <row r="236">
      <c r="C236" s="18"/>
      <c r="D236" s="18"/>
    </row>
    <row r="237">
      <c r="C237" s="18"/>
      <c r="D237" s="18"/>
    </row>
    <row r="238">
      <c r="C238" s="18"/>
      <c r="D238" s="18"/>
    </row>
    <row r="239">
      <c r="C239" s="18"/>
      <c r="D239" s="18"/>
    </row>
    <row r="240">
      <c r="C240" s="18"/>
      <c r="D240" s="18"/>
    </row>
    <row r="241">
      <c r="C241" s="18"/>
      <c r="D241" s="18"/>
    </row>
    <row r="242">
      <c r="C242" s="18"/>
      <c r="D242" s="18"/>
    </row>
    <row r="243">
      <c r="C243" s="18"/>
      <c r="D243" s="18"/>
    </row>
    <row r="244">
      <c r="C244" s="18"/>
      <c r="D244" s="18"/>
    </row>
    <row r="245">
      <c r="C245" s="18"/>
      <c r="D245" s="18"/>
    </row>
    <row r="246">
      <c r="C246" s="18"/>
      <c r="D246" s="18"/>
    </row>
    <row r="247">
      <c r="C247" s="18"/>
      <c r="D247" s="18"/>
    </row>
    <row r="248">
      <c r="C248" s="18"/>
      <c r="D248" s="18"/>
    </row>
    <row r="249">
      <c r="C249" s="18"/>
      <c r="D249" s="18"/>
    </row>
    <row r="250">
      <c r="C250" s="18"/>
      <c r="D250" s="18"/>
    </row>
    <row r="251">
      <c r="C251" s="18"/>
      <c r="D251" s="18"/>
    </row>
    <row r="252">
      <c r="C252" s="18"/>
      <c r="D252" s="18"/>
    </row>
    <row r="253">
      <c r="C253" s="18"/>
      <c r="D253" s="18"/>
    </row>
    <row r="254">
      <c r="C254" s="18"/>
      <c r="D254" s="18"/>
    </row>
    <row r="255">
      <c r="C255" s="18"/>
      <c r="D255" s="18"/>
    </row>
    <row r="256">
      <c r="C256" s="18"/>
      <c r="D256" s="18"/>
    </row>
    <row r="257">
      <c r="C257" s="18"/>
      <c r="D257" s="18"/>
    </row>
    <row r="258">
      <c r="C258" s="18"/>
      <c r="D258" s="18"/>
    </row>
    <row r="259">
      <c r="C259" s="18"/>
      <c r="D259" s="18"/>
    </row>
    <row r="260">
      <c r="C260" s="18"/>
      <c r="D260" s="18"/>
    </row>
    <row r="261">
      <c r="C261" s="18"/>
      <c r="D261" s="18"/>
    </row>
    <row r="262">
      <c r="C262" s="18"/>
      <c r="D262" s="18"/>
    </row>
    <row r="263">
      <c r="C263" s="18"/>
      <c r="D263" s="18"/>
    </row>
    <row r="264">
      <c r="C264" s="18"/>
      <c r="D264" s="18"/>
    </row>
    <row r="265">
      <c r="C265" s="18"/>
      <c r="D265" s="18"/>
    </row>
    <row r="266">
      <c r="C266" s="18"/>
      <c r="D266" s="18"/>
    </row>
    <row r="267">
      <c r="C267" s="18"/>
      <c r="D267" s="18"/>
    </row>
    <row r="268">
      <c r="C268" s="18"/>
      <c r="D268" s="18"/>
    </row>
    <row r="269">
      <c r="C269" s="18"/>
      <c r="D269" s="18"/>
    </row>
    <row r="270">
      <c r="C270" s="18"/>
      <c r="D270" s="18"/>
    </row>
    <row r="271">
      <c r="C271" s="18"/>
      <c r="D271" s="18"/>
    </row>
    <row r="272">
      <c r="C272" s="18"/>
      <c r="D272" s="18"/>
    </row>
    <row r="273">
      <c r="C273" s="18"/>
      <c r="D273" s="18"/>
    </row>
    <row r="274">
      <c r="C274" s="18"/>
      <c r="D274" s="18"/>
    </row>
    <row r="275">
      <c r="C275" s="18"/>
      <c r="D275" s="18"/>
    </row>
    <row r="276">
      <c r="C276" s="18"/>
      <c r="D276" s="18"/>
    </row>
    <row r="277">
      <c r="C277" s="18"/>
      <c r="D277" s="18"/>
    </row>
    <row r="278">
      <c r="C278" s="18"/>
      <c r="D278" s="18"/>
    </row>
    <row r="279">
      <c r="C279" s="18"/>
      <c r="D279" s="18"/>
    </row>
    <row r="280">
      <c r="C280" s="18"/>
      <c r="D280" s="18"/>
    </row>
    <row r="281">
      <c r="C281" s="18"/>
      <c r="D281" s="18"/>
    </row>
    <row r="282">
      <c r="C282" s="18"/>
      <c r="D282" s="18"/>
    </row>
    <row r="283">
      <c r="C283" s="18"/>
      <c r="D283" s="18"/>
    </row>
    <row r="284">
      <c r="C284" s="18"/>
      <c r="D284" s="18"/>
    </row>
    <row r="285">
      <c r="C285" s="18"/>
      <c r="D285" s="18"/>
    </row>
    <row r="286">
      <c r="C286" s="18"/>
      <c r="D286" s="18"/>
    </row>
    <row r="287">
      <c r="C287" s="18"/>
      <c r="D287" s="18"/>
    </row>
    <row r="288">
      <c r="C288" s="18"/>
      <c r="D288" s="18"/>
    </row>
    <row r="289">
      <c r="C289" s="18"/>
      <c r="D289" s="18"/>
    </row>
    <row r="290">
      <c r="C290" s="18"/>
      <c r="D290" s="18"/>
    </row>
    <row r="291">
      <c r="C291" s="18"/>
      <c r="D291" s="18"/>
    </row>
    <row r="292">
      <c r="C292" s="18"/>
      <c r="D292" s="18"/>
    </row>
    <row r="293">
      <c r="C293" s="18"/>
      <c r="D293" s="18"/>
    </row>
    <row r="294">
      <c r="C294" s="18"/>
      <c r="D294" s="18"/>
    </row>
    <row r="295">
      <c r="C295" s="18"/>
      <c r="D295" s="18"/>
    </row>
    <row r="296">
      <c r="C296" s="18"/>
      <c r="D296" s="18"/>
    </row>
    <row r="297">
      <c r="C297" s="18"/>
      <c r="D297" s="18"/>
    </row>
    <row r="298">
      <c r="C298" s="18"/>
      <c r="D298" s="18"/>
    </row>
    <row r="299">
      <c r="C299" s="18"/>
      <c r="D299" s="18"/>
    </row>
    <row r="300">
      <c r="C300" s="18"/>
      <c r="D300" s="18"/>
    </row>
    <row r="301">
      <c r="C301" s="18"/>
      <c r="D301" s="18"/>
    </row>
    <row r="302">
      <c r="C302" s="18"/>
      <c r="D302" s="18"/>
    </row>
    <row r="303">
      <c r="C303" s="18"/>
      <c r="D303" s="18"/>
    </row>
    <row r="304">
      <c r="C304" s="18"/>
      <c r="D304" s="18"/>
    </row>
    <row r="305">
      <c r="C305" s="18"/>
      <c r="D305" s="18"/>
    </row>
    <row r="306">
      <c r="C306" s="18"/>
      <c r="D306" s="18"/>
    </row>
    <row r="307">
      <c r="C307" s="18"/>
      <c r="D307" s="18"/>
    </row>
    <row r="308">
      <c r="C308" s="18"/>
      <c r="D308" s="18"/>
    </row>
    <row r="309">
      <c r="C309" s="18"/>
      <c r="D309" s="18"/>
    </row>
    <row r="310">
      <c r="C310" s="18"/>
      <c r="D310" s="18"/>
    </row>
    <row r="311">
      <c r="C311" s="18"/>
      <c r="D311" s="18"/>
    </row>
    <row r="312">
      <c r="C312" s="18"/>
      <c r="D312" s="18"/>
    </row>
    <row r="313">
      <c r="C313" s="18"/>
      <c r="D313" s="18"/>
    </row>
    <row r="314">
      <c r="C314" s="18"/>
      <c r="D314" s="18"/>
    </row>
    <row r="315">
      <c r="C315" s="18"/>
      <c r="D315" s="18"/>
    </row>
    <row r="316">
      <c r="C316" s="18"/>
      <c r="D316" s="18"/>
    </row>
    <row r="317">
      <c r="C317" s="18"/>
      <c r="D317" s="18"/>
    </row>
    <row r="318">
      <c r="C318" s="18"/>
      <c r="D318" s="18"/>
    </row>
    <row r="319">
      <c r="C319" s="18"/>
      <c r="D319" s="18"/>
    </row>
    <row r="320">
      <c r="C320" s="18"/>
      <c r="D320" s="18"/>
    </row>
    <row r="321">
      <c r="C321" s="18"/>
      <c r="D321" s="18"/>
    </row>
    <row r="322">
      <c r="C322" s="18"/>
      <c r="D322" s="18"/>
    </row>
    <row r="323">
      <c r="C323" s="18"/>
      <c r="D323" s="18"/>
    </row>
    <row r="324">
      <c r="C324" s="18"/>
      <c r="D324" s="18"/>
    </row>
    <row r="325">
      <c r="C325" s="18"/>
      <c r="D325" s="18"/>
    </row>
    <row r="326">
      <c r="C326" s="18"/>
      <c r="D326" s="18"/>
    </row>
    <row r="327">
      <c r="C327" s="18"/>
      <c r="D327" s="18"/>
    </row>
    <row r="328">
      <c r="C328" s="18"/>
      <c r="D328" s="18"/>
    </row>
    <row r="329">
      <c r="C329" s="18"/>
      <c r="D329" s="18"/>
    </row>
    <row r="330">
      <c r="C330" s="18"/>
      <c r="D330" s="18"/>
    </row>
    <row r="331">
      <c r="C331" s="18"/>
      <c r="D331" s="18"/>
    </row>
    <row r="332">
      <c r="C332" s="18"/>
      <c r="D332" s="18"/>
    </row>
    <row r="333">
      <c r="C333" s="18"/>
      <c r="D333" s="18"/>
    </row>
    <row r="334">
      <c r="C334" s="18"/>
      <c r="D334" s="18"/>
    </row>
    <row r="335">
      <c r="C335" s="18"/>
      <c r="D335" s="18"/>
    </row>
    <row r="336">
      <c r="C336" s="18"/>
      <c r="D336" s="18"/>
    </row>
    <row r="337">
      <c r="C337" s="18"/>
      <c r="D337" s="18"/>
    </row>
    <row r="338">
      <c r="C338" s="18"/>
      <c r="D338" s="18"/>
    </row>
    <row r="339">
      <c r="C339" s="18"/>
      <c r="D339" s="18"/>
    </row>
    <row r="340">
      <c r="C340" s="18"/>
      <c r="D340" s="18"/>
    </row>
    <row r="341">
      <c r="C341" s="18"/>
      <c r="D341" s="18"/>
    </row>
    <row r="342">
      <c r="C342" s="18"/>
      <c r="D342" s="18"/>
    </row>
    <row r="343">
      <c r="C343" s="18"/>
      <c r="D343" s="18"/>
    </row>
    <row r="344">
      <c r="C344" s="18"/>
      <c r="D344" s="18"/>
    </row>
    <row r="345">
      <c r="C345" s="18"/>
      <c r="D345" s="18"/>
    </row>
    <row r="346">
      <c r="C346" s="18"/>
      <c r="D346" s="18"/>
    </row>
    <row r="347">
      <c r="C347" s="18"/>
      <c r="D347" s="18"/>
    </row>
    <row r="348">
      <c r="C348" s="18"/>
      <c r="D348" s="18"/>
    </row>
    <row r="349">
      <c r="C349" s="18"/>
      <c r="D349" s="18"/>
    </row>
    <row r="350">
      <c r="C350" s="18"/>
      <c r="D350" s="18"/>
    </row>
    <row r="351">
      <c r="C351" s="18"/>
      <c r="D351" s="18"/>
    </row>
    <row r="352">
      <c r="C352" s="18"/>
      <c r="D352" s="18"/>
    </row>
    <row r="353">
      <c r="C353" s="18"/>
      <c r="D353" s="18"/>
    </row>
    <row r="354">
      <c r="C354" s="18"/>
      <c r="D354" s="18"/>
    </row>
    <row r="355">
      <c r="C355" s="18"/>
      <c r="D355" s="18"/>
    </row>
    <row r="356">
      <c r="C356" s="18"/>
      <c r="D356" s="18"/>
    </row>
    <row r="357">
      <c r="C357" s="18"/>
      <c r="D357" s="18"/>
    </row>
    <row r="358">
      <c r="C358" s="18"/>
      <c r="D358" s="18"/>
    </row>
    <row r="359">
      <c r="C359" s="18"/>
      <c r="D359" s="18"/>
    </row>
    <row r="360">
      <c r="C360" s="18"/>
      <c r="D360" s="18"/>
    </row>
    <row r="361">
      <c r="C361" s="18"/>
      <c r="D361" s="18"/>
    </row>
    <row r="362">
      <c r="C362" s="18"/>
      <c r="D362" s="18"/>
    </row>
    <row r="363">
      <c r="C363" s="18"/>
      <c r="D363" s="18"/>
    </row>
    <row r="364">
      <c r="C364" s="18"/>
      <c r="D364" s="18"/>
    </row>
    <row r="365">
      <c r="C365" s="18"/>
      <c r="D365" s="18"/>
    </row>
    <row r="366">
      <c r="C366" s="18"/>
      <c r="D366" s="18"/>
    </row>
    <row r="367">
      <c r="C367" s="18"/>
      <c r="D367" s="18"/>
    </row>
    <row r="368">
      <c r="C368" s="18"/>
      <c r="D368" s="18"/>
    </row>
    <row r="369">
      <c r="C369" s="18"/>
      <c r="D369" s="18"/>
    </row>
    <row r="370">
      <c r="C370" s="18"/>
      <c r="D370" s="18"/>
    </row>
    <row r="371">
      <c r="C371" s="18"/>
      <c r="D371" s="18"/>
    </row>
    <row r="372">
      <c r="C372" s="18"/>
      <c r="D372" s="18"/>
    </row>
    <row r="373">
      <c r="C373" s="18"/>
      <c r="D373" s="18"/>
    </row>
    <row r="374">
      <c r="C374" s="18"/>
      <c r="D374" s="18"/>
    </row>
    <row r="375">
      <c r="C375" s="18"/>
      <c r="D375" s="18"/>
    </row>
    <row r="376">
      <c r="C376" s="18"/>
      <c r="D376" s="18"/>
    </row>
    <row r="377">
      <c r="C377" s="18"/>
      <c r="D377" s="18"/>
    </row>
    <row r="378">
      <c r="C378" s="18"/>
      <c r="D378" s="18"/>
    </row>
    <row r="379">
      <c r="C379" s="18"/>
      <c r="D379" s="18"/>
    </row>
    <row r="380">
      <c r="C380" s="18"/>
      <c r="D380" s="18"/>
    </row>
    <row r="381">
      <c r="C381" s="18"/>
      <c r="D381" s="18"/>
    </row>
    <row r="382">
      <c r="C382" s="18"/>
      <c r="D382" s="18"/>
    </row>
    <row r="383">
      <c r="C383" s="18"/>
      <c r="D383" s="18"/>
    </row>
    <row r="384">
      <c r="C384" s="18"/>
      <c r="D384" s="18"/>
    </row>
    <row r="385">
      <c r="C385" s="18"/>
      <c r="D385" s="18"/>
    </row>
    <row r="386">
      <c r="C386" s="18"/>
      <c r="D386" s="18"/>
    </row>
    <row r="387">
      <c r="C387" s="18"/>
      <c r="D387" s="18"/>
    </row>
    <row r="388">
      <c r="C388" s="18"/>
      <c r="D388" s="18"/>
    </row>
    <row r="389">
      <c r="C389" s="18"/>
      <c r="D389" s="18"/>
    </row>
    <row r="390">
      <c r="C390" s="18"/>
      <c r="D390" s="18"/>
    </row>
    <row r="391">
      <c r="C391" s="18"/>
      <c r="D391" s="18"/>
    </row>
    <row r="392">
      <c r="C392" s="18"/>
      <c r="D392" s="18"/>
    </row>
    <row r="393">
      <c r="C393" s="18"/>
      <c r="D393" s="18"/>
    </row>
    <row r="394">
      <c r="C394" s="18"/>
      <c r="D394" s="18"/>
    </row>
    <row r="395">
      <c r="C395" s="18"/>
      <c r="D395" s="18"/>
    </row>
    <row r="396">
      <c r="C396" s="18"/>
      <c r="D396" s="18"/>
    </row>
    <row r="397">
      <c r="C397" s="18"/>
      <c r="D397" s="18"/>
    </row>
    <row r="398">
      <c r="C398" s="18"/>
      <c r="D398" s="18"/>
    </row>
    <row r="399">
      <c r="C399" s="18"/>
      <c r="D399" s="18"/>
    </row>
    <row r="400">
      <c r="C400" s="18"/>
      <c r="D400" s="18"/>
    </row>
    <row r="401">
      <c r="C401" s="18"/>
      <c r="D401" s="18"/>
    </row>
    <row r="402">
      <c r="C402" s="18"/>
      <c r="D402" s="18"/>
    </row>
    <row r="403">
      <c r="C403" s="18"/>
      <c r="D403" s="18"/>
    </row>
    <row r="404">
      <c r="C404" s="18"/>
      <c r="D404" s="18"/>
    </row>
    <row r="405">
      <c r="C405" s="18"/>
      <c r="D405" s="18"/>
    </row>
    <row r="406">
      <c r="C406" s="18"/>
      <c r="D406" s="18"/>
    </row>
    <row r="407">
      <c r="C407" s="18"/>
      <c r="D407" s="18"/>
    </row>
    <row r="408">
      <c r="C408" s="18"/>
      <c r="D408" s="18"/>
    </row>
    <row r="409">
      <c r="C409" s="18"/>
      <c r="D409" s="18"/>
    </row>
    <row r="410">
      <c r="C410" s="18"/>
      <c r="D410" s="18"/>
    </row>
    <row r="411">
      <c r="C411" s="18"/>
      <c r="D411" s="18"/>
    </row>
    <row r="412">
      <c r="C412" s="18"/>
      <c r="D412" s="18"/>
    </row>
    <row r="413">
      <c r="C413" s="18"/>
      <c r="D413" s="18"/>
    </row>
    <row r="414">
      <c r="C414" s="18"/>
      <c r="D414" s="18"/>
    </row>
    <row r="415">
      <c r="C415" s="18"/>
      <c r="D415" s="18"/>
    </row>
    <row r="416">
      <c r="C416" s="18"/>
      <c r="D416" s="18"/>
    </row>
    <row r="417">
      <c r="C417" s="18"/>
      <c r="D417" s="18"/>
    </row>
    <row r="418">
      <c r="C418" s="18"/>
      <c r="D418" s="18"/>
    </row>
    <row r="419">
      <c r="C419" s="18"/>
      <c r="D419" s="18"/>
    </row>
    <row r="420">
      <c r="C420" s="18"/>
      <c r="D420" s="18"/>
    </row>
    <row r="421">
      <c r="C421" s="18"/>
      <c r="D421" s="18"/>
    </row>
    <row r="422">
      <c r="C422" s="18"/>
      <c r="D422" s="18"/>
    </row>
    <row r="423">
      <c r="C423" s="18"/>
      <c r="D423" s="18"/>
    </row>
    <row r="424">
      <c r="C424" s="18"/>
      <c r="D424" s="18"/>
    </row>
    <row r="425">
      <c r="C425" s="18"/>
      <c r="D425" s="18"/>
    </row>
    <row r="426">
      <c r="C426" s="18"/>
      <c r="D426" s="18"/>
    </row>
    <row r="427">
      <c r="C427" s="18"/>
      <c r="D427" s="18"/>
    </row>
    <row r="428">
      <c r="C428" s="18"/>
      <c r="D428" s="18"/>
    </row>
    <row r="429">
      <c r="C429" s="18"/>
      <c r="D429" s="18"/>
    </row>
    <row r="430">
      <c r="C430" s="18"/>
      <c r="D430" s="18"/>
    </row>
    <row r="431">
      <c r="C431" s="18"/>
      <c r="D431" s="18"/>
    </row>
    <row r="432">
      <c r="C432" s="18"/>
      <c r="D432" s="18"/>
    </row>
    <row r="433">
      <c r="C433" s="18"/>
      <c r="D433" s="18"/>
    </row>
    <row r="434">
      <c r="C434" s="18"/>
      <c r="D434" s="18"/>
    </row>
    <row r="435">
      <c r="C435" s="18"/>
      <c r="D435" s="18"/>
    </row>
    <row r="436">
      <c r="C436" s="18"/>
      <c r="D436" s="18"/>
    </row>
    <row r="437">
      <c r="C437" s="18"/>
      <c r="D437" s="18"/>
    </row>
    <row r="438">
      <c r="C438" s="18"/>
      <c r="D438" s="18"/>
    </row>
    <row r="439">
      <c r="C439" s="18"/>
      <c r="D439" s="18"/>
    </row>
    <row r="440">
      <c r="C440" s="18"/>
      <c r="D440" s="18"/>
    </row>
    <row r="441">
      <c r="C441" s="18"/>
      <c r="D441" s="18"/>
    </row>
    <row r="442">
      <c r="C442" s="18"/>
      <c r="D442" s="18"/>
    </row>
    <row r="443">
      <c r="C443" s="18"/>
      <c r="D443" s="18"/>
    </row>
    <row r="444">
      <c r="C444" s="18"/>
      <c r="D444" s="18"/>
    </row>
    <row r="445">
      <c r="C445" s="18"/>
      <c r="D445" s="18"/>
    </row>
    <row r="446">
      <c r="C446" s="18"/>
      <c r="D446" s="18"/>
    </row>
    <row r="447">
      <c r="C447" s="18"/>
      <c r="D447" s="18"/>
    </row>
    <row r="448">
      <c r="C448" s="18"/>
      <c r="D448" s="18"/>
    </row>
    <row r="449">
      <c r="C449" s="18"/>
      <c r="D449" s="18"/>
    </row>
    <row r="450">
      <c r="C450" s="18"/>
      <c r="D450" s="18"/>
    </row>
    <row r="451">
      <c r="C451" s="18"/>
      <c r="D451" s="18"/>
    </row>
    <row r="452">
      <c r="C452" s="18"/>
      <c r="D452" s="18"/>
    </row>
    <row r="453">
      <c r="C453" s="18"/>
      <c r="D453" s="18"/>
    </row>
    <row r="454">
      <c r="C454" s="18"/>
      <c r="D454" s="18"/>
    </row>
    <row r="455">
      <c r="C455" s="18"/>
      <c r="D455" s="18"/>
    </row>
    <row r="456">
      <c r="C456" s="18"/>
      <c r="D456" s="18"/>
    </row>
    <row r="457">
      <c r="C457" s="18"/>
      <c r="D457" s="18"/>
    </row>
    <row r="458">
      <c r="C458" s="18"/>
      <c r="D458" s="18"/>
    </row>
    <row r="459">
      <c r="C459" s="18"/>
      <c r="D459" s="18"/>
    </row>
    <row r="460">
      <c r="C460" s="18"/>
      <c r="D460" s="18"/>
    </row>
    <row r="461">
      <c r="C461" s="18"/>
      <c r="D461" s="18"/>
    </row>
    <row r="462">
      <c r="C462" s="18"/>
      <c r="D462" s="18"/>
    </row>
    <row r="463">
      <c r="C463" s="18"/>
      <c r="D463" s="18"/>
    </row>
    <row r="464">
      <c r="C464" s="18"/>
      <c r="D464" s="18"/>
    </row>
    <row r="465">
      <c r="C465" s="18"/>
      <c r="D465" s="18"/>
    </row>
    <row r="466">
      <c r="C466" s="18"/>
      <c r="D466" s="18"/>
    </row>
    <row r="467">
      <c r="C467" s="18"/>
      <c r="D467" s="18"/>
    </row>
    <row r="468">
      <c r="C468" s="18"/>
      <c r="D468" s="18"/>
    </row>
    <row r="469">
      <c r="C469" s="18"/>
      <c r="D469" s="18"/>
    </row>
    <row r="470">
      <c r="C470" s="18"/>
      <c r="D470" s="18"/>
    </row>
    <row r="471">
      <c r="C471" s="18"/>
      <c r="D471" s="18"/>
    </row>
    <row r="472">
      <c r="C472" s="18"/>
      <c r="D472" s="18"/>
    </row>
    <row r="473">
      <c r="C473" s="18"/>
      <c r="D473" s="18"/>
    </row>
    <row r="474">
      <c r="C474" s="18"/>
      <c r="D474" s="18"/>
    </row>
    <row r="475">
      <c r="C475" s="18"/>
      <c r="D475" s="18"/>
    </row>
    <row r="476">
      <c r="C476" s="18"/>
      <c r="D476" s="18"/>
    </row>
    <row r="477">
      <c r="C477" s="18"/>
      <c r="D477" s="18"/>
    </row>
    <row r="478">
      <c r="C478" s="18"/>
      <c r="D478" s="18"/>
    </row>
    <row r="479">
      <c r="C479" s="18"/>
      <c r="D479" s="18"/>
    </row>
    <row r="480">
      <c r="C480" s="18"/>
      <c r="D480" s="18"/>
    </row>
    <row r="481">
      <c r="C481" s="18"/>
      <c r="D481" s="18"/>
    </row>
    <row r="482">
      <c r="C482" s="18"/>
      <c r="D482" s="18"/>
    </row>
    <row r="483">
      <c r="C483" s="18"/>
      <c r="D483" s="18"/>
    </row>
    <row r="484">
      <c r="C484" s="18"/>
      <c r="D484" s="18"/>
    </row>
    <row r="485">
      <c r="C485" s="18"/>
      <c r="D485" s="18"/>
    </row>
    <row r="486">
      <c r="C486" s="18"/>
      <c r="D486" s="18"/>
    </row>
    <row r="487">
      <c r="C487" s="18"/>
      <c r="D487" s="18"/>
    </row>
    <row r="488">
      <c r="C488" s="18"/>
      <c r="D488" s="18"/>
    </row>
    <row r="489">
      <c r="C489" s="18"/>
      <c r="D489" s="18"/>
    </row>
    <row r="490">
      <c r="C490" s="18"/>
      <c r="D490" s="18"/>
    </row>
    <row r="491">
      <c r="C491" s="18"/>
      <c r="D491" s="18"/>
    </row>
    <row r="492">
      <c r="C492" s="18"/>
      <c r="D492" s="18"/>
    </row>
    <row r="493">
      <c r="C493" s="18"/>
      <c r="D493" s="18"/>
    </row>
    <row r="494">
      <c r="C494" s="18"/>
      <c r="D494" s="18"/>
    </row>
    <row r="495">
      <c r="C495" s="18"/>
      <c r="D495" s="18"/>
    </row>
    <row r="496">
      <c r="C496" s="18"/>
      <c r="D496" s="18"/>
    </row>
    <row r="497">
      <c r="C497" s="18"/>
      <c r="D497" s="18"/>
    </row>
    <row r="498">
      <c r="C498" s="18"/>
      <c r="D498" s="18"/>
    </row>
    <row r="499">
      <c r="C499" s="18"/>
      <c r="D499" s="18"/>
    </row>
    <row r="500">
      <c r="C500" s="18"/>
      <c r="D500" s="18"/>
    </row>
    <row r="501">
      <c r="C501" s="18"/>
      <c r="D501" s="18"/>
    </row>
    <row r="502">
      <c r="C502" s="18"/>
      <c r="D502" s="18"/>
    </row>
    <row r="503">
      <c r="C503" s="18"/>
      <c r="D503" s="18"/>
    </row>
    <row r="504">
      <c r="C504" s="18"/>
      <c r="D504" s="18"/>
    </row>
    <row r="505">
      <c r="C505" s="18"/>
      <c r="D505" s="18"/>
    </row>
    <row r="506">
      <c r="C506" s="18"/>
      <c r="D506" s="18"/>
    </row>
    <row r="507">
      <c r="C507" s="18"/>
      <c r="D507" s="18"/>
    </row>
    <row r="508">
      <c r="C508" s="18"/>
      <c r="D508" s="18"/>
    </row>
    <row r="509">
      <c r="C509" s="18"/>
      <c r="D509" s="18"/>
    </row>
    <row r="510">
      <c r="C510" s="18"/>
      <c r="D510" s="18"/>
    </row>
    <row r="511">
      <c r="C511" s="18"/>
      <c r="D511" s="18"/>
    </row>
    <row r="512">
      <c r="C512" s="18"/>
      <c r="D512" s="18"/>
    </row>
    <row r="513">
      <c r="C513" s="18"/>
      <c r="D513" s="18"/>
    </row>
    <row r="514">
      <c r="C514" s="18"/>
      <c r="D514" s="18"/>
    </row>
    <row r="515">
      <c r="C515" s="18"/>
      <c r="D515" s="18"/>
    </row>
    <row r="516">
      <c r="C516" s="18"/>
      <c r="D516" s="18"/>
    </row>
    <row r="517">
      <c r="C517" s="18"/>
      <c r="D517" s="18"/>
    </row>
    <row r="518">
      <c r="C518" s="18"/>
      <c r="D518" s="18"/>
    </row>
    <row r="519">
      <c r="C519" s="18"/>
      <c r="D519" s="18"/>
    </row>
    <row r="520">
      <c r="C520" s="18"/>
      <c r="D520" s="18"/>
    </row>
    <row r="521">
      <c r="C521" s="18"/>
      <c r="D521" s="18"/>
    </row>
    <row r="522">
      <c r="C522" s="18"/>
      <c r="D522" s="18"/>
    </row>
    <row r="523">
      <c r="C523" s="18"/>
      <c r="D523" s="18"/>
    </row>
    <row r="524">
      <c r="C524" s="18"/>
      <c r="D524" s="18"/>
    </row>
    <row r="525">
      <c r="C525" s="18"/>
      <c r="D525" s="18"/>
    </row>
    <row r="526">
      <c r="C526" s="18"/>
      <c r="D526" s="18"/>
    </row>
    <row r="527">
      <c r="C527" s="18"/>
      <c r="D527" s="18"/>
    </row>
    <row r="528">
      <c r="C528" s="18"/>
      <c r="D528" s="18"/>
    </row>
    <row r="529">
      <c r="C529" s="18"/>
      <c r="D529" s="18"/>
    </row>
    <row r="530">
      <c r="C530" s="18"/>
      <c r="D530" s="18"/>
    </row>
    <row r="531">
      <c r="C531" s="18"/>
      <c r="D531" s="18"/>
    </row>
    <row r="532">
      <c r="C532" s="18"/>
      <c r="D532" s="18"/>
    </row>
    <row r="533">
      <c r="C533" s="18"/>
      <c r="D533" s="18"/>
    </row>
    <row r="534">
      <c r="C534" s="18"/>
      <c r="D534" s="18"/>
    </row>
    <row r="535">
      <c r="C535" s="18"/>
      <c r="D535" s="18"/>
    </row>
    <row r="536">
      <c r="C536" s="18"/>
      <c r="D536" s="18"/>
    </row>
    <row r="537">
      <c r="C537" s="18"/>
      <c r="D537" s="18"/>
    </row>
    <row r="538">
      <c r="C538" s="18"/>
      <c r="D538" s="18"/>
    </row>
    <row r="539">
      <c r="C539" s="18"/>
      <c r="D539" s="18"/>
    </row>
    <row r="540">
      <c r="C540" s="18"/>
      <c r="D540" s="18"/>
    </row>
    <row r="541">
      <c r="C541" s="18"/>
      <c r="D541" s="18"/>
    </row>
    <row r="542">
      <c r="C542" s="18"/>
      <c r="D542" s="18"/>
    </row>
    <row r="543">
      <c r="C543" s="18"/>
      <c r="D543" s="18"/>
    </row>
    <row r="544">
      <c r="C544" s="18"/>
      <c r="D544" s="18"/>
    </row>
    <row r="545">
      <c r="C545" s="18"/>
      <c r="D545" s="18"/>
    </row>
    <row r="546">
      <c r="C546" s="18"/>
      <c r="D546" s="18"/>
    </row>
    <row r="547">
      <c r="C547" s="18"/>
      <c r="D547" s="18"/>
    </row>
    <row r="548">
      <c r="C548" s="18"/>
      <c r="D548" s="18"/>
    </row>
    <row r="549">
      <c r="C549" s="18"/>
      <c r="D549" s="18"/>
    </row>
    <row r="550">
      <c r="C550" s="18"/>
      <c r="D550" s="18"/>
    </row>
    <row r="551">
      <c r="C551" s="18"/>
      <c r="D551" s="18"/>
    </row>
    <row r="552">
      <c r="C552" s="18"/>
      <c r="D552" s="18"/>
    </row>
    <row r="553">
      <c r="C553" s="18"/>
      <c r="D553" s="18"/>
    </row>
    <row r="554">
      <c r="C554" s="18"/>
      <c r="D554" s="18"/>
    </row>
    <row r="555">
      <c r="C555" s="18"/>
      <c r="D555" s="18"/>
    </row>
    <row r="556">
      <c r="C556" s="18"/>
      <c r="D556" s="18"/>
    </row>
    <row r="557">
      <c r="C557" s="18"/>
      <c r="D557" s="18"/>
    </row>
    <row r="558">
      <c r="C558" s="18"/>
      <c r="D558" s="18"/>
    </row>
    <row r="559">
      <c r="C559" s="18"/>
      <c r="D559" s="18"/>
    </row>
    <row r="560">
      <c r="C560" s="18"/>
      <c r="D560" s="18"/>
    </row>
    <row r="561">
      <c r="C561" s="18"/>
      <c r="D561" s="18"/>
    </row>
    <row r="562">
      <c r="C562" s="18"/>
      <c r="D562" s="18"/>
    </row>
    <row r="563">
      <c r="C563" s="18"/>
      <c r="D563" s="18"/>
    </row>
    <row r="564">
      <c r="C564" s="18"/>
      <c r="D564" s="18"/>
    </row>
    <row r="565">
      <c r="C565" s="18"/>
      <c r="D565" s="18"/>
    </row>
    <row r="566">
      <c r="C566" s="18"/>
      <c r="D566" s="18"/>
    </row>
    <row r="567">
      <c r="C567" s="18"/>
      <c r="D567" s="18"/>
    </row>
    <row r="568">
      <c r="C568" s="18"/>
      <c r="D568" s="18"/>
    </row>
    <row r="569">
      <c r="C569" s="18"/>
      <c r="D569" s="18"/>
    </row>
    <row r="570">
      <c r="C570" s="18"/>
      <c r="D570" s="18"/>
    </row>
    <row r="571">
      <c r="C571" s="18"/>
      <c r="D571" s="18"/>
    </row>
    <row r="572">
      <c r="C572" s="18"/>
      <c r="D572" s="18"/>
    </row>
    <row r="573">
      <c r="C573" s="18"/>
      <c r="D573" s="18"/>
    </row>
    <row r="574">
      <c r="C574" s="18"/>
      <c r="D574" s="18"/>
    </row>
    <row r="575">
      <c r="C575" s="18"/>
      <c r="D575" s="18"/>
    </row>
    <row r="576">
      <c r="C576" s="18"/>
      <c r="D576" s="18"/>
    </row>
    <row r="577">
      <c r="C577" s="18"/>
      <c r="D577" s="18"/>
    </row>
    <row r="578">
      <c r="C578" s="18"/>
      <c r="D578" s="18"/>
    </row>
    <row r="579">
      <c r="C579" s="18"/>
      <c r="D579" s="18"/>
    </row>
    <row r="580">
      <c r="C580" s="18"/>
      <c r="D580" s="18"/>
    </row>
    <row r="581">
      <c r="C581" s="18"/>
      <c r="D581" s="18"/>
    </row>
    <row r="582">
      <c r="C582" s="18"/>
      <c r="D582" s="18"/>
    </row>
    <row r="583">
      <c r="C583" s="18"/>
      <c r="D583" s="18"/>
    </row>
    <row r="584">
      <c r="C584" s="18"/>
      <c r="D584" s="18"/>
    </row>
    <row r="585">
      <c r="C585" s="18"/>
      <c r="D585" s="18"/>
    </row>
    <row r="586">
      <c r="C586" s="18"/>
      <c r="D586" s="18"/>
    </row>
    <row r="587">
      <c r="C587" s="18"/>
      <c r="D587" s="18"/>
    </row>
    <row r="588">
      <c r="C588" s="18"/>
      <c r="D588" s="18"/>
    </row>
    <row r="589">
      <c r="C589" s="18"/>
      <c r="D589" s="18"/>
    </row>
    <row r="590">
      <c r="C590" s="18"/>
      <c r="D590" s="18"/>
    </row>
    <row r="591">
      <c r="C591" s="18"/>
      <c r="D591" s="18"/>
    </row>
    <row r="592">
      <c r="C592" s="18"/>
      <c r="D592" s="18"/>
    </row>
    <row r="593">
      <c r="C593" s="18"/>
      <c r="D593" s="18"/>
    </row>
    <row r="594">
      <c r="C594" s="18"/>
      <c r="D594" s="18"/>
    </row>
    <row r="595">
      <c r="C595" s="18"/>
      <c r="D595" s="18"/>
    </row>
    <row r="596">
      <c r="C596" s="18"/>
      <c r="D596" s="18"/>
    </row>
    <row r="597">
      <c r="C597" s="18"/>
      <c r="D597" s="18"/>
    </row>
    <row r="598">
      <c r="C598" s="18"/>
      <c r="D598" s="18"/>
    </row>
    <row r="599">
      <c r="C599" s="18"/>
      <c r="D599" s="18"/>
    </row>
    <row r="600">
      <c r="C600" s="18"/>
      <c r="D600" s="18"/>
    </row>
    <row r="601">
      <c r="C601" s="18"/>
      <c r="D601" s="18"/>
    </row>
    <row r="602">
      <c r="C602" s="18"/>
      <c r="D602" s="18"/>
    </row>
    <row r="603">
      <c r="C603" s="18"/>
      <c r="D603" s="18"/>
    </row>
    <row r="604">
      <c r="C604" s="18"/>
      <c r="D604" s="18"/>
    </row>
    <row r="605">
      <c r="C605" s="18"/>
      <c r="D605" s="18"/>
    </row>
    <row r="606">
      <c r="C606" s="18"/>
      <c r="D606" s="18"/>
    </row>
    <row r="607">
      <c r="C607" s="18"/>
      <c r="D607" s="18"/>
    </row>
    <row r="608">
      <c r="C608" s="18"/>
      <c r="D608" s="18"/>
    </row>
    <row r="609">
      <c r="C609" s="18"/>
      <c r="D609" s="18"/>
    </row>
    <row r="610">
      <c r="C610" s="18"/>
      <c r="D610" s="18"/>
    </row>
    <row r="611">
      <c r="C611" s="18"/>
      <c r="D611" s="18"/>
    </row>
    <row r="612">
      <c r="C612" s="18"/>
      <c r="D612" s="18"/>
    </row>
    <row r="613">
      <c r="C613" s="18"/>
      <c r="D613" s="18"/>
    </row>
    <row r="614">
      <c r="C614" s="18"/>
      <c r="D614" s="18"/>
    </row>
    <row r="615">
      <c r="C615" s="18"/>
      <c r="D615" s="18"/>
    </row>
    <row r="616">
      <c r="C616" s="18"/>
      <c r="D616" s="18"/>
    </row>
    <row r="617">
      <c r="C617" s="18"/>
      <c r="D617" s="18"/>
    </row>
    <row r="618">
      <c r="C618" s="18"/>
      <c r="D618" s="18"/>
    </row>
    <row r="619">
      <c r="C619" s="18"/>
      <c r="D619" s="18"/>
    </row>
    <row r="620">
      <c r="C620" s="18"/>
      <c r="D620" s="18"/>
    </row>
    <row r="621">
      <c r="C621" s="18"/>
      <c r="D621" s="18"/>
    </row>
    <row r="622">
      <c r="C622" s="18"/>
      <c r="D622" s="18"/>
    </row>
    <row r="623">
      <c r="C623" s="18"/>
      <c r="D623" s="18"/>
    </row>
    <row r="624">
      <c r="C624" s="18"/>
      <c r="D624" s="18"/>
    </row>
    <row r="625">
      <c r="C625" s="18"/>
      <c r="D625" s="18"/>
    </row>
    <row r="626">
      <c r="C626" s="18"/>
      <c r="D626" s="18"/>
    </row>
    <row r="627">
      <c r="C627" s="18"/>
      <c r="D627" s="18"/>
    </row>
    <row r="628">
      <c r="C628" s="18"/>
      <c r="D628" s="18"/>
    </row>
    <row r="629">
      <c r="C629" s="18"/>
      <c r="D629" s="18"/>
    </row>
    <row r="630">
      <c r="C630" s="18"/>
      <c r="D630" s="18"/>
    </row>
    <row r="631">
      <c r="C631" s="18"/>
      <c r="D631" s="18"/>
    </row>
    <row r="632">
      <c r="C632" s="18"/>
      <c r="D632" s="18"/>
    </row>
    <row r="633">
      <c r="C633" s="18"/>
      <c r="D633" s="18"/>
    </row>
    <row r="634">
      <c r="C634" s="18"/>
      <c r="D634" s="18"/>
    </row>
    <row r="635">
      <c r="C635" s="18"/>
      <c r="D635" s="18"/>
    </row>
    <row r="636">
      <c r="C636" s="18"/>
      <c r="D636" s="18"/>
    </row>
    <row r="637">
      <c r="C637" s="18"/>
      <c r="D637" s="18"/>
    </row>
    <row r="638">
      <c r="C638" s="18"/>
      <c r="D638" s="18"/>
    </row>
    <row r="639">
      <c r="C639" s="18"/>
      <c r="D639" s="18"/>
    </row>
    <row r="640">
      <c r="C640" s="18"/>
      <c r="D640" s="18"/>
    </row>
    <row r="641">
      <c r="C641" s="18"/>
      <c r="D641" s="18"/>
    </row>
    <row r="642">
      <c r="C642" s="18"/>
      <c r="D642" s="18"/>
    </row>
    <row r="643">
      <c r="C643" s="18"/>
      <c r="D643" s="18"/>
    </row>
    <row r="644">
      <c r="C644" s="18"/>
      <c r="D644" s="18"/>
    </row>
    <row r="645">
      <c r="C645" s="18"/>
      <c r="D645" s="18"/>
    </row>
    <row r="646">
      <c r="C646" s="18"/>
      <c r="D646" s="18"/>
    </row>
    <row r="647">
      <c r="C647" s="18"/>
      <c r="D647" s="18"/>
    </row>
    <row r="648">
      <c r="C648" s="18"/>
      <c r="D648" s="18"/>
    </row>
    <row r="649">
      <c r="C649" s="18"/>
      <c r="D649" s="18"/>
    </row>
    <row r="650">
      <c r="C650" s="18"/>
      <c r="D650" s="18"/>
    </row>
    <row r="651">
      <c r="C651" s="18"/>
      <c r="D651" s="18"/>
    </row>
    <row r="652">
      <c r="C652" s="18"/>
      <c r="D652" s="18"/>
    </row>
    <row r="653">
      <c r="C653" s="18"/>
      <c r="D653" s="18"/>
    </row>
    <row r="654">
      <c r="C654" s="18"/>
      <c r="D654" s="18"/>
    </row>
    <row r="655">
      <c r="C655" s="18"/>
      <c r="D655" s="18"/>
    </row>
    <row r="656">
      <c r="C656" s="18"/>
      <c r="D656" s="18"/>
    </row>
    <row r="657">
      <c r="C657" s="18"/>
      <c r="D657" s="18"/>
    </row>
    <row r="658">
      <c r="C658" s="18"/>
      <c r="D658" s="18"/>
    </row>
    <row r="659">
      <c r="C659" s="18"/>
      <c r="D659" s="18"/>
    </row>
    <row r="660">
      <c r="C660" s="18"/>
      <c r="D660" s="18"/>
    </row>
    <row r="661">
      <c r="C661" s="18"/>
      <c r="D661" s="18"/>
    </row>
    <row r="662">
      <c r="C662" s="18"/>
      <c r="D662" s="18"/>
    </row>
    <row r="663">
      <c r="C663" s="18"/>
      <c r="D663" s="18"/>
    </row>
    <row r="664">
      <c r="C664" s="18"/>
      <c r="D664" s="18"/>
    </row>
    <row r="665">
      <c r="C665" s="18"/>
      <c r="D665" s="18"/>
    </row>
    <row r="666">
      <c r="C666" s="18"/>
      <c r="D666" s="18"/>
    </row>
    <row r="667">
      <c r="C667" s="18"/>
      <c r="D667" s="18"/>
    </row>
    <row r="668">
      <c r="C668" s="18"/>
      <c r="D668" s="18"/>
    </row>
    <row r="669">
      <c r="C669" s="18"/>
      <c r="D669" s="18"/>
    </row>
    <row r="670">
      <c r="C670" s="18"/>
      <c r="D670" s="18"/>
    </row>
    <row r="671">
      <c r="C671" s="18"/>
      <c r="D671" s="18"/>
    </row>
    <row r="672">
      <c r="C672" s="18"/>
      <c r="D672" s="18"/>
    </row>
    <row r="673">
      <c r="C673" s="18"/>
      <c r="D673" s="18"/>
    </row>
    <row r="674">
      <c r="C674" s="18"/>
      <c r="D674" s="18"/>
    </row>
    <row r="675">
      <c r="C675" s="18"/>
      <c r="D675" s="18"/>
    </row>
    <row r="676">
      <c r="C676" s="18"/>
      <c r="D676" s="18"/>
    </row>
    <row r="677">
      <c r="C677" s="18"/>
      <c r="D677" s="18"/>
    </row>
    <row r="678">
      <c r="C678" s="18"/>
      <c r="D678" s="18"/>
    </row>
    <row r="679">
      <c r="C679" s="18"/>
      <c r="D679" s="18"/>
    </row>
    <row r="680">
      <c r="C680" s="18"/>
      <c r="D680" s="18"/>
    </row>
    <row r="681">
      <c r="C681" s="18"/>
      <c r="D681" s="18"/>
    </row>
    <row r="682">
      <c r="C682" s="18"/>
      <c r="D682" s="18"/>
    </row>
    <row r="683">
      <c r="C683" s="18"/>
      <c r="D683" s="18"/>
    </row>
    <row r="684">
      <c r="C684" s="18"/>
      <c r="D684" s="18"/>
    </row>
    <row r="685">
      <c r="C685" s="18"/>
      <c r="D685" s="18"/>
    </row>
    <row r="686">
      <c r="C686" s="18"/>
      <c r="D686" s="18"/>
    </row>
    <row r="687">
      <c r="C687" s="18"/>
      <c r="D687" s="18"/>
    </row>
    <row r="688">
      <c r="C688" s="18"/>
      <c r="D688" s="18"/>
    </row>
    <row r="689">
      <c r="C689" s="18"/>
      <c r="D689" s="18"/>
    </row>
    <row r="690">
      <c r="C690" s="18"/>
      <c r="D690" s="18"/>
    </row>
    <row r="691">
      <c r="C691" s="18"/>
      <c r="D691" s="18"/>
    </row>
    <row r="692">
      <c r="C692" s="18"/>
      <c r="D692" s="18"/>
    </row>
    <row r="693">
      <c r="C693" s="18"/>
      <c r="D693" s="18"/>
    </row>
    <row r="694">
      <c r="C694" s="18"/>
      <c r="D694" s="18"/>
    </row>
    <row r="695">
      <c r="C695" s="18"/>
      <c r="D695" s="18"/>
    </row>
    <row r="696">
      <c r="C696" s="18"/>
      <c r="D696" s="18"/>
    </row>
    <row r="697">
      <c r="C697" s="18"/>
      <c r="D697" s="18"/>
    </row>
    <row r="698">
      <c r="C698" s="18"/>
      <c r="D698" s="18"/>
    </row>
    <row r="699">
      <c r="C699" s="18"/>
      <c r="D699" s="18"/>
    </row>
    <row r="700">
      <c r="C700" s="18"/>
      <c r="D700" s="18"/>
    </row>
    <row r="701">
      <c r="C701" s="18"/>
      <c r="D701" s="18"/>
    </row>
    <row r="702">
      <c r="C702" s="18"/>
      <c r="D702" s="18"/>
    </row>
    <row r="703">
      <c r="C703" s="18"/>
      <c r="D703" s="18"/>
    </row>
    <row r="704">
      <c r="C704" s="18"/>
      <c r="D704" s="18"/>
    </row>
    <row r="705">
      <c r="C705" s="18"/>
      <c r="D705" s="18"/>
    </row>
    <row r="706">
      <c r="C706" s="18"/>
      <c r="D706" s="18"/>
    </row>
    <row r="707">
      <c r="C707" s="18"/>
      <c r="D707" s="18"/>
    </row>
    <row r="708">
      <c r="C708" s="18"/>
      <c r="D708" s="18"/>
    </row>
    <row r="709">
      <c r="C709" s="18"/>
      <c r="D709" s="18"/>
    </row>
    <row r="710">
      <c r="C710" s="18"/>
      <c r="D710" s="18"/>
    </row>
    <row r="711">
      <c r="C711" s="18"/>
      <c r="D711" s="18"/>
    </row>
    <row r="712">
      <c r="C712" s="18"/>
      <c r="D712" s="18"/>
    </row>
    <row r="713">
      <c r="C713" s="18"/>
      <c r="D713" s="18"/>
    </row>
    <row r="714">
      <c r="C714" s="18"/>
      <c r="D714" s="18"/>
    </row>
    <row r="715">
      <c r="C715" s="18"/>
      <c r="D715" s="18"/>
    </row>
    <row r="716">
      <c r="C716" s="18"/>
      <c r="D716" s="18"/>
    </row>
    <row r="717">
      <c r="C717" s="18"/>
      <c r="D717" s="18"/>
    </row>
    <row r="718">
      <c r="C718" s="18"/>
      <c r="D718" s="18"/>
    </row>
    <row r="719">
      <c r="C719" s="18"/>
      <c r="D719" s="18"/>
    </row>
    <row r="720">
      <c r="C720" s="18"/>
      <c r="D720" s="18"/>
    </row>
    <row r="721">
      <c r="C721" s="18"/>
      <c r="D721" s="18"/>
    </row>
    <row r="722">
      <c r="C722" s="18"/>
      <c r="D722" s="18"/>
    </row>
    <row r="723">
      <c r="C723" s="18"/>
      <c r="D723" s="18"/>
    </row>
    <row r="724">
      <c r="C724" s="18"/>
      <c r="D724" s="18"/>
    </row>
    <row r="725">
      <c r="C725" s="18"/>
      <c r="D725" s="18"/>
    </row>
    <row r="726">
      <c r="C726" s="18"/>
      <c r="D726" s="18"/>
    </row>
    <row r="727">
      <c r="C727" s="18"/>
      <c r="D727" s="18"/>
    </row>
    <row r="728">
      <c r="C728" s="18"/>
      <c r="D728" s="18"/>
    </row>
    <row r="729">
      <c r="C729" s="18"/>
      <c r="D729" s="18"/>
    </row>
    <row r="730">
      <c r="C730" s="18"/>
      <c r="D730" s="18"/>
    </row>
    <row r="731">
      <c r="C731" s="18"/>
      <c r="D731" s="18"/>
    </row>
    <row r="732">
      <c r="C732" s="18"/>
      <c r="D732" s="18"/>
    </row>
    <row r="733">
      <c r="C733" s="18"/>
      <c r="D733" s="18"/>
    </row>
    <row r="734">
      <c r="C734" s="18"/>
      <c r="D734" s="18"/>
    </row>
    <row r="735">
      <c r="C735" s="18"/>
      <c r="D735" s="18"/>
    </row>
    <row r="736">
      <c r="C736" s="18"/>
      <c r="D736" s="18"/>
    </row>
    <row r="737">
      <c r="C737" s="18"/>
      <c r="D737" s="18"/>
    </row>
    <row r="738">
      <c r="C738" s="18"/>
      <c r="D738" s="18"/>
    </row>
    <row r="739">
      <c r="C739" s="18"/>
      <c r="D739" s="18"/>
    </row>
    <row r="740">
      <c r="C740" s="18"/>
      <c r="D740" s="18"/>
    </row>
    <row r="741">
      <c r="C741" s="18"/>
      <c r="D741" s="18"/>
    </row>
    <row r="742">
      <c r="C742" s="18"/>
      <c r="D742" s="18"/>
    </row>
    <row r="743">
      <c r="C743" s="18"/>
      <c r="D743" s="18"/>
    </row>
    <row r="744">
      <c r="C744" s="18"/>
      <c r="D744" s="18"/>
    </row>
    <row r="745">
      <c r="C745" s="18"/>
      <c r="D745" s="18"/>
    </row>
    <row r="746">
      <c r="C746" s="18"/>
      <c r="D746" s="18"/>
    </row>
    <row r="747">
      <c r="C747" s="18"/>
      <c r="D747" s="18"/>
    </row>
    <row r="748">
      <c r="C748" s="18"/>
      <c r="D748" s="18"/>
    </row>
    <row r="749">
      <c r="C749" s="18"/>
      <c r="D749" s="18"/>
    </row>
    <row r="750">
      <c r="C750" s="18"/>
      <c r="D750" s="18"/>
    </row>
    <row r="751">
      <c r="C751" s="18"/>
      <c r="D751" s="18"/>
    </row>
    <row r="752">
      <c r="C752" s="18"/>
      <c r="D752" s="18"/>
    </row>
    <row r="753">
      <c r="C753" s="18"/>
      <c r="D753" s="18"/>
    </row>
    <row r="754">
      <c r="C754" s="18"/>
      <c r="D754" s="18"/>
    </row>
    <row r="755">
      <c r="C755" s="18"/>
      <c r="D755" s="18"/>
    </row>
    <row r="756">
      <c r="C756" s="18"/>
      <c r="D756" s="18"/>
    </row>
    <row r="757">
      <c r="C757" s="18"/>
      <c r="D757" s="18"/>
    </row>
    <row r="758">
      <c r="C758" s="18"/>
      <c r="D758" s="18"/>
    </row>
    <row r="759">
      <c r="C759" s="18"/>
      <c r="D759" s="18"/>
    </row>
    <row r="760">
      <c r="C760" s="18"/>
      <c r="D760" s="18"/>
    </row>
    <row r="761">
      <c r="C761" s="18"/>
      <c r="D761" s="18"/>
    </row>
    <row r="762">
      <c r="C762" s="18"/>
      <c r="D762" s="18"/>
    </row>
    <row r="763">
      <c r="C763" s="18"/>
      <c r="D763" s="18"/>
    </row>
    <row r="764">
      <c r="C764" s="18"/>
      <c r="D764" s="18"/>
    </row>
    <row r="765">
      <c r="C765" s="18"/>
      <c r="D765" s="18"/>
    </row>
    <row r="766">
      <c r="C766" s="18"/>
      <c r="D766" s="18"/>
    </row>
    <row r="767">
      <c r="C767" s="18"/>
      <c r="D767" s="18"/>
    </row>
    <row r="768">
      <c r="C768" s="18"/>
      <c r="D768" s="18"/>
    </row>
    <row r="769">
      <c r="C769" s="18"/>
      <c r="D769" s="18"/>
    </row>
    <row r="770">
      <c r="C770" s="18"/>
      <c r="D770" s="18"/>
    </row>
    <row r="771">
      <c r="C771" s="18"/>
      <c r="D771" s="18"/>
    </row>
    <row r="772">
      <c r="C772" s="18"/>
      <c r="D772" s="18"/>
    </row>
    <row r="773">
      <c r="C773" s="18"/>
      <c r="D773" s="18"/>
    </row>
    <row r="774">
      <c r="C774" s="18"/>
      <c r="D774" s="18"/>
    </row>
    <row r="775">
      <c r="C775" s="18"/>
      <c r="D775" s="18"/>
    </row>
    <row r="776">
      <c r="C776" s="18"/>
      <c r="D776" s="18"/>
    </row>
    <row r="777">
      <c r="C777" s="18"/>
      <c r="D777" s="18"/>
    </row>
    <row r="778">
      <c r="C778" s="18"/>
      <c r="D778" s="18"/>
    </row>
    <row r="779">
      <c r="C779" s="18"/>
      <c r="D779" s="18"/>
    </row>
    <row r="780">
      <c r="C780" s="18"/>
      <c r="D780" s="18"/>
    </row>
    <row r="781">
      <c r="C781" s="18"/>
      <c r="D781" s="18"/>
    </row>
    <row r="782">
      <c r="C782" s="18"/>
      <c r="D782" s="18"/>
    </row>
    <row r="783">
      <c r="C783" s="18"/>
      <c r="D783" s="18"/>
    </row>
    <row r="784">
      <c r="C784" s="18"/>
      <c r="D784" s="18"/>
    </row>
    <row r="785">
      <c r="C785" s="18"/>
      <c r="D785" s="18"/>
    </row>
    <row r="786">
      <c r="C786" s="18"/>
      <c r="D786" s="18"/>
    </row>
    <row r="787">
      <c r="C787" s="18"/>
      <c r="D787" s="18"/>
    </row>
    <row r="788">
      <c r="C788" s="18"/>
      <c r="D788" s="18"/>
    </row>
    <row r="789">
      <c r="C789" s="18"/>
      <c r="D789" s="18"/>
    </row>
    <row r="790">
      <c r="C790" s="18"/>
      <c r="D790" s="18"/>
    </row>
    <row r="791">
      <c r="C791" s="18"/>
      <c r="D791" s="18"/>
    </row>
    <row r="792">
      <c r="C792" s="18"/>
      <c r="D792" s="18"/>
    </row>
    <row r="793">
      <c r="C793" s="18"/>
      <c r="D793" s="18"/>
    </row>
    <row r="794">
      <c r="C794" s="18"/>
      <c r="D794" s="18"/>
    </row>
    <row r="795">
      <c r="C795" s="18"/>
      <c r="D795" s="18"/>
    </row>
    <row r="796">
      <c r="C796" s="18"/>
      <c r="D796" s="18"/>
    </row>
    <row r="797">
      <c r="C797" s="18"/>
      <c r="D797" s="18"/>
    </row>
    <row r="798">
      <c r="C798" s="18"/>
      <c r="D798" s="18"/>
    </row>
    <row r="799">
      <c r="C799" s="18"/>
      <c r="D799" s="18"/>
    </row>
    <row r="800">
      <c r="C800" s="18"/>
      <c r="D800" s="18"/>
    </row>
    <row r="801">
      <c r="C801" s="18"/>
      <c r="D801" s="18"/>
    </row>
    <row r="802">
      <c r="C802" s="18"/>
      <c r="D802" s="18"/>
    </row>
    <row r="803">
      <c r="C803" s="18"/>
      <c r="D803" s="18"/>
    </row>
    <row r="804">
      <c r="C804" s="18"/>
      <c r="D804" s="18"/>
    </row>
    <row r="805">
      <c r="C805" s="18"/>
      <c r="D805" s="18"/>
    </row>
    <row r="806">
      <c r="C806" s="18"/>
      <c r="D806" s="18"/>
    </row>
    <row r="807">
      <c r="C807" s="18"/>
      <c r="D807" s="18"/>
    </row>
    <row r="808">
      <c r="C808" s="18"/>
      <c r="D808" s="18"/>
    </row>
    <row r="809">
      <c r="C809" s="18"/>
      <c r="D809" s="18"/>
    </row>
    <row r="810">
      <c r="C810" s="18"/>
      <c r="D810" s="18"/>
    </row>
    <row r="811">
      <c r="C811" s="18"/>
      <c r="D811" s="18"/>
    </row>
    <row r="812">
      <c r="C812" s="18"/>
      <c r="D812" s="18"/>
    </row>
    <row r="813">
      <c r="C813" s="18"/>
      <c r="D813" s="18"/>
    </row>
    <row r="814">
      <c r="C814" s="18"/>
      <c r="D814" s="18"/>
    </row>
    <row r="815">
      <c r="C815" s="18"/>
      <c r="D815" s="18"/>
    </row>
    <row r="816">
      <c r="C816" s="18"/>
      <c r="D816" s="18"/>
    </row>
    <row r="817">
      <c r="C817" s="18"/>
      <c r="D817" s="18"/>
    </row>
    <row r="818">
      <c r="C818" s="18"/>
      <c r="D818" s="18"/>
    </row>
    <row r="819">
      <c r="C819" s="18"/>
      <c r="D819" s="18"/>
    </row>
    <row r="820">
      <c r="C820" s="18"/>
      <c r="D820" s="18"/>
    </row>
    <row r="821">
      <c r="C821" s="18"/>
      <c r="D821" s="18"/>
    </row>
    <row r="822">
      <c r="C822" s="18"/>
      <c r="D822" s="18"/>
    </row>
    <row r="823">
      <c r="C823" s="18"/>
      <c r="D823" s="18"/>
    </row>
    <row r="824">
      <c r="C824" s="18"/>
      <c r="D824" s="18"/>
    </row>
    <row r="825">
      <c r="C825" s="18"/>
      <c r="D825" s="18"/>
    </row>
    <row r="826">
      <c r="C826" s="18"/>
      <c r="D826" s="18"/>
    </row>
    <row r="827">
      <c r="C827" s="18"/>
      <c r="D827" s="18"/>
    </row>
    <row r="828">
      <c r="C828" s="18"/>
      <c r="D828" s="18"/>
    </row>
    <row r="829">
      <c r="C829" s="18"/>
      <c r="D829" s="18"/>
    </row>
    <row r="830">
      <c r="C830" s="18"/>
      <c r="D830" s="18"/>
    </row>
    <row r="831">
      <c r="C831" s="18"/>
      <c r="D831" s="18"/>
    </row>
    <row r="832">
      <c r="C832" s="18"/>
      <c r="D832" s="18"/>
    </row>
    <row r="833">
      <c r="C833" s="18"/>
      <c r="D833" s="18"/>
    </row>
    <row r="834">
      <c r="C834" s="18"/>
      <c r="D834" s="18"/>
    </row>
    <row r="835">
      <c r="C835" s="18"/>
      <c r="D835" s="18"/>
    </row>
    <row r="836">
      <c r="C836" s="18"/>
      <c r="D836" s="18"/>
    </row>
    <row r="837">
      <c r="C837" s="18"/>
      <c r="D837" s="18"/>
    </row>
    <row r="838">
      <c r="C838" s="18"/>
      <c r="D838" s="18"/>
    </row>
    <row r="839">
      <c r="C839" s="18"/>
      <c r="D839" s="18"/>
    </row>
    <row r="840">
      <c r="C840" s="18"/>
      <c r="D840" s="18"/>
    </row>
    <row r="841">
      <c r="C841" s="18"/>
      <c r="D841" s="18"/>
    </row>
    <row r="842">
      <c r="C842" s="18"/>
      <c r="D842" s="18"/>
    </row>
    <row r="843">
      <c r="C843" s="18"/>
      <c r="D843" s="18"/>
    </row>
    <row r="844">
      <c r="C844" s="18"/>
      <c r="D844" s="18"/>
    </row>
    <row r="845">
      <c r="C845" s="18"/>
      <c r="D845" s="18"/>
    </row>
    <row r="846">
      <c r="C846" s="18"/>
      <c r="D846" s="18"/>
    </row>
    <row r="847">
      <c r="C847" s="18"/>
      <c r="D847" s="18"/>
    </row>
    <row r="848">
      <c r="C848" s="18"/>
      <c r="D848" s="18"/>
    </row>
    <row r="849">
      <c r="C849" s="18"/>
      <c r="D849" s="18"/>
    </row>
    <row r="850">
      <c r="C850" s="18"/>
      <c r="D850" s="18"/>
    </row>
    <row r="851">
      <c r="C851" s="18"/>
      <c r="D851" s="18"/>
    </row>
    <row r="852">
      <c r="C852" s="18"/>
      <c r="D852" s="18"/>
    </row>
    <row r="853">
      <c r="C853" s="18"/>
      <c r="D853" s="18"/>
    </row>
    <row r="854">
      <c r="C854" s="18"/>
      <c r="D854" s="18"/>
    </row>
    <row r="855">
      <c r="C855" s="18"/>
      <c r="D855" s="18"/>
    </row>
    <row r="856">
      <c r="C856" s="18"/>
      <c r="D856" s="18"/>
    </row>
    <row r="857">
      <c r="C857" s="18"/>
      <c r="D857" s="18"/>
    </row>
    <row r="858">
      <c r="C858" s="18"/>
      <c r="D858" s="18"/>
    </row>
    <row r="859">
      <c r="C859" s="18"/>
      <c r="D859" s="18"/>
    </row>
    <row r="860">
      <c r="C860" s="18"/>
      <c r="D860" s="18"/>
    </row>
    <row r="861">
      <c r="C861" s="18"/>
      <c r="D861" s="18"/>
    </row>
    <row r="862">
      <c r="C862" s="18"/>
      <c r="D862" s="18"/>
    </row>
    <row r="863">
      <c r="C863" s="18"/>
      <c r="D863" s="18"/>
    </row>
    <row r="864">
      <c r="C864" s="18"/>
      <c r="D864" s="18"/>
    </row>
    <row r="865">
      <c r="C865" s="18"/>
      <c r="D865" s="18"/>
    </row>
    <row r="866">
      <c r="C866" s="18"/>
      <c r="D866" s="18"/>
    </row>
    <row r="867">
      <c r="C867" s="18"/>
      <c r="D867" s="18"/>
    </row>
    <row r="868">
      <c r="C868" s="18"/>
      <c r="D868" s="18"/>
    </row>
    <row r="869">
      <c r="C869" s="18"/>
      <c r="D869" s="18"/>
    </row>
    <row r="870">
      <c r="C870" s="18"/>
      <c r="D870" s="18"/>
    </row>
    <row r="871">
      <c r="C871" s="18"/>
      <c r="D871" s="18"/>
    </row>
    <row r="872">
      <c r="C872" s="18"/>
      <c r="D872" s="18"/>
    </row>
    <row r="873">
      <c r="C873" s="18"/>
      <c r="D873" s="18"/>
    </row>
    <row r="874">
      <c r="C874" s="18"/>
      <c r="D874" s="18"/>
    </row>
    <row r="875">
      <c r="C875" s="18"/>
      <c r="D875" s="18"/>
    </row>
    <row r="876">
      <c r="C876" s="18"/>
      <c r="D876" s="18"/>
    </row>
    <row r="877">
      <c r="C877" s="18"/>
      <c r="D877" s="18"/>
    </row>
    <row r="878">
      <c r="C878" s="18"/>
      <c r="D878" s="18"/>
    </row>
    <row r="879">
      <c r="C879" s="18"/>
      <c r="D879" s="18"/>
    </row>
    <row r="880">
      <c r="C880" s="18"/>
      <c r="D880" s="18"/>
    </row>
    <row r="881">
      <c r="C881" s="18"/>
      <c r="D881" s="18"/>
    </row>
    <row r="882">
      <c r="C882" s="18"/>
      <c r="D882" s="18"/>
    </row>
    <row r="883">
      <c r="C883" s="18"/>
      <c r="D883" s="18"/>
    </row>
    <row r="884">
      <c r="C884" s="18"/>
      <c r="D884" s="18"/>
    </row>
    <row r="885">
      <c r="C885" s="18"/>
      <c r="D885" s="18"/>
    </row>
    <row r="886">
      <c r="C886" s="18"/>
      <c r="D886" s="18"/>
    </row>
    <row r="887">
      <c r="C887" s="18"/>
      <c r="D887" s="18"/>
    </row>
    <row r="888">
      <c r="C888" s="18"/>
      <c r="D888" s="18"/>
    </row>
    <row r="889">
      <c r="C889" s="18"/>
      <c r="D889" s="18"/>
    </row>
    <row r="890">
      <c r="C890" s="18"/>
      <c r="D890" s="18"/>
    </row>
    <row r="891">
      <c r="C891" s="18"/>
      <c r="D891" s="18"/>
    </row>
    <row r="892">
      <c r="C892" s="18"/>
      <c r="D892" s="18"/>
    </row>
    <row r="893">
      <c r="C893" s="18"/>
      <c r="D893" s="18"/>
    </row>
    <row r="894">
      <c r="C894" s="18"/>
      <c r="D894" s="18"/>
    </row>
    <row r="895">
      <c r="C895" s="18"/>
      <c r="D895" s="18"/>
    </row>
    <row r="896">
      <c r="C896" s="18"/>
      <c r="D896" s="18"/>
    </row>
    <row r="897">
      <c r="C897" s="18"/>
      <c r="D897" s="18"/>
    </row>
    <row r="898">
      <c r="C898" s="18"/>
      <c r="D898" s="18"/>
    </row>
    <row r="899">
      <c r="C899" s="18"/>
      <c r="D899" s="18"/>
    </row>
    <row r="900">
      <c r="C900" s="18"/>
      <c r="D900" s="18"/>
    </row>
    <row r="901">
      <c r="C901" s="18"/>
      <c r="D901" s="18"/>
    </row>
    <row r="902">
      <c r="C902" s="18"/>
      <c r="D902" s="18"/>
    </row>
    <row r="903">
      <c r="C903" s="18"/>
      <c r="D903" s="18"/>
    </row>
    <row r="904">
      <c r="C904" s="18"/>
      <c r="D904" s="18"/>
    </row>
    <row r="905">
      <c r="C905" s="18"/>
      <c r="D905" s="18"/>
    </row>
    <row r="906">
      <c r="C906" s="18"/>
      <c r="D906" s="18"/>
    </row>
    <row r="907">
      <c r="C907" s="18"/>
      <c r="D907" s="18"/>
    </row>
    <row r="908">
      <c r="C908" s="18"/>
      <c r="D908" s="18"/>
    </row>
    <row r="909">
      <c r="C909" s="18"/>
      <c r="D909" s="18"/>
    </row>
    <row r="910">
      <c r="C910" s="18"/>
      <c r="D910" s="18"/>
    </row>
    <row r="911">
      <c r="C911" s="18"/>
      <c r="D911" s="18"/>
    </row>
    <row r="912">
      <c r="C912" s="18"/>
      <c r="D912" s="18"/>
    </row>
    <row r="913">
      <c r="C913" s="18"/>
      <c r="D913" s="18"/>
    </row>
    <row r="914">
      <c r="C914" s="18"/>
      <c r="D914" s="18"/>
    </row>
    <row r="915">
      <c r="C915" s="18"/>
      <c r="D915" s="18"/>
    </row>
    <row r="916">
      <c r="C916" s="18"/>
      <c r="D916" s="18"/>
    </row>
    <row r="917">
      <c r="C917" s="18"/>
      <c r="D917" s="18"/>
    </row>
    <row r="918">
      <c r="C918" s="18"/>
      <c r="D918" s="18"/>
    </row>
    <row r="919">
      <c r="C919" s="18"/>
      <c r="D919" s="18"/>
    </row>
    <row r="920">
      <c r="C920" s="18"/>
      <c r="D920" s="18"/>
    </row>
    <row r="921">
      <c r="C921" s="18"/>
      <c r="D921" s="18"/>
    </row>
    <row r="922">
      <c r="C922" s="18"/>
      <c r="D922" s="18"/>
    </row>
    <row r="923">
      <c r="C923" s="18"/>
      <c r="D923" s="18"/>
    </row>
    <row r="924">
      <c r="C924" s="18"/>
      <c r="D924" s="18"/>
    </row>
    <row r="925">
      <c r="C925" s="18"/>
      <c r="D925" s="18"/>
    </row>
    <row r="926">
      <c r="C926" s="18"/>
      <c r="D926" s="18"/>
    </row>
    <row r="927">
      <c r="C927" s="18"/>
      <c r="D927" s="18"/>
    </row>
    <row r="928">
      <c r="C928" s="18"/>
      <c r="D928" s="18"/>
    </row>
    <row r="929">
      <c r="C929" s="18"/>
      <c r="D929" s="18"/>
    </row>
    <row r="930">
      <c r="C930" s="18"/>
      <c r="D930" s="18"/>
    </row>
    <row r="931">
      <c r="C931" s="18"/>
      <c r="D931" s="18"/>
    </row>
    <row r="932">
      <c r="C932" s="18"/>
      <c r="D932" s="18"/>
    </row>
    <row r="933">
      <c r="C933" s="18"/>
      <c r="D933" s="18"/>
    </row>
    <row r="934">
      <c r="C934" s="18"/>
      <c r="D934" s="18"/>
    </row>
    <row r="935">
      <c r="C935" s="18"/>
      <c r="D935" s="18"/>
    </row>
    <row r="936">
      <c r="C936" s="18"/>
      <c r="D936" s="18"/>
    </row>
    <row r="937">
      <c r="C937" s="18"/>
      <c r="D937" s="18"/>
    </row>
    <row r="938">
      <c r="C938" s="18"/>
      <c r="D938" s="18"/>
    </row>
    <row r="939">
      <c r="C939" s="18"/>
      <c r="D939" s="18"/>
    </row>
    <row r="940">
      <c r="C940" s="18"/>
      <c r="D940" s="18"/>
    </row>
    <row r="941">
      <c r="C941" s="18"/>
      <c r="D941" s="18"/>
    </row>
    <row r="942">
      <c r="C942" s="18"/>
      <c r="D942" s="18"/>
    </row>
    <row r="943">
      <c r="C943" s="18"/>
      <c r="D943" s="18"/>
    </row>
    <row r="944">
      <c r="C944" s="18"/>
      <c r="D944" s="18"/>
    </row>
    <row r="945">
      <c r="C945" s="18"/>
      <c r="D945" s="18"/>
    </row>
    <row r="946">
      <c r="C946" s="18"/>
      <c r="D946" s="18"/>
    </row>
    <row r="947">
      <c r="C947" s="18"/>
      <c r="D947" s="18"/>
    </row>
    <row r="948">
      <c r="C948" s="18"/>
      <c r="D948" s="18"/>
    </row>
    <row r="949">
      <c r="C949" s="18"/>
      <c r="D949" s="18"/>
    </row>
    <row r="950">
      <c r="C950" s="18"/>
      <c r="D950" s="18"/>
    </row>
    <row r="951">
      <c r="C951" s="18"/>
      <c r="D951" s="18"/>
    </row>
    <row r="952">
      <c r="C952" s="18"/>
      <c r="D952" s="18"/>
    </row>
    <row r="953">
      <c r="C953" s="18"/>
      <c r="D953" s="18"/>
    </row>
    <row r="954">
      <c r="C954" s="18"/>
      <c r="D954" s="18"/>
    </row>
    <row r="955">
      <c r="C955" s="18"/>
      <c r="D955" s="18"/>
    </row>
    <row r="956">
      <c r="C956" s="18"/>
      <c r="D956" s="18"/>
    </row>
    <row r="957">
      <c r="C957" s="18"/>
      <c r="D957" s="18"/>
    </row>
    <row r="958">
      <c r="C958" s="18"/>
      <c r="D958" s="18"/>
    </row>
    <row r="959">
      <c r="C959" s="18"/>
      <c r="D959" s="18"/>
    </row>
    <row r="960">
      <c r="C960" s="18"/>
      <c r="D960" s="18"/>
    </row>
    <row r="961">
      <c r="C961" s="18"/>
      <c r="D961" s="18"/>
    </row>
    <row r="962">
      <c r="C962" s="18"/>
      <c r="D962" s="18"/>
    </row>
    <row r="963">
      <c r="C963" s="18"/>
      <c r="D963" s="18"/>
    </row>
    <row r="964">
      <c r="C964" s="18"/>
      <c r="D964" s="18"/>
    </row>
    <row r="965">
      <c r="C965" s="18"/>
      <c r="D965" s="18"/>
    </row>
    <row r="966">
      <c r="C966" s="18"/>
      <c r="D966" s="18"/>
    </row>
    <row r="967">
      <c r="C967" s="18"/>
      <c r="D967" s="18"/>
    </row>
    <row r="968">
      <c r="C968" s="18"/>
      <c r="D968" s="18"/>
    </row>
    <row r="969">
      <c r="C969" s="18"/>
      <c r="D969" s="18"/>
    </row>
    <row r="970">
      <c r="C970" s="18"/>
      <c r="D970" s="18"/>
    </row>
    <row r="971">
      <c r="C971" s="18"/>
      <c r="D971" s="18"/>
    </row>
    <row r="972">
      <c r="C972" s="18"/>
      <c r="D972" s="18"/>
    </row>
    <row r="973">
      <c r="C973" s="18"/>
      <c r="D973" s="18"/>
    </row>
    <row r="974">
      <c r="C974" s="18"/>
      <c r="D974" s="18"/>
    </row>
    <row r="975">
      <c r="C975" s="18"/>
      <c r="D975" s="18"/>
    </row>
    <row r="976">
      <c r="C976" s="18"/>
      <c r="D976" s="18"/>
    </row>
    <row r="977">
      <c r="C977" s="18"/>
      <c r="D977" s="18"/>
    </row>
    <row r="978">
      <c r="C978" s="18"/>
      <c r="D978" s="18"/>
    </row>
    <row r="979">
      <c r="C979" s="18"/>
      <c r="D979" s="18"/>
    </row>
    <row r="980">
      <c r="C980" s="18"/>
      <c r="D980" s="18"/>
    </row>
    <row r="981">
      <c r="C981" s="18"/>
      <c r="D981" s="18"/>
    </row>
    <row r="982">
      <c r="C982" s="18"/>
      <c r="D982" s="18"/>
    </row>
    <row r="983">
      <c r="C983" s="18"/>
      <c r="D983" s="18"/>
    </row>
    <row r="984">
      <c r="C984" s="18"/>
      <c r="D984" s="18"/>
    </row>
    <row r="985">
      <c r="C985" s="18"/>
      <c r="D985" s="18"/>
    </row>
    <row r="986">
      <c r="C986" s="18"/>
      <c r="D986" s="18"/>
    </row>
    <row r="987">
      <c r="C987" s="18"/>
      <c r="D987" s="18"/>
    </row>
    <row r="988">
      <c r="C988" s="18"/>
      <c r="D988" s="18"/>
    </row>
    <row r="989">
      <c r="C989" s="18"/>
      <c r="D989" s="18"/>
    </row>
    <row r="990">
      <c r="C990" s="18"/>
      <c r="D990" s="18"/>
    </row>
    <row r="991">
      <c r="C991" s="18"/>
      <c r="D991" s="18"/>
    </row>
    <row r="992">
      <c r="C992" s="18"/>
      <c r="D992" s="18"/>
    </row>
    <row r="993">
      <c r="C993" s="18"/>
      <c r="D993" s="18"/>
    </row>
    <row r="994">
      <c r="C994" s="18"/>
      <c r="D994" s="18"/>
    </row>
    <row r="995">
      <c r="C995" s="18"/>
      <c r="D995" s="18"/>
    </row>
    <row r="996">
      <c r="C996" s="18"/>
      <c r="D996" s="18"/>
    </row>
    <row r="997">
      <c r="C997" s="18"/>
      <c r="D997" s="18"/>
    </row>
    <row r="998">
      <c r="C998" s="18"/>
      <c r="D998" s="1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807</v>
      </c>
      <c r="B1" s="15" t="s">
        <v>808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>
      <c r="A2" s="7">
        <v>2103.0</v>
      </c>
      <c r="B2" s="7" t="s">
        <v>809</v>
      </c>
      <c r="E2" s="7"/>
    </row>
    <row r="3">
      <c r="A3" s="7">
        <v>7940.0</v>
      </c>
      <c r="B3" s="7" t="s">
        <v>810</v>
      </c>
    </row>
    <row r="4">
      <c r="A4" s="7">
        <v>2455.0</v>
      </c>
      <c r="B4" s="7" t="s">
        <v>811</v>
      </c>
    </row>
    <row r="5">
      <c r="A5" s="7">
        <v>1270.0</v>
      </c>
      <c r="B5" s="7" t="s">
        <v>812</v>
      </c>
    </row>
    <row r="6">
      <c r="A6" s="7">
        <v>8681.0</v>
      </c>
      <c r="B6" s="7" t="s">
        <v>813</v>
      </c>
    </row>
    <row r="7">
      <c r="A7" s="7">
        <v>4594.0</v>
      </c>
      <c r="B7" s="7" t="s">
        <v>814</v>
      </c>
    </row>
    <row r="8">
      <c r="A8" s="7">
        <v>5988.0</v>
      </c>
      <c r="B8" s="7" t="s">
        <v>815</v>
      </c>
    </row>
    <row r="9">
      <c r="A9" s="7">
        <v>7331.0</v>
      </c>
      <c r="B9" s="7" t="s">
        <v>816</v>
      </c>
    </row>
    <row r="10">
      <c r="A10" s="7">
        <v>8875.0</v>
      </c>
      <c r="B10" s="7" t="s">
        <v>817</v>
      </c>
    </row>
    <row r="11">
      <c r="A11" s="7">
        <v>8293.0</v>
      </c>
      <c r="B11" s="7" t="s">
        <v>818</v>
      </c>
    </row>
    <row r="12">
      <c r="A12" s="7">
        <v>8969.0</v>
      </c>
      <c r="B12" s="7" t="s">
        <v>819</v>
      </c>
    </row>
    <row r="13">
      <c r="A13" s="7">
        <v>3127.0</v>
      </c>
      <c r="B13" s="7" t="s">
        <v>820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0"/>
  </cols>
  <sheetData>
    <row r="1">
      <c r="A1" s="7"/>
    </row>
    <row r="2">
      <c r="A2" s="7" t="s">
        <v>821</v>
      </c>
      <c r="B2" s="17">
        <f>sum(events!Q2:Q1331)</f>
        <v>6576524</v>
      </c>
    </row>
    <row r="3">
      <c r="A3" s="7" t="s">
        <v>822</v>
      </c>
      <c r="B3" s="17">
        <f>count(events!C2:C1001)</f>
        <v>1330</v>
      </c>
    </row>
    <row r="4">
      <c r="A4" s="7" t="s">
        <v>44</v>
      </c>
      <c r="B4" s="18">
        <f>sum(events!V2:V1331)</f>
        <v>501510580.5</v>
      </c>
      <c r="W4" s="17">
        <f>Q2/B2</f>
        <v>0</v>
      </c>
    </row>
    <row r="5">
      <c r="A5" s="19" t="s">
        <v>40</v>
      </c>
      <c r="B5" s="18">
        <f>sum(events!T2:T1331)</f>
        <v>1702129408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7" t="s">
        <v>823</v>
      </c>
      <c r="B6" s="17">
        <f>countif(countries!B2:B250,"*")</f>
        <v>249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18"/>
    </row>
    <row r="2">
      <c r="E2" s="18"/>
    </row>
    <row r="3">
      <c r="E3" s="18"/>
    </row>
    <row r="4">
      <c r="B4" s="18"/>
      <c r="C4" s="18"/>
      <c r="D4" s="18"/>
      <c r="E4" s="18"/>
    </row>
    <row r="5">
      <c r="B5" s="18"/>
      <c r="C5" s="18"/>
      <c r="D5" s="18"/>
      <c r="E5" s="18"/>
    </row>
    <row r="6">
      <c r="B6" s="18"/>
      <c r="C6" s="18"/>
      <c r="D6" s="18"/>
      <c r="E6" s="18"/>
    </row>
    <row r="7">
      <c r="B7" s="18"/>
      <c r="C7" s="18"/>
      <c r="D7" s="18"/>
      <c r="E7" s="18"/>
    </row>
    <row r="8">
      <c r="B8" s="18"/>
      <c r="C8" s="18"/>
      <c r="D8" s="18"/>
      <c r="E8" s="18"/>
    </row>
    <row r="9">
      <c r="B9" s="18"/>
      <c r="C9" s="18"/>
      <c r="D9" s="18"/>
      <c r="E9" s="18"/>
    </row>
    <row r="10">
      <c r="B10" s="18"/>
      <c r="C10" s="18"/>
      <c r="D10" s="18"/>
      <c r="E10" s="18"/>
    </row>
    <row r="11">
      <c r="B11" s="18"/>
      <c r="C11" s="18"/>
      <c r="D11" s="18"/>
      <c r="E11" s="18"/>
    </row>
    <row r="12">
      <c r="B12" s="18"/>
      <c r="C12" s="18"/>
      <c r="D12" s="18"/>
      <c r="E12" s="18"/>
    </row>
    <row r="13">
      <c r="B13" s="18"/>
      <c r="C13" s="18"/>
      <c r="D13" s="18"/>
      <c r="E13" s="18"/>
    </row>
    <row r="14">
      <c r="B14" s="18"/>
      <c r="C14" s="18"/>
      <c r="D14" s="18"/>
      <c r="E14" s="18"/>
    </row>
    <row r="15">
      <c r="B15" s="18"/>
      <c r="C15" s="18"/>
      <c r="D15" s="18"/>
      <c r="E15" s="18"/>
    </row>
    <row r="16">
      <c r="B16" s="18"/>
      <c r="C16" s="18"/>
      <c r="D16" s="18"/>
      <c r="E16" s="18"/>
    </row>
    <row r="17">
      <c r="B17" s="18"/>
      <c r="C17" s="18"/>
      <c r="D17" s="18"/>
      <c r="E17" s="18"/>
    </row>
    <row r="18">
      <c r="B18" s="18"/>
      <c r="C18" s="18"/>
      <c r="D18" s="18"/>
      <c r="E18" s="18"/>
    </row>
    <row r="19">
      <c r="B19" s="18"/>
      <c r="C19" s="18"/>
      <c r="D19" s="18"/>
      <c r="E19" s="18"/>
    </row>
    <row r="20">
      <c r="B20" s="18"/>
      <c r="C20" s="18"/>
      <c r="D20" s="18"/>
      <c r="E20" s="18"/>
    </row>
    <row r="21">
      <c r="B21" s="18"/>
      <c r="C21" s="18"/>
      <c r="D21" s="18"/>
      <c r="E21" s="18"/>
    </row>
    <row r="22">
      <c r="B22" s="18"/>
      <c r="C22" s="18"/>
      <c r="D22" s="18"/>
      <c r="E22" s="18"/>
    </row>
    <row r="23">
      <c r="B23" s="18"/>
      <c r="C23" s="18"/>
      <c r="D23" s="18"/>
      <c r="E23" s="18"/>
    </row>
    <row r="24">
      <c r="B24" s="18"/>
      <c r="C24" s="18"/>
      <c r="D24" s="18"/>
      <c r="E24" s="18"/>
    </row>
    <row r="25">
      <c r="B25" s="18"/>
      <c r="C25" s="18"/>
      <c r="D25" s="18"/>
      <c r="E25" s="18"/>
    </row>
    <row r="26">
      <c r="B26" s="18"/>
      <c r="C26" s="18"/>
      <c r="D26" s="18"/>
      <c r="E26" s="18"/>
    </row>
    <row r="27">
      <c r="B27" s="18"/>
      <c r="C27" s="18"/>
      <c r="D27" s="18"/>
      <c r="E27" s="18"/>
    </row>
    <row r="28">
      <c r="B28" s="18"/>
      <c r="C28" s="18"/>
      <c r="D28" s="18"/>
      <c r="E28" s="18"/>
    </row>
    <row r="29">
      <c r="B29" s="18"/>
      <c r="C29" s="18"/>
      <c r="D29" s="18"/>
      <c r="E29" s="18"/>
    </row>
    <row r="30">
      <c r="B30" s="18"/>
      <c r="C30" s="18"/>
      <c r="D30" s="18"/>
      <c r="E30" s="18"/>
    </row>
    <row r="31">
      <c r="B31" s="18"/>
      <c r="C31" s="18"/>
      <c r="D31" s="18"/>
      <c r="E31" s="18"/>
    </row>
    <row r="32">
      <c r="B32" s="18"/>
      <c r="C32" s="18"/>
      <c r="D32" s="18"/>
      <c r="E32" s="18"/>
    </row>
    <row r="33">
      <c r="B33" s="18"/>
      <c r="C33" s="18"/>
      <c r="D33" s="18"/>
      <c r="E33" s="18"/>
    </row>
    <row r="34">
      <c r="B34" s="18"/>
      <c r="C34" s="18"/>
      <c r="D34" s="18"/>
      <c r="E34" s="18"/>
    </row>
    <row r="35">
      <c r="B35" s="18"/>
      <c r="C35" s="18"/>
      <c r="D35" s="18"/>
      <c r="E35" s="18"/>
    </row>
    <row r="36">
      <c r="B36" s="18"/>
      <c r="C36" s="18"/>
      <c r="D36" s="18"/>
      <c r="E36" s="18"/>
    </row>
    <row r="37">
      <c r="B37" s="18"/>
      <c r="C37" s="18"/>
      <c r="D37" s="18"/>
      <c r="E37" s="18"/>
    </row>
    <row r="38">
      <c r="B38" s="18"/>
      <c r="C38" s="18"/>
      <c r="D38" s="18"/>
      <c r="E38" s="18"/>
    </row>
    <row r="39">
      <c r="B39" s="18"/>
      <c r="C39" s="18"/>
      <c r="D39" s="18"/>
      <c r="E39" s="18"/>
    </row>
    <row r="40">
      <c r="B40" s="18"/>
      <c r="C40" s="18"/>
      <c r="D40" s="18"/>
      <c r="E40" s="18"/>
    </row>
    <row r="41">
      <c r="B41" s="18"/>
      <c r="C41" s="18"/>
      <c r="D41" s="18"/>
      <c r="E41" s="18"/>
    </row>
    <row r="42">
      <c r="B42" s="18"/>
      <c r="C42" s="18"/>
      <c r="D42" s="18"/>
      <c r="E42" s="18"/>
    </row>
    <row r="43">
      <c r="B43" s="18"/>
      <c r="C43" s="18"/>
      <c r="D43" s="18"/>
      <c r="E43" s="18"/>
    </row>
    <row r="44">
      <c r="B44" s="18"/>
      <c r="C44" s="18"/>
      <c r="D44" s="18"/>
      <c r="E44" s="18"/>
    </row>
    <row r="45">
      <c r="B45" s="18"/>
      <c r="C45" s="18"/>
      <c r="D45" s="18"/>
      <c r="E45" s="18"/>
    </row>
    <row r="46">
      <c r="B46" s="18"/>
      <c r="C46" s="18"/>
      <c r="D46" s="18"/>
      <c r="E46" s="18"/>
    </row>
    <row r="47">
      <c r="B47" s="18"/>
      <c r="C47" s="18"/>
      <c r="D47" s="18"/>
      <c r="E47" s="18"/>
    </row>
    <row r="48">
      <c r="B48" s="18"/>
      <c r="C48" s="18"/>
      <c r="D48" s="18"/>
      <c r="E48" s="18"/>
    </row>
    <row r="49">
      <c r="B49" s="18"/>
      <c r="C49" s="18"/>
      <c r="D49" s="18"/>
      <c r="E49" s="18"/>
    </row>
    <row r="50">
      <c r="B50" s="18"/>
      <c r="C50" s="18"/>
      <c r="D50" s="18"/>
      <c r="E50" s="18"/>
    </row>
    <row r="51">
      <c r="B51" s="18"/>
      <c r="C51" s="18"/>
      <c r="D51" s="18"/>
      <c r="E51" s="18"/>
    </row>
    <row r="52">
      <c r="B52" s="18"/>
      <c r="C52" s="18"/>
      <c r="D52" s="18"/>
      <c r="E52" s="18"/>
    </row>
    <row r="53">
      <c r="B53" s="18"/>
      <c r="C53" s="18"/>
      <c r="D53" s="18"/>
      <c r="E53" s="18"/>
    </row>
    <row r="54">
      <c r="B54" s="18"/>
      <c r="C54" s="18"/>
      <c r="D54" s="18"/>
      <c r="E54" s="18"/>
    </row>
    <row r="55">
      <c r="B55" s="18"/>
      <c r="C55" s="18"/>
      <c r="D55" s="18"/>
      <c r="E55" s="18"/>
    </row>
    <row r="56">
      <c r="B56" s="18"/>
      <c r="C56" s="18"/>
      <c r="D56" s="18"/>
      <c r="E56" s="18"/>
    </row>
    <row r="57">
      <c r="B57" s="18"/>
      <c r="C57" s="18"/>
      <c r="D57" s="18"/>
      <c r="E57" s="18"/>
    </row>
    <row r="58">
      <c r="B58" s="18"/>
      <c r="C58" s="18"/>
      <c r="D58" s="18"/>
      <c r="E58" s="18"/>
    </row>
    <row r="59">
      <c r="B59" s="18"/>
      <c r="C59" s="18"/>
      <c r="D59" s="18"/>
      <c r="E59" s="18"/>
    </row>
    <row r="60">
      <c r="B60" s="18"/>
      <c r="C60" s="18"/>
      <c r="D60" s="18"/>
      <c r="E60" s="18"/>
    </row>
    <row r="61">
      <c r="B61" s="18"/>
      <c r="C61" s="18"/>
      <c r="D61" s="18"/>
      <c r="E61" s="18"/>
    </row>
    <row r="62">
      <c r="B62" s="18"/>
      <c r="C62" s="18"/>
      <c r="D62" s="18"/>
      <c r="E62" s="18"/>
    </row>
    <row r="63">
      <c r="B63" s="18"/>
      <c r="C63" s="18"/>
      <c r="D63" s="18"/>
      <c r="E63" s="18"/>
    </row>
    <row r="64">
      <c r="B64" s="18"/>
      <c r="C64" s="18"/>
      <c r="D64" s="18"/>
      <c r="E64" s="18"/>
    </row>
    <row r="65">
      <c r="B65" s="18"/>
      <c r="C65" s="18"/>
      <c r="D65" s="18"/>
      <c r="E65" s="18"/>
    </row>
    <row r="66">
      <c r="B66" s="18"/>
      <c r="C66" s="18"/>
      <c r="D66" s="18"/>
      <c r="E66" s="18"/>
    </row>
    <row r="67">
      <c r="B67" s="18"/>
      <c r="C67" s="18"/>
      <c r="D67" s="18"/>
      <c r="E67" s="18"/>
    </row>
    <row r="68">
      <c r="B68" s="18"/>
      <c r="C68" s="18"/>
      <c r="D68" s="18"/>
      <c r="E68" s="18"/>
    </row>
    <row r="69">
      <c r="B69" s="18"/>
      <c r="C69" s="18"/>
      <c r="D69" s="18"/>
      <c r="E69" s="18"/>
    </row>
    <row r="70">
      <c r="B70" s="18"/>
      <c r="C70" s="18"/>
      <c r="D70" s="18"/>
      <c r="E70" s="18"/>
    </row>
    <row r="71">
      <c r="B71" s="18"/>
      <c r="C71" s="18"/>
      <c r="D71" s="18"/>
      <c r="E71" s="18"/>
    </row>
    <row r="72">
      <c r="B72" s="18"/>
      <c r="C72" s="18"/>
      <c r="D72" s="18"/>
      <c r="E72" s="18"/>
    </row>
    <row r="73">
      <c r="B73" s="18"/>
      <c r="C73" s="18"/>
      <c r="D73" s="18"/>
      <c r="E73" s="18"/>
    </row>
    <row r="74">
      <c r="B74" s="18"/>
      <c r="C74" s="18"/>
      <c r="D74" s="18"/>
      <c r="E74" s="18"/>
    </row>
    <row r="75">
      <c r="B75" s="18"/>
      <c r="C75" s="18"/>
      <c r="D75" s="18"/>
      <c r="E75" s="18"/>
    </row>
    <row r="76">
      <c r="B76" s="18"/>
      <c r="C76" s="18"/>
      <c r="D76" s="18"/>
      <c r="E76" s="18"/>
    </row>
    <row r="77">
      <c r="B77" s="18"/>
      <c r="C77" s="18"/>
      <c r="D77" s="18"/>
      <c r="E77" s="18"/>
    </row>
    <row r="78">
      <c r="B78" s="18"/>
      <c r="C78" s="18"/>
      <c r="D78" s="18"/>
      <c r="E78" s="18"/>
    </row>
    <row r="79">
      <c r="B79" s="18"/>
      <c r="C79" s="18"/>
      <c r="D79" s="18"/>
      <c r="E79" s="18"/>
    </row>
    <row r="80">
      <c r="B80" s="18"/>
      <c r="C80" s="18"/>
      <c r="D80" s="18"/>
      <c r="E80" s="18"/>
    </row>
    <row r="81">
      <c r="B81" s="18"/>
      <c r="C81" s="18"/>
      <c r="D81" s="18"/>
      <c r="E81" s="18"/>
    </row>
    <row r="82">
      <c r="B82" s="18"/>
      <c r="C82" s="18"/>
      <c r="D82" s="18"/>
      <c r="E82" s="18"/>
    </row>
    <row r="83">
      <c r="B83" s="18"/>
      <c r="C83" s="18"/>
      <c r="D83" s="18"/>
      <c r="E83" s="18"/>
    </row>
    <row r="84">
      <c r="B84" s="18"/>
      <c r="C84" s="18"/>
      <c r="D84" s="18"/>
      <c r="E84" s="18"/>
    </row>
    <row r="85">
      <c r="B85" s="18"/>
      <c r="C85" s="18"/>
      <c r="D85" s="18"/>
      <c r="E85" s="18"/>
    </row>
    <row r="86">
      <c r="B86" s="18"/>
      <c r="C86" s="18"/>
      <c r="D86" s="18"/>
      <c r="E86" s="18"/>
    </row>
    <row r="87">
      <c r="B87" s="18"/>
      <c r="C87" s="18"/>
      <c r="D87" s="18"/>
      <c r="E87" s="18"/>
    </row>
    <row r="88">
      <c r="B88" s="18"/>
      <c r="C88" s="18"/>
      <c r="D88" s="18"/>
      <c r="E88" s="18"/>
    </row>
    <row r="89">
      <c r="B89" s="18"/>
      <c r="C89" s="18"/>
      <c r="D89" s="18"/>
      <c r="E89" s="18"/>
    </row>
    <row r="90">
      <c r="B90" s="18"/>
      <c r="C90" s="18"/>
      <c r="D90" s="18"/>
      <c r="E90" s="18"/>
    </row>
    <row r="91">
      <c r="B91" s="18"/>
      <c r="C91" s="18"/>
      <c r="D91" s="18"/>
      <c r="E91" s="18"/>
    </row>
    <row r="92">
      <c r="B92" s="18"/>
      <c r="C92" s="18"/>
      <c r="D92" s="18"/>
      <c r="E92" s="18"/>
    </row>
    <row r="93">
      <c r="B93" s="18"/>
      <c r="C93" s="18"/>
      <c r="D93" s="18"/>
      <c r="E93" s="18"/>
    </row>
    <row r="94">
      <c r="B94" s="18"/>
      <c r="C94" s="18"/>
      <c r="D94" s="18"/>
      <c r="E94" s="18"/>
    </row>
    <row r="95">
      <c r="B95" s="18"/>
      <c r="C95" s="18"/>
      <c r="D95" s="18"/>
      <c r="E95" s="18"/>
    </row>
    <row r="96">
      <c r="B96" s="18"/>
      <c r="C96" s="18"/>
      <c r="D96" s="18"/>
      <c r="E96" s="18"/>
    </row>
    <row r="97">
      <c r="B97" s="18"/>
      <c r="C97" s="18"/>
      <c r="D97" s="18"/>
      <c r="E97" s="18"/>
    </row>
    <row r="98">
      <c r="B98" s="18"/>
      <c r="C98" s="18"/>
      <c r="D98" s="18"/>
      <c r="E98" s="18"/>
    </row>
    <row r="99">
      <c r="B99" s="18"/>
      <c r="C99" s="18"/>
      <c r="D99" s="18"/>
      <c r="E99" s="18"/>
    </row>
    <row r="100">
      <c r="B100" s="18"/>
      <c r="C100" s="18"/>
      <c r="D100" s="18"/>
      <c r="E100" s="18"/>
    </row>
    <row r="101">
      <c r="B101" s="18"/>
      <c r="C101" s="18"/>
      <c r="D101" s="18"/>
      <c r="E101" s="18"/>
    </row>
    <row r="102">
      <c r="B102" s="18"/>
      <c r="C102" s="18"/>
      <c r="D102" s="18"/>
      <c r="E102" s="18"/>
    </row>
    <row r="103">
      <c r="B103" s="18"/>
      <c r="C103" s="18"/>
      <c r="D103" s="18"/>
      <c r="E103" s="18"/>
    </row>
    <row r="104">
      <c r="B104" s="18"/>
      <c r="C104" s="18"/>
      <c r="D104" s="18"/>
      <c r="E104" s="18"/>
    </row>
    <row r="105">
      <c r="B105" s="18"/>
      <c r="C105" s="18"/>
      <c r="D105" s="18"/>
      <c r="E105" s="18"/>
    </row>
    <row r="106">
      <c r="B106" s="18"/>
      <c r="C106" s="18"/>
      <c r="D106" s="18"/>
      <c r="E106" s="18"/>
    </row>
    <row r="107">
      <c r="B107" s="18"/>
      <c r="C107" s="18"/>
      <c r="D107" s="18"/>
      <c r="E107" s="18"/>
    </row>
    <row r="108">
      <c r="B108" s="18"/>
      <c r="C108" s="18"/>
      <c r="D108" s="18"/>
      <c r="E108" s="18"/>
    </row>
    <row r="109">
      <c r="B109" s="18"/>
      <c r="C109" s="18"/>
      <c r="D109" s="18"/>
      <c r="E109" s="18"/>
    </row>
    <row r="110">
      <c r="B110" s="18"/>
      <c r="C110" s="18"/>
      <c r="D110" s="18"/>
      <c r="E110" s="18"/>
    </row>
    <row r="111">
      <c r="B111" s="18"/>
      <c r="C111" s="18"/>
      <c r="D111" s="18"/>
      <c r="E111" s="18"/>
    </row>
    <row r="112">
      <c r="B112" s="18"/>
      <c r="C112" s="18"/>
      <c r="D112" s="18"/>
      <c r="E112" s="18"/>
    </row>
    <row r="113">
      <c r="B113" s="18"/>
      <c r="C113" s="18"/>
      <c r="D113" s="18"/>
      <c r="E113" s="18"/>
    </row>
    <row r="114">
      <c r="B114" s="18"/>
      <c r="C114" s="18"/>
      <c r="D114" s="18"/>
      <c r="E114" s="18"/>
    </row>
    <row r="115">
      <c r="B115" s="18"/>
      <c r="C115" s="18"/>
      <c r="D115" s="18"/>
      <c r="E115" s="18"/>
    </row>
    <row r="116">
      <c r="B116" s="18"/>
      <c r="C116" s="18"/>
      <c r="D116" s="18"/>
      <c r="E116" s="18"/>
    </row>
    <row r="117">
      <c r="B117" s="18"/>
      <c r="C117" s="18"/>
      <c r="D117" s="18"/>
      <c r="E117" s="18"/>
    </row>
    <row r="118">
      <c r="B118" s="18"/>
      <c r="C118" s="18"/>
      <c r="D118" s="18"/>
      <c r="E118" s="18"/>
    </row>
    <row r="119">
      <c r="B119" s="18"/>
      <c r="C119" s="18"/>
      <c r="D119" s="18"/>
      <c r="E119" s="18"/>
    </row>
    <row r="120">
      <c r="B120" s="18"/>
      <c r="C120" s="18"/>
      <c r="D120" s="18"/>
      <c r="E120" s="18"/>
    </row>
    <row r="121">
      <c r="B121" s="18"/>
      <c r="C121" s="18"/>
      <c r="D121" s="18"/>
      <c r="E121" s="18"/>
    </row>
    <row r="122">
      <c r="B122" s="18"/>
      <c r="C122" s="18"/>
      <c r="D122" s="18"/>
      <c r="E122" s="18"/>
    </row>
    <row r="123">
      <c r="B123" s="18"/>
      <c r="C123" s="18"/>
      <c r="D123" s="18"/>
      <c r="E123" s="18"/>
    </row>
    <row r="124">
      <c r="B124" s="18"/>
      <c r="C124" s="18"/>
      <c r="D124" s="18"/>
      <c r="E124" s="18"/>
    </row>
    <row r="125">
      <c r="B125" s="18"/>
      <c r="C125" s="18"/>
      <c r="D125" s="18"/>
      <c r="E125" s="18"/>
    </row>
    <row r="126">
      <c r="B126" s="18"/>
      <c r="C126" s="18"/>
      <c r="D126" s="18"/>
      <c r="E126" s="18"/>
    </row>
    <row r="127">
      <c r="B127" s="18"/>
      <c r="C127" s="18"/>
      <c r="D127" s="18"/>
      <c r="E127" s="18"/>
    </row>
    <row r="128">
      <c r="B128" s="18"/>
      <c r="C128" s="18"/>
      <c r="D128" s="18"/>
      <c r="E128" s="18"/>
    </row>
    <row r="129">
      <c r="B129" s="18"/>
      <c r="C129" s="18"/>
      <c r="D129" s="18"/>
      <c r="E129" s="18"/>
    </row>
    <row r="130">
      <c r="B130" s="18"/>
      <c r="C130" s="18"/>
      <c r="D130" s="18"/>
      <c r="E130" s="18"/>
    </row>
    <row r="131">
      <c r="B131" s="18"/>
      <c r="C131" s="18"/>
      <c r="D131" s="18"/>
      <c r="E131" s="18"/>
    </row>
    <row r="132">
      <c r="B132" s="18"/>
      <c r="C132" s="18"/>
      <c r="D132" s="18"/>
      <c r="E132" s="18"/>
    </row>
    <row r="133">
      <c r="B133" s="18"/>
      <c r="C133" s="18"/>
      <c r="D133" s="18"/>
      <c r="E133" s="18"/>
    </row>
    <row r="134">
      <c r="B134" s="18"/>
      <c r="C134" s="18"/>
      <c r="D134" s="18"/>
      <c r="E134" s="18"/>
    </row>
    <row r="135">
      <c r="B135" s="18"/>
      <c r="C135" s="18"/>
      <c r="D135" s="18"/>
      <c r="E135" s="18"/>
    </row>
    <row r="136">
      <c r="B136" s="18"/>
      <c r="C136" s="18"/>
      <c r="D136" s="18"/>
      <c r="E136" s="18"/>
    </row>
    <row r="137">
      <c r="B137" s="18"/>
      <c r="C137" s="18"/>
      <c r="D137" s="18"/>
      <c r="E137" s="18"/>
    </row>
    <row r="138">
      <c r="B138" s="18"/>
      <c r="C138" s="18"/>
      <c r="D138" s="18"/>
      <c r="E138" s="18"/>
    </row>
    <row r="139">
      <c r="B139" s="18"/>
      <c r="C139" s="18"/>
      <c r="D139" s="18"/>
      <c r="E139" s="18"/>
    </row>
    <row r="140">
      <c r="B140" s="18"/>
      <c r="C140" s="18"/>
      <c r="D140" s="18"/>
      <c r="E140" s="18"/>
    </row>
    <row r="141">
      <c r="B141" s="18"/>
      <c r="C141" s="18"/>
      <c r="D141" s="18"/>
      <c r="E141" s="18"/>
    </row>
    <row r="142">
      <c r="B142" s="18"/>
      <c r="C142" s="18"/>
      <c r="D142" s="18"/>
      <c r="E142" s="18"/>
    </row>
    <row r="143">
      <c r="B143" s="18"/>
      <c r="C143" s="18"/>
      <c r="D143" s="18"/>
      <c r="E143" s="18"/>
    </row>
    <row r="144">
      <c r="B144" s="18"/>
      <c r="C144" s="18"/>
      <c r="D144" s="18"/>
      <c r="E144" s="18"/>
    </row>
    <row r="145">
      <c r="B145" s="18"/>
      <c r="C145" s="18"/>
      <c r="D145" s="18"/>
      <c r="E145" s="18"/>
    </row>
    <row r="146">
      <c r="B146" s="18"/>
      <c r="C146" s="18"/>
      <c r="D146" s="18"/>
      <c r="E146" s="18"/>
    </row>
    <row r="147">
      <c r="B147" s="18"/>
      <c r="C147" s="18"/>
      <c r="D147" s="18"/>
      <c r="E147" s="18"/>
    </row>
    <row r="148">
      <c r="B148" s="18"/>
      <c r="C148" s="18"/>
      <c r="D148" s="18"/>
      <c r="E148" s="18"/>
    </row>
    <row r="149">
      <c r="B149" s="18"/>
      <c r="C149" s="18"/>
      <c r="D149" s="18"/>
      <c r="E149" s="18"/>
    </row>
    <row r="150">
      <c r="B150" s="18"/>
      <c r="C150" s="18"/>
      <c r="D150" s="18"/>
      <c r="E150" s="18"/>
    </row>
    <row r="151">
      <c r="B151" s="18"/>
      <c r="C151" s="18"/>
      <c r="D151" s="18"/>
      <c r="E151" s="18"/>
    </row>
    <row r="152">
      <c r="B152" s="18"/>
      <c r="C152" s="18"/>
      <c r="D152" s="18"/>
      <c r="E152" s="18"/>
    </row>
    <row r="153">
      <c r="B153" s="18"/>
      <c r="C153" s="18"/>
      <c r="D153" s="18"/>
      <c r="E153" s="18"/>
    </row>
    <row r="154">
      <c r="B154" s="18"/>
      <c r="C154" s="18"/>
      <c r="D154" s="18"/>
      <c r="E154" s="18"/>
    </row>
    <row r="155">
      <c r="B155" s="18"/>
      <c r="C155" s="18"/>
      <c r="D155" s="18"/>
      <c r="E155" s="18"/>
    </row>
    <row r="156">
      <c r="B156" s="18"/>
      <c r="C156" s="18"/>
      <c r="D156" s="18"/>
      <c r="E156" s="18"/>
    </row>
    <row r="157">
      <c r="B157" s="18"/>
      <c r="C157" s="18"/>
      <c r="D157" s="18"/>
      <c r="E157" s="18"/>
    </row>
    <row r="158">
      <c r="B158" s="18"/>
      <c r="C158" s="18"/>
      <c r="D158" s="18"/>
      <c r="E158" s="18"/>
    </row>
    <row r="159">
      <c r="B159" s="18"/>
      <c r="C159" s="18"/>
      <c r="D159" s="18"/>
      <c r="E159" s="18"/>
    </row>
    <row r="160">
      <c r="B160" s="18"/>
      <c r="C160" s="18"/>
      <c r="D160" s="18"/>
      <c r="E160" s="18"/>
    </row>
    <row r="161">
      <c r="B161" s="18"/>
      <c r="C161" s="18"/>
      <c r="D161" s="18"/>
      <c r="E161" s="18"/>
    </row>
    <row r="162">
      <c r="B162" s="18"/>
      <c r="C162" s="18"/>
      <c r="D162" s="18"/>
      <c r="E162" s="18"/>
    </row>
    <row r="163">
      <c r="B163" s="18"/>
      <c r="C163" s="18"/>
      <c r="D163" s="18"/>
      <c r="E163" s="18"/>
    </row>
    <row r="164">
      <c r="B164" s="18"/>
      <c r="C164" s="18"/>
      <c r="D164" s="18"/>
      <c r="E164" s="18"/>
    </row>
    <row r="165">
      <c r="B165" s="18"/>
      <c r="C165" s="18"/>
      <c r="D165" s="18"/>
      <c r="E165" s="18"/>
    </row>
    <row r="166">
      <c r="B166" s="18"/>
      <c r="C166" s="18"/>
      <c r="D166" s="18"/>
      <c r="E166" s="18"/>
    </row>
    <row r="167">
      <c r="B167" s="18"/>
      <c r="C167" s="18"/>
      <c r="D167" s="18"/>
      <c r="E167" s="18"/>
    </row>
    <row r="168">
      <c r="B168" s="18"/>
      <c r="C168" s="18"/>
      <c r="D168" s="18"/>
      <c r="E168" s="18"/>
    </row>
    <row r="169">
      <c r="B169" s="18"/>
      <c r="C169" s="18"/>
      <c r="D169" s="18"/>
      <c r="E169" s="18"/>
    </row>
    <row r="170">
      <c r="B170" s="18"/>
      <c r="C170" s="18"/>
      <c r="D170" s="18"/>
      <c r="E170" s="18"/>
    </row>
    <row r="171">
      <c r="B171" s="18"/>
      <c r="C171" s="18"/>
      <c r="D171" s="18"/>
      <c r="E171" s="18"/>
    </row>
    <row r="172">
      <c r="B172" s="18"/>
      <c r="C172" s="18"/>
      <c r="D172" s="18"/>
      <c r="E172" s="18"/>
    </row>
    <row r="173">
      <c r="B173" s="18"/>
      <c r="C173" s="18"/>
      <c r="D173" s="18"/>
      <c r="E173" s="18"/>
    </row>
    <row r="174">
      <c r="B174" s="18"/>
      <c r="C174" s="18"/>
      <c r="D174" s="18"/>
      <c r="E174" s="18"/>
    </row>
    <row r="175">
      <c r="B175" s="18"/>
      <c r="C175" s="18"/>
      <c r="D175" s="18"/>
      <c r="E175" s="18"/>
    </row>
    <row r="176">
      <c r="B176" s="18"/>
      <c r="C176" s="18"/>
      <c r="D176" s="18"/>
      <c r="E176" s="18"/>
    </row>
    <row r="177">
      <c r="B177" s="18"/>
      <c r="C177" s="18"/>
      <c r="D177" s="18"/>
      <c r="E177" s="18"/>
    </row>
    <row r="178">
      <c r="B178" s="18"/>
      <c r="C178" s="18"/>
      <c r="D178" s="18"/>
      <c r="E178" s="18"/>
    </row>
    <row r="179">
      <c r="B179" s="18"/>
      <c r="C179" s="18"/>
      <c r="D179" s="18"/>
      <c r="E179" s="18"/>
    </row>
    <row r="180">
      <c r="B180" s="18"/>
      <c r="C180" s="18"/>
      <c r="D180" s="18"/>
      <c r="E180" s="18"/>
    </row>
    <row r="181">
      <c r="B181" s="18"/>
      <c r="C181" s="18"/>
      <c r="D181" s="18"/>
      <c r="E181" s="18"/>
    </row>
    <row r="182">
      <c r="B182" s="18"/>
      <c r="C182" s="18"/>
      <c r="D182" s="18"/>
      <c r="E182" s="18"/>
    </row>
    <row r="183">
      <c r="B183" s="18"/>
      <c r="C183" s="18"/>
      <c r="D183" s="18"/>
      <c r="E183" s="18"/>
    </row>
    <row r="184">
      <c r="B184" s="18"/>
      <c r="C184" s="18"/>
      <c r="D184" s="18"/>
      <c r="E184" s="18"/>
    </row>
    <row r="185">
      <c r="B185" s="18"/>
      <c r="C185" s="18"/>
      <c r="D185" s="18"/>
      <c r="E185" s="18"/>
    </row>
    <row r="186">
      <c r="B186" s="18"/>
      <c r="C186" s="18"/>
      <c r="D186" s="18"/>
      <c r="E186" s="18"/>
    </row>
    <row r="187">
      <c r="B187" s="18"/>
      <c r="C187" s="18"/>
      <c r="D187" s="18"/>
      <c r="E187" s="18"/>
    </row>
    <row r="188">
      <c r="B188" s="18"/>
      <c r="C188" s="18"/>
      <c r="D188" s="18"/>
      <c r="E188" s="18"/>
    </row>
    <row r="189">
      <c r="B189" s="18"/>
      <c r="C189" s="18"/>
      <c r="D189" s="18"/>
      <c r="E189" s="18"/>
    </row>
    <row r="190">
      <c r="B190" s="18"/>
      <c r="C190" s="18"/>
      <c r="D190" s="18"/>
      <c r="E190" s="18"/>
    </row>
    <row r="191">
      <c r="B191" s="18"/>
      <c r="C191" s="18"/>
      <c r="D191" s="18"/>
      <c r="E191" s="18"/>
    </row>
    <row r="192">
      <c r="B192" s="18"/>
      <c r="C192" s="18"/>
      <c r="D192" s="18"/>
      <c r="E192" s="18"/>
    </row>
    <row r="193">
      <c r="B193" s="18"/>
      <c r="C193" s="18"/>
      <c r="D193" s="18"/>
      <c r="E193" s="18"/>
    </row>
    <row r="194">
      <c r="B194" s="18"/>
      <c r="C194" s="18"/>
      <c r="D194" s="18"/>
      <c r="E194" s="18"/>
    </row>
    <row r="195">
      <c r="B195" s="18"/>
      <c r="C195" s="18"/>
      <c r="D195" s="18"/>
      <c r="E195" s="18"/>
    </row>
    <row r="196">
      <c r="B196" s="18"/>
      <c r="C196" s="18"/>
      <c r="D196" s="18"/>
      <c r="E196" s="18"/>
    </row>
    <row r="197">
      <c r="B197" s="18"/>
      <c r="C197" s="18"/>
      <c r="D197" s="18"/>
      <c r="E197" s="18"/>
    </row>
    <row r="198">
      <c r="B198" s="18"/>
      <c r="C198" s="18"/>
      <c r="D198" s="18"/>
      <c r="E198" s="18"/>
    </row>
    <row r="199">
      <c r="B199" s="18"/>
      <c r="C199" s="18"/>
      <c r="D199" s="18"/>
      <c r="E199" s="18"/>
    </row>
    <row r="200">
      <c r="B200" s="18"/>
      <c r="C200" s="18"/>
      <c r="D200" s="18"/>
      <c r="E200" s="18"/>
    </row>
    <row r="201">
      <c r="B201" s="18"/>
      <c r="C201" s="18"/>
      <c r="D201" s="18"/>
      <c r="E201" s="18"/>
    </row>
    <row r="202">
      <c r="B202" s="18"/>
      <c r="C202" s="18"/>
      <c r="D202" s="18"/>
      <c r="E202" s="18"/>
    </row>
    <row r="203">
      <c r="B203" s="18"/>
      <c r="C203" s="18"/>
      <c r="D203" s="18"/>
      <c r="E203" s="18"/>
    </row>
    <row r="204">
      <c r="B204" s="18"/>
      <c r="C204" s="18"/>
      <c r="D204" s="18"/>
      <c r="E204" s="18"/>
    </row>
    <row r="205">
      <c r="B205" s="18"/>
      <c r="C205" s="18"/>
      <c r="D205" s="18"/>
      <c r="E205" s="18"/>
    </row>
    <row r="206">
      <c r="B206" s="18"/>
      <c r="C206" s="18"/>
      <c r="D206" s="18"/>
      <c r="E206" s="18"/>
    </row>
    <row r="207">
      <c r="B207" s="18"/>
      <c r="C207" s="18"/>
      <c r="D207" s="18"/>
      <c r="E207" s="18"/>
    </row>
    <row r="208">
      <c r="B208" s="18"/>
      <c r="C208" s="18"/>
      <c r="D208" s="18"/>
      <c r="E208" s="18"/>
    </row>
    <row r="209">
      <c r="B209" s="18"/>
      <c r="C209" s="18"/>
      <c r="D209" s="18"/>
      <c r="E209" s="18"/>
    </row>
    <row r="210">
      <c r="B210" s="18"/>
      <c r="C210" s="18"/>
      <c r="D210" s="18"/>
      <c r="E210" s="18"/>
    </row>
    <row r="211">
      <c r="B211" s="18"/>
      <c r="C211" s="18"/>
      <c r="D211" s="18"/>
      <c r="E211" s="18"/>
    </row>
    <row r="212">
      <c r="B212" s="18"/>
      <c r="C212" s="18"/>
      <c r="D212" s="18"/>
      <c r="E212" s="18"/>
    </row>
    <row r="213">
      <c r="B213" s="18"/>
      <c r="C213" s="18"/>
      <c r="D213" s="18"/>
      <c r="E213" s="18"/>
    </row>
    <row r="214">
      <c r="B214" s="18"/>
      <c r="C214" s="18"/>
      <c r="D214" s="18"/>
      <c r="E214" s="18"/>
    </row>
    <row r="215">
      <c r="B215" s="18"/>
      <c r="C215" s="18"/>
      <c r="D215" s="18"/>
      <c r="E215" s="18"/>
    </row>
    <row r="216">
      <c r="B216" s="18"/>
      <c r="C216" s="18"/>
      <c r="D216" s="18"/>
      <c r="E216" s="18"/>
    </row>
    <row r="217">
      <c r="B217" s="18"/>
      <c r="C217" s="18"/>
      <c r="D217" s="18"/>
      <c r="E217" s="18"/>
    </row>
    <row r="218">
      <c r="B218" s="18"/>
      <c r="C218" s="18"/>
      <c r="D218" s="18"/>
      <c r="E218" s="18"/>
    </row>
    <row r="219">
      <c r="B219" s="18"/>
      <c r="C219" s="18"/>
      <c r="D219" s="18"/>
      <c r="E219" s="18"/>
    </row>
    <row r="220">
      <c r="B220" s="18"/>
      <c r="C220" s="18"/>
      <c r="D220" s="18"/>
      <c r="E220" s="18"/>
    </row>
    <row r="221">
      <c r="B221" s="18"/>
      <c r="C221" s="18"/>
      <c r="D221" s="18"/>
      <c r="E221" s="18"/>
    </row>
    <row r="222">
      <c r="B222" s="18"/>
      <c r="C222" s="18"/>
      <c r="D222" s="18"/>
      <c r="E222" s="18"/>
    </row>
    <row r="223">
      <c r="B223" s="18"/>
      <c r="C223" s="18"/>
      <c r="D223" s="18"/>
      <c r="E223" s="18"/>
    </row>
    <row r="224">
      <c r="B224" s="18"/>
      <c r="C224" s="18"/>
      <c r="D224" s="18"/>
      <c r="E224" s="18"/>
    </row>
    <row r="225">
      <c r="B225" s="18"/>
      <c r="C225" s="18"/>
      <c r="D225" s="18"/>
      <c r="E225" s="18"/>
    </row>
    <row r="226">
      <c r="B226" s="18"/>
      <c r="C226" s="18"/>
      <c r="D226" s="18"/>
      <c r="E226" s="18"/>
    </row>
    <row r="227">
      <c r="B227" s="18"/>
      <c r="C227" s="18"/>
      <c r="D227" s="18"/>
      <c r="E227" s="18"/>
    </row>
    <row r="228">
      <c r="B228" s="18"/>
      <c r="C228" s="18"/>
      <c r="D228" s="18"/>
      <c r="E228" s="18"/>
    </row>
    <row r="229">
      <c r="B229" s="18"/>
      <c r="C229" s="18"/>
      <c r="D229" s="18"/>
      <c r="E229" s="18"/>
    </row>
    <row r="230">
      <c r="B230" s="18"/>
      <c r="C230" s="18"/>
      <c r="D230" s="18"/>
      <c r="E230" s="18"/>
    </row>
    <row r="231">
      <c r="B231" s="18"/>
      <c r="C231" s="18"/>
      <c r="D231" s="18"/>
      <c r="E231" s="18"/>
    </row>
    <row r="232">
      <c r="B232" s="18"/>
      <c r="C232" s="18"/>
      <c r="D232" s="18"/>
      <c r="E232" s="18"/>
    </row>
    <row r="233">
      <c r="B233" s="18"/>
      <c r="C233" s="18"/>
      <c r="D233" s="18"/>
      <c r="E233" s="18"/>
    </row>
    <row r="234">
      <c r="B234" s="18"/>
      <c r="C234" s="18"/>
      <c r="D234" s="18"/>
      <c r="E234" s="18"/>
    </row>
    <row r="235">
      <c r="B235" s="18"/>
      <c r="C235" s="18"/>
      <c r="D235" s="18"/>
      <c r="E235" s="18"/>
    </row>
    <row r="236">
      <c r="B236" s="18"/>
      <c r="C236" s="18"/>
      <c r="D236" s="18"/>
      <c r="E236" s="18"/>
    </row>
    <row r="237">
      <c r="B237" s="18"/>
      <c r="C237" s="18"/>
      <c r="D237" s="18"/>
      <c r="E237" s="18"/>
    </row>
    <row r="238">
      <c r="B238" s="18"/>
      <c r="C238" s="18"/>
      <c r="D238" s="18"/>
      <c r="E238" s="18"/>
    </row>
    <row r="239">
      <c r="B239" s="18"/>
      <c r="C239" s="18"/>
      <c r="D239" s="18"/>
      <c r="E239" s="18"/>
    </row>
    <row r="240">
      <c r="B240" s="18"/>
      <c r="C240" s="18"/>
      <c r="D240" s="18"/>
      <c r="E240" s="18"/>
    </row>
    <row r="241">
      <c r="B241" s="18"/>
      <c r="C241" s="18"/>
      <c r="D241" s="18"/>
      <c r="E241" s="18"/>
    </row>
    <row r="242">
      <c r="B242" s="18"/>
      <c r="C242" s="18"/>
      <c r="D242" s="18"/>
      <c r="E242" s="18"/>
    </row>
    <row r="243">
      <c r="B243" s="18"/>
      <c r="C243" s="18"/>
      <c r="D243" s="18"/>
      <c r="E243" s="18"/>
    </row>
    <row r="244">
      <c r="B244" s="18"/>
      <c r="C244" s="18"/>
      <c r="D244" s="18"/>
      <c r="E244" s="18"/>
    </row>
    <row r="245">
      <c r="B245" s="18"/>
      <c r="C245" s="18"/>
      <c r="D245" s="18"/>
      <c r="E245" s="18"/>
    </row>
    <row r="246">
      <c r="B246" s="18"/>
      <c r="C246" s="18"/>
      <c r="D246" s="18"/>
      <c r="E246" s="18"/>
    </row>
    <row r="247">
      <c r="B247" s="18"/>
      <c r="C247" s="18"/>
      <c r="D247" s="18"/>
      <c r="E247" s="18"/>
    </row>
    <row r="248">
      <c r="B248" s="18"/>
      <c r="C248" s="18"/>
      <c r="D248" s="18"/>
      <c r="E248" s="18"/>
    </row>
    <row r="249">
      <c r="B249" s="18"/>
      <c r="C249" s="18"/>
      <c r="D249" s="18"/>
      <c r="E249" s="18"/>
    </row>
    <row r="250">
      <c r="B250" s="18"/>
      <c r="C250" s="18"/>
      <c r="D250" s="18"/>
      <c r="E250" s="18"/>
    </row>
    <row r="251">
      <c r="B251" s="18"/>
      <c r="C251" s="18"/>
      <c r="D251" s="18"/>
      <c r="E251" s="18"/>
    </row>
    <row r="252">
      <c r="B252" s="18"/>
      <c r="C252" s="18"/>
      <c r="D252" s="18"/>
      <c r="E252" s="18"/>
    </row>
    <row r="253">
      <c r="B253" s="18"/>
      <c r="C253" s="18"/>
      <c r="D253" s="18"/>
      <c r="E253" s="18"/>
    </row>
    <row r="254">
      <c r="B254" s="18"/>
      <c r="C254" s="18"/>
      <c r="D254" s="18"/>
      <c r="E254" s="18"/>
    </row>
    <row r="255">
      <c r="B255" s="18"/>
      <c r="C255" s="18"/>
      <c r="D255" s="18"/>
      <c r="E255" s="18"/>
    </row>
    <row r="256">
      <c r="B256" s="18"/>
      <c r="C256" s="18"/>
      <c r="D256" s="18"/>
      <c r="E256" s="18"/>
    </row>
    <row r="257">
      <c r="B257" s="18"/>
      <c r="C257" s="18"/>
      <c r="D257" s="18"/>
      <c r="E257" s="18"/>
    </row>
    <row r="258">
      <c r="B258" s="18"/>
      <c r="C258" s="18"/>
      <c r="D258" s="18"/>
      <c r="E258" s="18"/>
    </row>
    <row r="259">
      <c r="B259" s="18"/>
      <c r="C259" s="18"/>
      <c r="D259" s="18"/>
      <c r="E259" s="18"/>
    </row>
    <row r="260">
      <c r="B260" s="18"/>
      <c r="C260" s="18"/>
      <c r="D260" s="18"/>
      <c r="E260" s="18"/>
    </row>
    <row r="261">
      <c r="B261" s="18"/>
      <c r="C261" s="18"/>
      <c r="D261" s="18"/>
      <c r="E261" s="18"/>
    </row>
    <row r="262">
      <c r="B262" s="18"/>
      <c r="C262" s="18"/>
      <c r="D262" s="18"/>
      <c r="E262" s="18"/>
    </row>
    <row r="263">
      <c r="B263" s="18"/>
      <c r="C263" s="18"/>
      <c r="D263" s="18"/>
      <c r="E263" s="18"/>
    </row>
    <row r="264">
      <c r="B264" s="18"/>
      <c r="C264" s="18"/>
      <c r="D264" s="18"/>
      <c r="E264" s="18"/>
    </row>
    <row r="265">
      <c r="B265" s="18"/>
      <c r="C265" s="18"/>
      <c r="D265" s="18"/>
      <c r="E265" s="18"/>
    </row>
    <row r="266">
      <c r="B266" s="18"/>
      <c r="C266" s="18"/>
      <c r="D266" s="18"/>
      <c r="E266" s="18"/>
    </row>
    <row r="267">
      <c r="B267" s="18"/>
      <c r="C267" s="18"/>
      <c r="D267" s="18"/>
      <c r="E267" s="18"/>
    </row>
    <row r="268">
      <c r="B268" s="18"/>
      <c r="C268" s="18"/>
      <c r="D268" s="18"/>
      <c r="E268" s="18"/>
    </row>
    <row r="269">
      <c r="B269" s="18"/>
      <c r="C269" s="18"/>
      <c r="D269" s="18"/>
      <c r="E269" s="18"/>
    </row>
    <row r="270">
      <c r="B270" s="18"/>
      <c r="C270" s="18"/>
      <c r="D270" s="18"/>
      <c r="E270" s="18"/>
    </row>
    <row r="271">
      <c r="B271" s="18"/>
      <c r="C271" s="18"/>
      <c r="D271" s="18"/>
      <c r="E271" s="18"/>
    </row>
    <row r="272">
      <c r="B272" s="18"/>
      <c r="C272" s="18"/>
      <c r="D272" s="18"/>
      <c r="E272" s="18"/>
    </row>
    <row r="273">
      <c r="B273" s="18"/>
      <c r="C273" s="18"/>
      <c r="D273" s="18"/>
      <c r="E273" s="18"/>
    </row>
    <row r="274">
      <c r="B274" s="18"/>
      <c r="C274" s="18"/>
      <c r="D274" s="18"/>
      <c r="E274" s="18"/>
    </row>
    <row r="275">
      <c r="B275" s="18"/>
      <c r="C275" s="18"/>
      <c r="D275" s="18"/>
      <c r="E275" s="18"/>
    </row>
    <row r="276">
      <c r="B276" s="18"/>
      <c r="C276" s="18"/>
      <c r="D276" s="18"/>
      <c r="E276" s="18"/>
    </row>
    <row r="277">
      <c r="B277" s="18"/>
      <c r="C277" s="18"/>
      <c r="D277" s="18"/>
      <c r="E277" s="18"/>
    </row>
    <row r="278">
      <c r="B278" s="18"/>
      <c r="C278" s="18"/>
      <c r="D278" s="18"/>
      <c r="E278" s="18"/>
    </row>
    <row r="279">
      <c r="B279" s="18"/>
      <c r="C279" s="18"/>
      <c r="D279" s="18"/>
      <c r="E279" s="18"/>
    </row>
    <row r="280">
      <c r="B280" s="18"/>
      <c r="C280" s="18"/>
      <c r="D280" s="18"/>
      <c r="E280" s="18"/>
    </row>
    <row r="281">
      <c r="B281" s="18"/>
      <c r="C281" s="18"/>
      <c r="D281" s="18"/>
      <c r="E281" s="18"/>
    </row>
    <row r="282">
      <c r="B282" s="18"/>
      <c r="C282" s="18"/>
      <c r="D282" s="18"/>
      <c r="E282" s="18"/>
    </row>
    <row r="283">
      <c r="B283" s="18"/>
      <c r="C283" s="18"/>
      <c r="D283" s="18"/>
      <c r="E283" s="18"/>
    </row>
    <row r="284">
      <c r="B284" s="18"/>
      <c r="C284" s="18"/>
      <c r="D284" s="18"/>
      <c r="E284" s="18"/>
    </row>
    <row r="285">
      <c r="B285" s="18"/>
      <c r="C285" s="18"/>
      <c r="D285" s="18"/>
      <c r="E285" s="18"/>
    </row>
    <row r="286">
      <c r="B286" s="18"/>
      <c r="C286" s="18"/>
      <c r="D286" s="18"/>
      <c r="E286" s="18"/>
    </row>
    <row r="287">
      <c r="B287" s="18"/>
      <c r="C287" s="18"/>
      <c r="D287" s="18"/>
      <c r="E287" s="18"/>
    </row>
    <row r="288">
      <c r="B288" s="18"/>
      <c r="C288" s="18"/>
      <c r="D288" s="18"/>
      <c r="E288" s="18"/>
    </row>
    <row r="289">
      <c r="B289" s="18"/>
      <c r="C289" s="18"/>
      <c r="D289" s="18"/>
      <c r="E289" s="18"/>
    </row>
    <row r="290">
      <c r="B290" s="18"/>
      <c r="C290" s="18"/>
      <c r="D290" s="18"/>
      <c r="E290" s="18"/>
    </row>
    <row r="291">
      <c r="B291" s="18"/>
      <c r="C291" s="18"/>
      <c r="D291" s="18"/>
      <c r="E291" s="18"/>
    </row>
    <row r="292">
      <c r="B292" s="18"/>
      <c r="C292" s="18"/>
      <c r="D292" s="18"/>
      <c r="E292" s="18"/>
    </row>
    <row r="293">
      <c r="B293" s="18"/>
      <c r="C293" s="18"/>
      <c r="D293" s="18"/>
      <c r="E293" s="18"/>
    </row>
    <row r="294">
      <c r="B294" s="18"/>
      <c r="C294" s="18"/>
      <c r="D294" s="18"/>
      <c r="E294" s="18"/>
    </row>
    <row r="295">
      <c r="B295" s="18"/>
      <c r="C295" s="18"/>
      <c r="D295" s="18"/>
      <c r="E295" s="18"/>
    </row>
    <row r="296">
      <c r="B296" s="18"/>
      <c r="C296" s="18"/>
      <c r="D296" s="18"/>
      <c r="E296" s="18"/>
    </row>
    <row r="297">
      <c r="B297" s="18"/>
      <c r="C297" s="18"/>
      <c r="D297" s="18"/>
      <c r="E297" s="18"/>
    </row>
    <row r="298">
      <c r="B298" s="18"/>
      <c r="C298" s="18"/>
      <c r="D298" s="18"/>
      <c r="E298" s="18"/>
    </row>
    <row r="299">
      <c r="B299" s="18"/>
      <c r="C299" s="18"/>
      <c r="D299" s="18"/>
      <c r="E299" s="18"/>
    </row>
    <row r="300">
      <c r="B300" s="18"/>
      <c r="C300" s="18"/>
      <c r="D300" s="18"/>
      <c r="E300" s="18"/>
    </row>
    <row r="301">
      <c r="B301" s="18"/>
      <c r="C301" s="18"/>
      <c r="D301" s="18"/>
      <c r="E301" s="18"/>
    </row>
    <row r="302">
      <c r="B302" s="18"/>
      <c r="C302" s="18"/>
      <c r="D302" s="18"/>
      <c r="E302" s="18"/>
    </row>
    <row r="303">
      <c r="B303" s="18"/>
      <c r="C303" s="18"/>
      <c r="D303" s="18"/>
      <c r="E303" s="18"/>
    </row>
    <row r="304">
      <c r="B304" s="18"/>
      <c r="C304" s="18"/>
      <c r="D304" s="18"/>
      <c r="E304" s="18"/>
    </row>
    <row r="305">
      <c r="B305" s="18"/>
      <c r="C305" s="18"/>
      <c r="D305" s="18"/>
      <c r="E305" s="18"/>
    </row>
    <row r="306">
      <c r="B306" s="18"/>
      <c r="C306" s="18"/>
      <c r="D306" s="18"/>
      <c r="E306" s="18"/>
    </row>
    <row r="307">
      <c r="B307" s="18"/>
      <c r="C307" s="18"/>
      <c r="D307" s="18"/>
      <c r="E307" s="18"/>
    </row>
    <row r="308">
      <c r="B308" s="18"/>
      <c r="C308" s="18"/>
      <c r="D308" s="18"/>
      <c r="E308" s="18"/>
    </row>
    <row r="309">
      <c r="B309" s="18"/>
      <c r="C309" s="18"/>
      <c r="D309" s="18"/>
      <c r="E309" s="18"/>
    </row>
    <row r="310">
      <c r="B310" s="18"/>
      <c r="C310" s="18"/>
      <c r="D310" s="18"/>
      <c r="E310" s="18"/>
    </row>
    <row r="311">
      <c r="B311" s="18"/>
      <c r="C311" s="18"/>
      <c r="D311" s="18"/>
      <c r="E311" s="18"/>
    </row>
    <row r="312">
      <c r="B312" s="18"/>
      <c r="C312" s="18"/>
      <c r="D312" s="18"/>
      <c r="E312" s="18"/>
    </row>
    <row r="313">
      <c r="B313" s="18"/>
      <c r="C313" s="18"/>
      <c r="D313" s="18"/>
      <c r="E313" s="18"/>
    </row>
    <row r="314">
      <c r="B314" s="18"/>
      <c r="C314" s="18"/>
      <c r="D314" s="18"/>
      <c r="E314" s="18"/>
    </row>
    <row r="315">
      <c r="B315" s="18"/>
      <c r="C315" s="18"/>
      <c r="D315" s="18"/>
      <c r="E315" s="18"/>
    </row>
    <row r="316">
      <c r="B316" s="18"/>
      <c r="C316" s="18"/>
      <c r="D316" s="18"/>
      <c r="E316" s="18"/>
    </row>
    <row r="317">
      <c r="B317" s="18"/>
      <c r="C317" s="18"/>
      <c r="D317" s="18"/>
      <c r="E317" s="18"/>
    </row>
    <row r="318">
      <c r="B318" s="18"/>
      <c r="C318" s="18"/>
      <c r="D318" s="18"/>
      <c r="E318" s="18"/>
    </row>
    <row r="319">
      <c r="B319" s="18"/>
      <c r="C319" s="18"/>
      <c r="D319" s="18"/>
      <c r="E319" s="18"/>
    </row>
    <row r="320">
      <c r="B320" s="18"/>
      <c r="C320" s="18"/>
      <c r="D320" s="18"/>
      <c r="E320" s="18"/>
    </row>
    <row r="321">
      <c r="B321" s="18"/>
      <c r="C321" s="18"/>
      <c r="D321" s="18"/>
      <c r="E321" s="18"/>
    </row>
    <row r="322">
      <c r="B322" s="18"/>
      <c r="C322" s="18"/>
      <c r="D322" s="18"/>
      <c r="E322" s="18"/>
    </row>
    <row r="323">
      <c r="B323" s="18"/>
      <c r="C323" s="18"/>
      <c r="D323" s="18"/>
      <c r="E323" s="18"/>
    </row>
    <row r="324">
      <c r="B324" s="18"/>
      <c r="C324" s="18"/>
      <c r="D324" s="18"/>
      <c r="E324" s="18"/>
    </row>
    <row r="325">
      <c r="B325" s="18"/>
      <c r="C325" s="18"/>
      <c r="D325" s="18"/>
      <c r="E325" s="18"/>
    </row>
    <row r="326">
      <c r="B326" s="18"/>
      <c r="C326" s="18"/>
      <c r="D326" s="18"/>
      <c r="E326" s="18"/>
    </row>
    <row r="327">
      <c r="B327" s="18"/>
      <c r="C327" s="18"/>
      <c r="D327" s="18"/>
      <c r="E327" s="18"/>
    </row>
    <row r="328">
      <c r="B328" s="18"/>
      <c r="C328" s="18"/>
      <c r="D328" s="18"/>
      <c r="E328" s="18"/>
    </row>
    <row r="329">
      <c r="B329" s="18"/>
      <c r="C329" s="18"/>
      <c r="D329" s="18"/>
      <c r="E329" s="18"/>
    </row>
    <row r="330">
      <c r="B330" s="18"/>
      <c r="C330" s="18"/>
      <c r="D330" s="18"/>
      <c r="E330" s="18"/>
    </row>
    <row r="331">
      <c r="B331" s="18"/>
      <c r="C331" s="18"/>
      <c r="D331" s="18"/>
      <c r="E331" s="18"/>
    </row>
    <row r="332">
      <c r="B332" s="18"/>
      <c r="C332" s="18"/>
      <c r="D332" s="18"/>
      <c r="E332" s="18"/>
    </row>
    <row r="333">
      <c r="B333" s="18"/>
      <c r="C333" s="18"/>
      <c r="D333" s="18"/>
      <c r="E333" s="18"/>
    </row>
    <row r="334">
      <c r="B334" s="18"/>
      <c r="C334" s="18"/>
      <c r="D334" s="18"/>
      <c r="E334" s="18"/>
    </row>
    <row r="335">
      <c r="B335" s="18"/>
      <c r="C335" s="18"/>
      <c r="D335" s="18"/>
      <c r="E335" s="18"/>
    </row>
    <row r="336">
      <c r="B336" s="18"/>
      <c r="C336" s="18"/>
      <c r="D336" s="18"/>
      <c r="E336" s="18"/>
    </row>
    <row r="337">
      <c r="B337" s="18"/>
      <c r="C337" s="18"/>
      <c r="D337" s="18"/>
      <c r="E337" s="18"/>
    </row>
    <row r="338">
      <c r="B338" s="18"/>
      <c r="C338" s="18"/>
      <c r="D338" s="18"/>
      <c r="E338" s="18"/>
    </row>
    <row r="339">
      <c r="B339" s="18"/>
      <c r="C339" s="18"/>
      <c r="D339" s="18"/>
      <c r="E339" s="18"/>
    </row>
    <row r="340">
      <c r="B340" s="18"/>
      <c r="C340" s="18"/>
      <c r="D340" s="18"/>
      <c r="E340" s="18"/>
    </row>
    <row r="341">
      <c r="B341" s="18"/>
      <c r="C341" s="18"/>
      <c r="D341" s="18"/>
      <c r="E341" s="18"/>
    </row>
    <row r="342">
      <c r="B342" s="18"/>
      <c r="C342" s="18"/>
      <c r="D342" s="18"/>
      <c r="E342" s="18"/>
    </row>
    <row r="343">
      <c r="B343" s="18"/>
      <c r="C343" s="18"/>
      <c r="D343" s="18"/>
      <c r="E343" s="18"/>
    </row>
    <row r="344">
      <c r="B344" s="18"/>
      <c r="C344" s="18"/>
      <c r="D344" s="18"/>
      <c r="E344" s="18"/>
    </row>
    <row r="345">
      <c r="B345" s="18"/>
      <c r="C345" s="18"/>
      <c r="D345" s="18"/>
      <c r="E345" s="18"/>
    </row>
    <row r="346">
      <c r="B346" s="18"/>
      <c r="C346" s="18"/>
      <c r="D346" s="18"/>
      <c r="E346" s="18"/>
    </row>
    <row r="347">
      <c r="B347" s="18"/>
      <c r="C347" s="18"/>
      <c r="D347" s="18"/>
      <c r="E347" s="18"/>
    </row>
    <row r="348">
      <c r="B348" s="18"/>
      <c r="C348" s="18"/>
      <c r="D348" s="18"/>
      <c r="E348" s="18"/>
    </row>
    <row r="349">
      <c r="B349" s="18"/>
      <c r="C349" s="18"/>
      <c r="D349" s="18"/>
      <c r="E349" s="18"/>
    </row>
    <row r="350">
      <c r="B350" s="18"/>
      <c r="C350" s="18"/>
      <c r="D350" s="18"/>
      <c r="E350" s="18"/>
    </row>
    <row r="351">
      <c r="B351" s="18"/>
      <c r="C351" s="18"/>
      <c r="D351" s="18"/>
      <c r="E351" s="18"/>
    </row>
    <row r="352">
      <c r="B352" s="18"/>
      <c r="C352" s="18"/>
      <c r="D352" s="18"/>
      <c r="E352" s="18"/>
    </row>
    <row r="353">
      <c r="B353" s="18"/>
      <c r="C353" s="18"/>
      <c r="D353" s="18"/>
      <c r="E353" s="18"/>
    </row>
    <row r="354">
      <c r="B354" s="18"/>
      <c r="C354" s="18"/>
      <c r="D354" s="18"/>
      <c r="E354" s="18"/>
    </row>
    <row r="355">
      <c r="B355" s="18"/>
      <c r="C355" s="18"/>
      <c r="D355" s="18"/>
      <c r="E355" s="18"/>
    </row>
    <row r="356">
      <c r="B356" s="18"/>
      <c r="C356" s="18"/>
      <c r="D356" s="18"/>
      <c r="E356" s="18"/>
    </row>
    <row r="357">
      <c r="B357" s="18"/>
      <c r="C357" s="18"/>
      <c r="D357" s="18"/>
      <c r="E357" s="18"/>
    </row>
    <row r="358">
      <c r="B358" s="18"/>
      <c r="C358" s="18"/>
      <c r="D358" s="18"/>
      <c r="E358" s="18"/>
    </row>
    <row r="359">
      <c r="B359" s="18"/>
      <c r="C359" s="18"/>
      <c r="D359" s="18"/>
      <c r="E359" s="18"/>
    </row>
    <row r="360">
      <c r="B360" s="18"/>
      <c r="C360" s="18"/>
      <c r="D360" s="18"/>
      <c r="E360" s="18"/>
    </row>
    <row r="361">
      <c r="B361" s="18"/>
      <c r="C361" s="18"/>
      <c r="D361" s="18"/>
      <c r="E361" s="18"/>
    </row>
    <row r="362">
      <c r="B362" s="18"/>
      <c r="C362" s="18"/>
      <c r="D362" s="18"/>
      <c r="E362" s="18"/>
    </row>
    <row r="363">
      <c r="B363" s="18"/>
      <c r="C363" s="18"/>
      <c r="D363" s="18"/>
      <c r="E363" s="18"/>
    </row>
    <row r="364">
      <c r="B364" s="18"/>
      <c r="C364" s="18"/>
      <c r="D364" s="18"/>
      <c r="E364" s="18"/>
    </row>
    <row r="365">
      <c r="B365" s="18"/>
      <c r="C365" s="18"/>
      <c r="D365" s="18"/>
      <c r="E365" s="18"/>
    </row>
    <row r="366">
      <c r="B366" s="18"/>
      <c r="C366" s="18"/>
      <c r="D366" s="18"/>
      <c r="E366" s="18"/>
    </row>
    <row r="367">
      <c r="B367" s="18"/>
      <c r="C367" s="18"/>
      <c r="D367" s="18"/>
      <c r="E367" s="18"/>
    </row>
    <row r="368">
      <c r="B368" s="18"/>
      <c r="C368" s="18"/>
      <c r="D368" s="18"/>
      <c r="E368" s="18"/>
    </row>
    <row r="369">
      <c r="B369" s="18"/>
      <c r="C369" s="18"/>
      <c r="D369" s="18"/>
      <c r="E369" s="18"/>
    </row>
    <row r="370">
      <c r="B370" s="18"/>
      <c r="C370" s="18"/>
      <c r="D370" s="18"/>
      <c r="E370" s="18"/>
    </row>
    <row r="371">
      <c r="B371" s="18"/>
      <c r="C371" s="18"/>
      <c r="D371" s="18"/>
      <c r="E371" s="18"/>
    </row>
    <row r="372">
      <c r="B372" s="18"/>
      <c r="C372" s="18"/>
      <c r="D372" s="18"/>
      <c r="E372" s="18"/>
    </row>
    <row r="373">
      <c r="B373" s="18"/>
      <c r="C373" s="18"/>
      <c r="D373" s="18"/>
      <c r="E373" s="18"/>
    </row>
    <row r="374">
      <c r="B374" s="18"/>
      <c r="C374" s="18"/>
      <c r="D374" s="18"/>
      <c r="E374" s="18"/>
    </row>
    <row r="375">
      <c r="B375" s="18"/>
      <c r="C375" s="18"/>
      <c r="D375" s="18"/>
      <c r="E375" s="18"/>
    </row>
    <row r="376">
      <c r="B376" s="18"/>
      <c r="C376" s="18"/>
      <c r="D376" s="18"/>
      <c r="E376" s="18"/>
    </row>
    <row r="377">
      <c r="B377" s="18"/>
      <c r="C377" s="18"/>
      <c r="D377" s="18"/>
      <c r="E377" s="18"/>
    </row>
    <row r="378">
      <c r="B378" s="18"/>
      <c r="C378" s="18"/>
      <c r="D378" s="18"/>
      <c r="E378" s="18"/>
    </row>
    <row r="379">
      <c r="B379" s="18"/>
      <c r="C379" s="18"/>
      <c r="D379" s="18"/>
      <c r="E379" s="18"/>
    </row>
    <row r="380">
      <c r="B380" s="18"/>
      <c r="C380" s="18"/>
      <c r="D380" s="18"/>
      <c r="E380" s="18"/>
    </row>
    <row r="381">
      <c r="B381" s="18"/>
      <c r="C381" s="18"/>
      <c r="D381" s="18"/>
      <c r="E381" s="18"/>
    </row>
    <row r="382">
      <c r="B382" s="18"/>
      <c r="C382" s="18"/>
      <c r="D382" s="18"/>
      <c r="E382" s="18"/>
    </row>
    <row r="383">
      <c r="B383" s="18"/>
      <c r="C383" s="18"/>
      <c r="D383" s="18"/>
      <c r="E383" s="18"/>
    </row>
    <row r="384">
      <c r="B384" s="18"/>
      <c r="C384" s="18"/>
      <c r="D384" s="18"/>
      <c r="E384" s="18"/>
    </row>
    <row r="385">
      <c r="B385" s="18"/>
      <c r="C385" s="18"/>
      <c r="D385" s="18"/>
      <c r="E385" s="18"/>
    </row>
    <row r="386">
      <c r="B386" s="18"/>
      <c r="C386" s="18"/>
      <c r="D386" s="18"/>
      <c r="E386" s="18"/>
    </row>
    <row r="387">
      <c r="B387" s="18"/>
      <c r="C387" s="18"/>
      <c r="D387" s="18"/>
      <c r="E387" s="18"/>
    </row>
    <row r="388">
      <c r="B388" s="18"/>
      <c r="C388" s="18"/>
      <c r="D388" s="18"/>
      <c r="E388" s="18"/>
    </row>
    <row r="389">
      <c r="B389" s="18"/>
      <c r="C389" s="18"/>
      <c r="D389" s="18"/>
      <c r="E389" s="18"/>
    </row>
    <row r="390">
      <c r="B390" s="18"/>
      <c r="C390" s="18"/>
      <c r="D390" s="18"/>
      <c r="E390" s="18"/>
    </row>
    <row r="391">
      <c r="B391" s="18"/>
      <c r="C391" s="18"/>
      <c r="D391" s="18"/>
      <c r="E391" s="18"/>
    </row>
    <row r="392">
      <c r="B392" s="18"/>
      <c r="C392" s="18"/>
      <c r="D392" s="18"/>
      <c r="E392" s="18"/>
    </row>
    <row r="393">
      <c r="B393" s="18"/>
      <c r="C393" s="18"/>
      <c r="D393" s="18"/>
      <c r="E393" s="18"/>
    </row>
    <row r="394">
      <c r="B394" s="18"/>
      <c r="C394" s="18"/>
      <c r="D394" s="18"/>
      <c r="E394" s="18"/>
    </row>
    <row r="395">
      <c r="B395" s="18"/>
      <c r="C395" s="18"/>
      <c r="D395" s="18"/>
      <c r="E395" s="18"/>
    </row>
    <row r="396">
      <c r="B396" s="18"/>
      <c r="C396" s="18"/>
      <c r="D396" s="18"/>
      <c r="E396" s="18"/>
    </row>
    <row r="397">
      <c r="B397" s="18"/>
      <c r="C397" s="18"/>
      <c r="D397" s="18"/>
      <c r="E397" s="18"/>
    </row>
    <row r="398">
      <c r="B398" s="18"/>
      <c r="C398" s="18"/>
      <c r="D398" s="18"/>
      <c r="E398" s="18"/>
    </row>
    <row r="399">
      <c r="B399" s="18"/>
      <c r="C399" s="18"/>
      <c r="D399" s="18"/>
      <c r="E399" s="18"/>
    </row>
    <row r="400">
      <c r="B400" s="18"/>
      <c r="C400" s="18"/>
      <c r="D400" s="18"/>
      <c r="E400" s="18"/>
    </row>
    <row r="401">
      <c r="B401" s="18"/>
      <c r="C401" s="18"/>
      <c r="D401" s="18"/>
      <c r="E401" s="18"/>
    </row>
    <row r="402">
      <c r="B402" s="18"/>
      <c r="C402" s="18"/>
      <c r="D402" s="18"/>
      <c r="E402" s="18"/>
    </row>
    <row r="403">
      <c r="B403" s="18"/>
      <c r="C403" s="18"/>
      <c r="D403" s="18"/>
      <c r="E403" s="18"/>
    </row>
    <row r="404">
      <c r="B404" s="18"/>
      <c r="C404" s="18"/>
      <c r="D404" s="18"/>
      <c r="E404" s="18"/>
    </row>
    <row r="405">
      <c r="B405" s="18"/>
      <c r="C405" s="18"/>
      <c r="D405" s="18"/>
      <c r="E405" s="18"/>
    </row>
    <row r="406">
      <c r="B406" s="18"/>
      <c r="C406" s="18"/>
      <c r="D406" s="18"/>
      <c r="E406" s="18"/>
    </row>
    <row r="407">
      <c r="B407" s="18"/>
      <c r="C407" s="18"/>
      <c r="D407" s="18"/>
      <c r="E407" s="18"/>
    </row>
    <row r="408">
      <c r="B408" s="18"/>
      <c r="C408" s="18"/>
      <c r="D408" s="18"/>
      <c r="E408" s="18"/>
    </row>
    <row r="409">
      <c r="B409" s="18"/>
      <c r="C409" s="18"/>
      <c r="D409" s="18"/>
      <c r="E409" s="18"/>
    </row>
    <row r="410">
      <c r="B410" s="18"/>
      <c r="C410" s="18"/>
      <c r="D410" s="18"/>
      <c r="E410" s="18"/>
    </row>
    <row r="411">
      <c r="B411" s="18"/>
      <c r="C411" s="18"/>
      <c r="D411" s="18"/>
      <c r="E411" s="18"/>
    </row>
    <row r="412">
      <c r="B412" s="18"/>
      <c r="C412" s="18"/>
      <c r="D412" s="18"/>
      <c r="E412" s="18"/>
    </row>
    <row r="413">
      <c r="B413" s="18"/>
      <c r="C413" s="18"/>
      <c r="D413" s="18"/>
      <c r="E413" s="18"/>
    </row>
    <row r="414">
      <c r="B414" s="18"/>
      <c r="C414" s="18"/>
      <c r="D414" s="18"/>
      <c r="E414" s="18"/>
    </row>
    <row r="415">
      <c r="B415" s="18"/>
      <c r="C415" s="18"/>
      <c r="D415" s="18"/>
      <c r="E415" s="18"/>
    </row>
    <row r="416">
      <c r="B416" s="18"/>
      <c r="C416" s="18"/>
      <c r="D416" s="18"/>
      <c r="E416" s="18"/>
    </row>
    <row r="417">
      <c r="B417" s="18"/>
      <c r="C417" s="18"/>
      <c r="D417" s="18"/>
      <c r="E417" s="18"/>
    </row>
    <row r="418">
      <c r="B418" s="18"/>
      <c r="C418" s="18"/>
      <c r="D418" s="18"/>
      <c r="E418" s="18"/>
    </row>
    <row r="419">
      <c r="B419" s="18"/>
      <c r="C419" s="18"/>
      <c r="D419" s="18"/>
      <c r="E419" s="18"/>
    </row>
    <row r="420">
      <c r="B420" s="18"/>
      <c r="C420" s="18"/>
      <c r="D420" s="18"/>
      <c r="E420" s="18"/>
    </row>
    <row r="421">
      <c r="B421" s="18"/>
      <c r="C421" s="18"/>
      <c r="D421" s="18"/>
      <c r="E421" s="18"/>
    </row>
    <row r="422">
      <c r="B422" s="18"/>
      <c r="C422" s="18"/>
      <c r="D422" s="18"/>
      <c r="E422" s="18"/>
    </row>
    <row r="423">
      <c r="B423" s="18"/>
      <c r="C423" s="18"/>
      <c r="D423" s="18"/>
      <c r="E423" s="18"/>
    </row>
    <row r="424">
      <c r="B424" s="18"/>
      <c r="C424" s="18"/>
      <c r="D424" s="18"/>
      <c r="E424" s="18"/>
    </row>
    <row r="425">
      <c r="B425" s="18"/>
      <c r="C425" s="18"/>
      <c r="D425" s="18"/>
      <c r="E425" s="18"/>
    </row>
    <row r="426">
      <c r="B426" s="18"/>
      <c r="C426" s="18"/>
      <c r="D426" s="18"/>
      <c r="E426" s="18"/>
    </row>
    <row r="427">
      <c r="B427" s="18"/>
      <c r="C427" s="18"/>
      <c r="D427" s="18"/>
      <c r="E427" s="18"/>
    </row>
    <row r="428">
      <c r="B428" s="18"/>
      <c r="C428" s="18"/>
      <c r="D428" s="18"/>
      <c r="E428" s="18"/>
    </row>
    <row r="429">
      <c r="B429" s="18"/>
      <c r="C429" s="18"/>
      <c r="D429" s="18"/>
      <c r="E429" s="18"/>
    </row>
    <row r="430">
      <c r="B430" s="18"/>
      <c r="C430" s="18"/>
      <c r="D430" s="18"/>
      <c r="E430" s="18"/>
    </row>
    <row r="431">
      <c r="B431" s="18"/>
      <c r="C431" s="18"/>
      <c r="D431" s="18"/>
      <c r="E431" s="18"/>
    </row>
    <row r="432">
      <c r="B432" s="18"/>
      <c r="C432" s="18"/>
      <c r="D432" s="18"/>
      <c r="E432" s="18"/>
    </row>
    <row r="433">
      <c r="B433" s="18"/>
      <c r="C433" s="18"/>
      <c r="D433" s="18"/>
      <c r="E433" s="18"/>
    </row>
    <row r="434">
      <c r="B434" s="18"/>
      <c r="C434" s="18"/>
      <c r="D434" s="18"/>
      <c r="E434" s="18"/>
    </row>
    <row r="435">
      <c r="B435" s="18"/>
      <c r="C435" s="18"/>
      <c r="D435" s="18"/>
      <c r="E435" s="18"/>
    </row>
    <row r="436">
      <c r="B436" s="18"/>
      <c r="C436" s="18"/>
      <c r="D436" s="18"/>
      <c r="E436" s="18"/>
    </row>
    <row r="437">
      <c r="B437" s="18"/>
      <c r="C437" s="18"/>
      <c r="D437" s="18"/>
      <c r="E437" s="18"/>
    </row>
    <row r="438">
      <c r="B438" s="18"/>
      <c r="C438" s="18"/>
      <c r="D438" s="18"/>
      <c r="E438" s="18"/>
    </row>
    <row r="439">
      <c r="B439" s="18"/>
      <c r="C439" s="18"/>
      <c r="D439" s="18"/>
      <c r="E439" s="18"/>
    </row>
    <row r="440">
      <c r="B440" s="18"/>
      <c r="C440" s="18"/>
      <c r="D440" s="18"/>
      <c r="E440" s="18"/>
    </row>
    <row r="441">
      <c r="B441" s="18"/>
      <c r="C441" s="18"/>
      <c r="D441" s="18"/>
      <c r="E441" s="18"/>
    </row>
    <row r="442">
      <c r="B442" s="18"/>
      <c r="C442" s="18"/>
      <c r="D442" s="18"/>
      <c r="E442" s="18"/>
    </row>
    <row r="443">
      <c r="B443" s="18"/>
      <c r="C443" s="18"/>
      <c r="D443" s="18"/>
      <c r="E443" s="18"/>
    </row>
    <row r="444">
      <c r="B444" s="18"/>
      <c r="C444" s="18"/>
      <c r="D444" s="18"/>
      <c r="E444" s="18"/>
    </row>
    <row r="445">
      <c r="B445" s="18"/>
      <c r="C445" s="18"/>
      <c r="D445" s="18"/>
      <c r="E445" s="18"/>
    </row>
    <row r="446">
      <c r="B446" s="18"/>
      <c r="C446" s="18"/>
      <c r="D446" s="18"/>
      <c r="E446" s="18"/>
    </row>
    <row r="447">
      <c r="B447" s="18"/>
      <c r="C447" s="18"/>
      <c r="D447" s="18"/>
      <c r="E447" s="18"/>
    </row>
    <row r="448">
      <c r="B448" s="18"/>
      <c r="C448" s="18"/>
      <c r="D448" s="18"/>
      <c r="E448" s="18"/>
    </row>
    <row r="449">
      <c r="B449" s="18"/>
      <c r="C449" s="18"/>
      <c r="D449" s="18"/>
      <c r="E449" s="18"/>
    </row>
    <row r="450">
      <c r="B450" s="18"/>
      <c r="C450" s="18"/>
      <c r="D450" s="18"/>
      <c r="E450" s="18"/>
    </row>
    <row r="451">
      <c r="B451" s="18"/>
      <c r="C451" s="18"/>
      <c r="D451" s="18"/>
      <c r="E451" s="18"/>
    </row>
    <row r="452">
      <c r="B452" s="18"/>
      <c r="C452" s="18"/>
      <c r="D452" s="18"/>
      <c r="E452" s="18"/>
    </row>
    <row r="453">
      <c r="B453" s="18"/>
      <c r="C453" s="18"/>
      <c r="D453" s="18"/>
      <c r="E453" s="18"/>
    </row>
    <row r="454">
      <c r="B454" s="18"/>
      <c r="C454" s="18"/>
      <c r="D454" s="18"/>
      <c r="E454" s="18"/>
    </row>
    <row r="455">
      <c r="B455" s="18"/>
      <c r="C455" s="18"/>
      <c r="D455" s="18"/>
      <c r="E455" s="18"/>
    </row>
    <row r="456">
      <c r="B456" s="18"/>
      <c r="C456" s="18"/>
      <c r="D456" s="18"/>
      <c r="E456" s="18"/>
    </row>
    <row r="457">
      <c r="B457" s="18"/>
      <c r="C457" s="18"/>
      <c r="D457" s="18"/>
      <c r="E457" s="18"/>
    </row>
    <row r="458">
      <c r="B458" s="18"/>
      <c r="C458" s="18"/>
      <c r="D458" s="18"/>
      <c r="E458" s="18"/>
    </row>
    <row r="459">
      <c r="B459" s="18"/>
      <c r="C459" s="18"/>
      <c r="D459" s="18"/>
      <c r="E459" s="18"/>
    </row>
    <row r="460">
      <c r="B460" s="18"/>
      <c r="C460" s="18"/>
      <c r="D460" s="18"/>
      <c r="E460" s="18"/>
    </row>
    <row r="461">
      <c r="B461" s="18"/>
      <c r="C461" s="18"/>
      <c r="D461" s="18"/>
      <c r="E461" s="18"/>
    </row>
    <row r="462">
      <c r="B462" s="18"/>
      <c r="C462" s="18"/>
      <c r="D462" s="18"/>
      <c r="E462" s="18"/>
    </row>
    <row r="463">
      <c r="B463" s="18"/>
      <c r="C463" s="18"/>
      <c r="D463" s="18"/>
      <c r="E463" s="18"/>
    </row>
    <row r="464">
      <c r="B464" s="18"/>
      <c r="C464" s="18"/>
      <c r="D464" s="18"/>
      <c r="E464" s="18"/>
    </row>
    <row r="465">
      <c r="B465" s="18"/>
      <c r="C465" s="18"/>
      <c r="D465" s="18"/>
      <c r="E465" s="18"/>
    </row>
    <row r="466">
      <c r="B466" s="18"/>
      <c r="C466" s="18"/>
      <c r="D466" s="18"/>
      <c r="E466" s="18"/>
    </row>
    <row r="467">
      <c r="B467" s="18"/>
      <c r="C467" s="18"/>
      <c r="D467" s="18"/>
      <c r="E467" s="18"/>
    </row>
    <row r="468">
      <c r="B468" s="18"/>
      <c r="C468" s="18"/>
      <c r="D468" s="18"/>
      <c r="E468" s="18"/>
    </row>
    <row r="469">
      <c r="B469" s="18"/>
      <c r="C469" s="18"/>
      <c r="D469" s="18"/>
      <c r="E469" s="18"/>
    </row>
    <row r="470">
      <c r="B470" s="18"/>
      <c r="C470" s="18"/>
      <c r="D470" s="18"/>
      <c r="E470" s="18"/>
    </row>
    <row r="471">
      <c r="B471" s="18"/>
      <c r="C471" s="18"/>
      <c r="D471" s="18"/>
      <c r="E471" s="18"/>
    </row>
    <row r="472">
      <c r="B472" s="18"/>
      <c r="C472" s="18"/>
      <c r="D472" s="18"/>
      <c r="E472" s="18"/>
    </row>
    <row r="473">
      <c r="B473" s="18"/>
      <c r="C473" s="18"/>
      <c r="D473" s="18"/>
      <c r="E473" s="18"/>
    </row>
    <row r="474">
      <c r="B474" s="18"/>
      <c r="C474" s="18"/>
      <c r="D474" s="18"/>
      <c r="E474" s="18"/>
    </row>
    <row r="475">
      <c r="B475" s="18"/>
      <c r="C475" s="18"/>
      <c r="D475" s="18"/>
      <c r="E475" s="18"/>
    </row>
    <row r="476">
      <c r="B476" s="18"/>
      <c r="C476" s="18"/>
      <c r="D476" s="18"/>
      <c r="E476" s="18"/>
    </row>
    <row r="477">
      <c r="B477" s="18"/>
      <c r="C477" s="18"/>
      <c r="D477" s="18"/>
      <c r="E477" s="18"/>
    </row>
    <row r="478">
      <c r="B478" s="18"/>
      <c r="C478" s="18"/>
      <c r="D478" s="18"/>
      <c r="E478" s="18"/>
    </row>
    <row r="479">
      <c r="B479" s="18"/>
      <c r="C479" s="18"/>
      <c r="D479" s="18"/>
      <c r="E479" s="18"/>
    </row>
    <row r="480">
      <c r="B480" s="18"/>
      <c r="C480" s="18"/>
      <c r="D480" s="18"/>
      <c r="E480" s="18"/>
    </row>
    <row r="481">
      <c r="B481" s="18"/>
      <c r="C481" s="18"/>
      <c r="D481" s="18"/>
      <c r="E481" s="18"/>
    </row>
    <row r="482">
      <c r="B482" s="18"/>
      <c r="C482" s="18"/>
      <c r="D482" s="18"/>
      <c r="E482" s="18"/>
    </row>
    <row r="483">
      <c r="B483" s="18"/>
      <c r="C483" s="18"/>
      <c r="D483" s="18"/>
      <c r="E483" s="18"/>
    </row>
    <row r="484">
      <c r="B484" s="18"/>
      <c r="C484" s="18"/>
      <c r="D484" s="18"/>
      <c r="E484" s="18"/>
    </row>
    <row r="485">
      <c r="B485" s="18"/>
      <c r="C485" s="18"/>
      <c r="D485" s="18"/>
      <c r="E485" s="18"/>
    </row>
    <row r="486">
      <c r="B486" s="18"/>
      <c r="C486" s="18"/>
      <c r="D486" s="18"/>
      <c r="E486" s="18"/>
    </row>
    <row r="487">
      <c r="B487" s="18"/>
      <c r="C487" s="18"/>
      <c r="D487" s="18"/>
      <c r="E487" s="18"/>
    </row>
    <row r="488">
      <c r="B488" s="18"/>
      <c r="C488" s="18"/>
      <c r="D488" s="18"/>
      <c r="E488" s="18"/>
    </row>
    <row r="489">
      <c r="B489" s="18"/>
      <c r="C489" s="18"/>
      <c r="D489" s="18"/>
      <c r="E489" s="18"/>
    </row>
    <row r="490">
      <c r="B490" s="18"/>
      <c r="C490" s="18"/>
      <c r="D490" s="18"/>
      <c r="E490" s="18"/>
    </row>
    <row r="491">
      <c r="B491" s="18"/>
      <c r="C491" s="18"/>
      <c r="D491" s="18"/>
      <c r="E491" s="18"/>
    </row>
    <row r="492">
      <c r="B492" s="18"/>
      <c r="C492" s="18"/>
      <c r="D492" s="18"/>
      <c r="E492" s="18"/>
    </row>
    <row r="493">
      <c r="B493" s="18"/>
      <c r="C493" s="18"/>
      <c r="D493" s="18"/>
      <c r="E493" s="18"/>
    </row>
    <row r="494">
      <c r="B494" s="18"/>
      <c r="C494" s="18"/>
      <c r="D494" s="18"/>
      <c r="E494" s="18"/>
    </row>
    <row r="495">
      <c r="B495" s="18"/>
      <c r="C495" s="18"/>
      <c r="D495" s="18"/>
      <c r="E495" s="18"/>
    </row>
    <row r="496">
      <c r="B496" s="18"/>
      <c r="C496" s="18"/>
      <c r="D496" s="18"/>
      <c r="E496" s="18"/>
    </row>
    <row r="497">
      <c r="B497" s="18"/>
      <c r="C497" s="18"/>
      <c r="D497" s="18"/>
      <c r="E497" s="18"/>
    </row>
    <row r="498">
      <c r="B498" s="18"/>
      <c r="C498" s="18"/>
      <c r="D498" s="18"/>
      <c r="E498" s="18"/>
    </row>
    <row r="499">
      <c r="B499" s="18"/>
      <c r="C499" s="18"/>
      <c r="D499" s="18"/>
      <c r="E499" s="18"/>
    </row>
    <row r="500">
      <c r="B500" s="18"/>
      <c r="C500" s="18"/>
      <c r="D500" s="18"/>
      <c r="E500" s="18"/>
    </row>
    <row r="501">
      <c r="B501" s="18"/>
      <c r="C501" s="18"/>
      <c r="D501" s="18"/>
      <c r="E501" s="18"/>
    </row>
    <row r="502">
      <c r="B502" s="18"/>
      <c r="C502" s="18"/>
      <c r="D502" s="18"/>
      <c r="E502" s="18"/>
    </row>
    <row r="503">
      <c r="B503" s="18"/>
      <c r="C503" s="18"/>
      <c r="D503" s="18"/>
      <c r="E503" s="18"/>
    </row>
    <row r="504">
      <c r="B504" s="18"/>
      <c r="C504" s="18"/>
      <c r="D504" s="18"/>
      <c r="E504" s="18"/>
    </row>
    <row r="505">
      <c r="B505" s="18"/>
      <c r="C505" s="18"/>
      <c r="D505" s="18"/>
      <c r="E505" s="18"/>
    </row>
    <row r="506">
      <c r="B506" s="18"/>
      <c r="C506" s="18"/>
      <c r="D506" s="18"/>
      <c r="E506" s="18"/>
    </row>
    <row r="507">
      <c r="B507" s="18"/>
      <c r="C507" s="18"/>
      <c r="D507" s="18"/>
      <c r="E507" s="18"/>
    </row>
    <row r="508">
      <c r="B508" s="18"/>
      <c r="C508" s="18"/>
      <c r="D508" s="18"/>
      <c r="E508" s="18"/>
    </row>
    <row r="509">
      <c r="B509" s="18"/>
      <c r="C509" s="18"/>
      <c r="D509" s="18"/>
      <c r="E509" s="18"/>
    </row>
    <row r="510">
      <c r="B510" s="18"/>
      <c r="C510" s="18"/>
      <c r="D510" s="18"/>
      <c r="E510" s="18"/>
    </row>
    <row r="511">
      <c r="B511" s="18"/>
      <c r="C511" s="18"/>
      <c r="D511" s="18"/>
      <c r="E511" s="18"/>
    </row>
    <row r="512">
      <c r="B512" s="18"/>
      <c r="C512" s="18"/>
      <c r="D512" s="18"/>
      <c r="E512" s="18"/>
    </row>
    <row r="513">
      <c r="B513" s="18"/>
      <c r="C513" s="18"/>
      <c r="D513" s="18"/>
      <c r="E513" s="18"/>
    </row>
    <row r="514">
      <c r="B514" s="18"/>
      <c r="C514" s="18"/>
      <c r="D514" s="18"/>
      <c r="E514" s="18"/>
    </row>
    <row r="515">
      <c r="B515" s="18"/>
      <c r="C515" s="18"/>
      <c r="D515" s="18"/>
      <c r="E515" s="18"/>
    </row>
    <row r="516">
      <c r="B516" s="18"/>
      <c r="C516" s="18"/>
      <c r="D516" s="18"/>
      <c r="E516" s="18"/>
    </row>
    <row r="517">
      <c r="B517" s="18"/>
      <c r="C517" s="18"/>
      <c r="D517" s="18"/>
      <c r="E517" s="18"/>
    </row>
    <row r="518">
      <c r="B518" s="18"/>
      <c r="C518" s="18"/>
      <c r="D518" s="18"/>
      <c r="E518" s="18"/>
    </row>
    <row r="519">
      <c r="B519" s="18"/>
      <c r="C519" s="18"/>
      <c r="D519" s="18"/>
      <c r="E519" s="18"/>
    </row>
    <row r="520">
      <c r="B520" s="18"/>
      <c r="C520" s="18"/>
      <c r="D520" s="18"/>
      <c r="E520" s="18"/>
    </row>
    <row r="521">
      <c r="B521" s="18"/>
      <c r="C521" s="18"/>
      <c r="D521" s="18"/>
      <c r="E521" s="18"/>
    </row>
    <row r="522">
      <c r="B522" s="18"/>
      <c r="C522" s="18"/>
      <c r="D522" s="18"/>
      <c r="E522" s="18"/>
    </row>
    <row r="523">
      <c r="B523" s="18"/>
      <c r="C523" s="18"/>
      <c r="D523" s="18"/>
      <c r="E523" s="18"/>
    </row>
    <row r="524">
      <c r="B524" s="18"/>
      <c r="C524" s="18"/>
      <c r="D524" s="18"/>
      <c r="E524" s="18"/>
    </row>
    <row r="525">
      <c r="B525" s="18"/>
      <c r="C525" s="18"/>
      <c r="D525" s="18"/>
      <c r="E525" s="18"/>
    </row>
    <row r="526">
      <c r="B526" s="18"/>
      <c r="C526" s="18"/>
      <c r="D526" s="18"/>
      <c r="E526" s="18"/>
    </row>
    <row r="527">
      <c r="B527" s="18"/>
      <c r="C527" s="18"/>
      <c r="D527" s="18"/>
      <c r="E527" s="18"/>
    </row>
    <row r="528">
      <c r="B528" s="18"/>
      <c r="C528" s="18"/>
      <c r="D528" s="18"/>
      <c r="E528" s="18"/>
    </row>
    <row r="529">
      <c r="B529" s="18"/>
      <c r="C529" s="18"/>
      <c r="D529" s="18"/>
      <c r="E529" s="18"/>
    </row>
    <row r="530">
      <c r="B530" s="18"/>
      <c r="C530" s="18"/>
      <c r="D530" s="18"/>
      <c r="E530" s="18"/>
    </row>
    <row r="531">
      <c r="B531" s="18"/>
      <c r="C531" s="18"/>
      <c r="D531" s="18"/>
      <c r="E531" s="18"/>
    </row>
    <row r="532">
      <c r="B532" s="18"/>
      <c r="C532" s="18"/>
      <c r="D532" s="18"/>
      <c r="E532" s="18"/>
    </row>
    <row r="533">
      <c r="B533" s="18"/>
      <c r="C533" s="18"/>
      <c r="D533" s="18"/>
      <c r="E533" s="18"/>
    </row>
    <row r="534">
      <c r="B534" s="18"/>
      <c r="C534" s="18"/>
      <c r="D534" s="18"/>
      <c r="E534" s="18"/>
    </row>
    <row r="535">
      <c r="B535" s="18"/>
      <c r="C535" s="18"/>
      <c r="D535" s="18"/>
      <c r="E535" s="18"/>
    </row>
    <row r="536">
      <c r="B536" s="18"/>
      <c r="C536" s="18"/>
      <c r="D536" s="18"/>
      <c r="E536" s="18"/>
    </row>
    <row r="537">
      <c r="B537" s="18"/>
      <c r="C537" s="18"/>
      <c r="D537" s="18"/>
      <c r="E537" s="18"/>
    </row>
    <row r="538">
      <c r="B538" s="18"/>
      <c r="C538" s="18"/>
      <c r="D538" s="18"/>
      <c r="E538" s="18"/>
    </row>
    <row r="539">
      <c r="B539" s="18"/>
      <c r="C539" s="18"/>
      <c r="D539" s="18"/>
      <c r="E539" s="18"/>
    </row>
    <row r="540">
      <c r="B540" s="18"/>
      <c r="C540" s="18"/>
      <c r="D540" s="18"/>
      <c r="E540" s="18"/>
    </row>
    <row r="541">
      <c r="B541" s="18"/>
      <c r="C541" s="18"/>
      <c r="D541" s="18"/>
      <c r="E541" s="18"/>
    </row>
    <row r="542">
      <c r="B542" s="18"/>
      <c r="C542" s="18"/>
      <c r="D542" s="18"/>
      <c r="E542" s="18"/>
    </row>
    <row r="543">
      <c r="B543" s="18"/>
      <c r="C543" s="18"/>
      <c r="D543" s="18"/>
      <c r="E543" s="18"/>
    </row>
    <row r="544">
      <c r="B544" s="18"/>
      <c r="C544" s="18"/>
      <c r="D544" s="18"/>
      <c r="E544" s="18"/>
    </row>
    <row r="545">
      <c r="B545" s="18"/>
      <c r="C545" s="18"/>
      <c r="D545" s="18"/>
      <c r="E545" s="18"/>
    </row>
    <row r="546">
      <c r="B546" s="18"/>
      <c r="C546" s="18"/>
      <c r="D546" s="18"/>
      <c r="E546" s="18"/>
    </row>
    <row r="547">
      <c r="B547" s="18"/>
      <c r="C547" s="18"/>
      <c r="D547" s="18"/>
      <c r="E547" s="18"/>
    </row>
    <row r="548">
      <c r="B548" s="18"/>
      <c r="C548" s="18"/>
      <c r="D548" s="18"/>
      <c r="E548" s="18"/>
    </row>
    <row r="549">
      <c r="B549" s="18"/>
      <c r="C549" s="18"/>
      <c r="D549" s="18"/>
      <c r="E549" s="18"/>
    </row>
    <row r="550">
      <c r="B550" s="18"/>
      <c r="C550" s="18"/>
      <c r="D550" s="18"/>
      <c r="E550" s="18"/>
    </row>
    <row r="551">
      <c r="B551" s="18"/>
      <c r="C551" s="18"/>
      <c r="D551" s="18"/>
      <c r="E551" s="18"/>
    </row>
    <row r="552">
      <c r="B552" s="18"/>
      <c r="C552" s="18"/>
      <c r="D552" s="18"/>
      <c r="E552" s="18"/>
    </row>
    <row r="553">
      <c r="B553" s="18"/>
      <c r="C553" s="18"/>
      <c r="D553" s="18"/>
      <c r="E553" s="18"/>
    </row>
    <row r="554">
      <c r="B554" s="18"/>
      <c r="C554" s="18"/>
      <c r="D554" s="18"/>
      <c r="E554" s="18"/>
    </row>
    <row r="555">
      <c r="B555" s="18"/>
      <c r="C555" s="18"/>
      <c r="D555" s="18"/>
      <c r="E555" s="18"/>
    </row>
    <row r="556">
      <c r="B556" s="18"/>
      <c r="C556" s="18"/>
      <c r="D556" s="18"/>
      <c r="E556" s="18"/>
    </row>
    <row r="557">
      <c r="B557" s="18"/>
      <c r="C557" s="18"/>
      <c r="D557" s="18"/>
      <c r="E557" s="18"/>
    </row>
    <row r="558">
      <c r="B558" s="18"/>
      <c r="C558" s="18"/>
      <c r="D558" s="18"/>
      <c r="E558" s="18"/>
    </row>
    <row r="559">
      <c r="B559" s="18"/>
      <c r="C559" s="18"/>
      <c r="D559" s="18"/>
      <c r="E559" s="18"/>
    </row>
    <row r="560">
      <c r="B560" s="18"/>
      <c r="C560" s="18"/>
      <c r="D560" s="18"/>
      <c r="E560" s="18"/>
    </row>
    <row r="561">
      <c r="B561" s="18"/>
      <c r="C561" s="18"/>
      <c r="D561" s="18"/>
      <c r="E561" s="18"/>
    </row>
    <row r="562">
      <c r="B562" s="18"/>
      <c r="C562" s="18"/>
      <c r="D562" s="18"/>
      <c r="E562" s="18"/>
    </row>
    <row r="563">
      <c r="B563" s="18"/>
      <c r="C563" s="18"/>
      <c r="D563" s="18"/>
      <c r="E563" s="18"/>
    </row>
    <row r="564">
      <c r="B564" s="18"/>
      <c r="C564" s="18"/>
      <c r="D564" s="18"/>
      <c r="E564" s="18"/>
    </row>
    <row r="565">
      <c r="B565" s="18"/>
      <c r="C565" s="18"/>
      <c r="D565" s="18"/>
      <c r="E565" s="18"/>
    </row>
    <row r="566">
      <c r="B566" s="18"/>
      <c r="C566" s="18"/>
      <c r="D566" s="18"/>
      <c r="E566" s="18"/>
    </row>
    <row r="567">
      <c r="B567" s="18"/>
      <c r="C567" s="18"/>
      <c r="D567" s="18"/>
      <c r="E567" s="18"/>
    </row>
    <row r="568">
      <c r="B568" s="18"/>
      <c r="C568" s="18"/>
      <c r="D568" s="18"/>
      <c r="E568" s="18"/>
    </row>
    <row r="569">
      <c r="B569" s="18"/>
      <c r="C569" s="18"/>
      <c r="D569" s="18"/>
      <c r="E569" s="18"/>
    </row>
    <row r="570">
      <c r="B570" s="18"/>
      <c r="C570" s="18"/>
      <c r="D570" s="18"/>
      <c r="E570" s="18"/>
    </row>
    <row r="571">
      <c r="B571" s="18"/>
      <c r="C571" s="18"/>
      <c r="D571" s="18"/>
      <c r="E571" s="18"/>
    </row>
    <row r="572">
      <c r="B572" s="18"/>
      <c r="C572" s="18"/>
      <c r="D572" s="18"/>
      <c r="E572" s="18"/>
    </row>
    <row r="573">
      <c r="B573" s="18"/>
      <c r="C573" s="18"/>
      <c r="D573" s="18"/>
      <c r="E573" s="18"/>
    </row>
    <row r="574">
      <c r="B574" s="18"/>
      <c r="C574" s="18"/>
      <c r="D574" s="18"/>
      <c r="E574" s="18"/>
    </row>
    <row r="575">
      <c r="B575" s="18"/>
      <c r="C575" s="18"/>
      <c r="D575" s="18"/>
      <c r="E575" s="18"/>
    </row>
    <row r="576">
      <c r="B576" s="18"/>
      <c r="C576" s="18"/>
      <c r="D576" s="18"/>
      <c r="E576" s="18"/>
    </row>
    <row r="577">
      <c r="B577" s="18"/>
      <c r="C577" s="18"/>
      <c r="D577" s="18"/>
      <c r="E577" s="18"/>
    </row>
    <row r="578">
      <c r="B578" s="18"/>
      <c r="C578" s="18"/>
      <c r="D578" s="18"/>
      <c r="E578" s="18"/>
    </row>
    <row r="579">
      <c r="B579" s="18"/>
      <c r="C579" s="18"/>
      <c r="D579" s="18"/>
      <c r="E579" s="18"/>
    </row>
    <row r="580">
      <c r="B580" s="18"/>
      <c r="C580" s="18"/>
      <c r="D580" s="18"/>
      <c r="E580" s="18"/>
    </row>
    <row r="581">
      <c r="B581" s="18"/>
      <c r="C581" s="18"/>
      <c r="D581" s="18"/>
      <c r="E581" s="18"/>
    </row>
    <row r="582">
      <c r="B582" s="18"/>
      <c r="C582" s="18"/>
      <c r="D582" s="18"/>
      <c r="E582" s="18"/>
    </row>
    <row r="583">
      <c r="B583" s="18"/>
      <c r="C583" s="18"/>
      <c r="D583" s="18"/>
      <c r="E583" s="18"/>
    </row>
    <row r="584">
      <c r="B584" s="18"/>
      <c r="C584" s="18"/>
      <c r="D584" s="18"/>
      <c r="E584" s="18"/>
    </row>
    <row r="585">
      <c r="B585" s="18"/>
      <c r="C585" s="18"/>
      <c r="D585" s="18"/>
      <c r="E585" s="18"/>
    </row>
    <row r="586">
      <c r="B586" s="18"/>
      <c r="C586" s="18"/>
      <c r="D586" s="18"/>
      <c r="E586" s="18"/>
    </row>
    <row r="587">
      <c r="B587" s="18"/>
      <c r="C587" s="18"/>
      <c r="D587" s="18"/>
      <c r="E587" s="18"/>
    </row>
    <row r="588">
      <c r="B588" s="18"/>
      <c r="C588" s="18"/>
      <c r="D588" s="18"/>
      <c r="E588" s="18"/>
    </row>
    <row r="589">
      <c r="B589" s="18"/>
      <c r="C589" s="18"/>
      <c r="D589" s="18"/>
      <c r="E589" s="18"/>
    </row>
    <row r="590">
      <c r="B590" s="18"/>
      <c r="C590" s="18"/>
      <c r="D590" s="18"/>
      <c r="E590" s="18"/>
    </row>
    <row r="591">
      <c r="B591" s="18"/>
      <c r="C591" s="18"/>
      <c r="D591" s="18"/>
      <c r="E591" s="18"/>
    </row>
    <row r="592">
      <c r="B592" s="18"/>
      <c r="C592" s="18"/>
      <c r="D592" s="18"/>
      <c r="E592" s="18"/>
    </row>
    <row r="593">
      <c r="B593" s="18"/>
      <c r="C593" s="18"/>
      <c r="D593" s="18"/>
      <c r="E593" s="18"/>
    </row>
    <row r="594">
      <c r="B594" s="18"/>
      <c r="C594" s="18"/>
      <c r="D594" s="18"/>
      <c r="E594" s="18"/>
    </row>
    <row r="595">
      <c r="B595" s="18"/>
      <c r="C595" s="18"/>
      <c r="D595" s="18"/>
      <c r="E595" s="18"/>
    </row>
    <row r="596">
      <c r="B596" s="18"/>
      <c r="C596" s="18"/>
      <c r="D596" s="18"/>
      <c r="E596" s="18"/>
    </row>
    <row r="597">
      <c r="B597" s="18"/>
      <c r="C597" s="18"/>
      <c r="D597" s="18"/>
      <c r="E597" s="18"/>
    </row>
    <row r="598">
      <c r="B598" s="18"/>
      <c r="C598" s="18"/>
      <c r="D598" s="18"/>
      <c r="E598" s="18"/>
    </row>
    <row r="599">
      <c r="B599" s="18"/>
      <c r="C599" s="18"/>
      <c r="D599" s="18"/>
      <c r="E599" s="18"/>
    </row>
    <row r="600">
      <c r="B600" s="18"/>
      <c r="C600" s="18"/>
      <c r="D600" s="18"/>
      <c r="E600" s="18"/>
    </row>
    <row r="601">
      <c r="B601" s="18"/>
      <c r="C601" s="18"/>
      <c r="D601" s="18"/>
      <c r="E601" s="18"/>
    </row>
    <row r="602">
      <c r="B602" s="18"/>
      <c r="C602" s="18"/>
      <c r="D602" s="18"/>
      <c r="E602" s="18"/>
    </row>
    <row r="603">
      <c r="B603" s="18"/>
      <c r="C603" s="18"/>
      <c r="D603" s="18"/>
      <c r="E603" s="18"/>
    </row>
    <row r="604">
      <c r="B604" s="18"/>
      <c r="C604" s="18"/>
      <c r="D604" s="18"/>
      <c r="E604" s="18"/>
    </row>
    <row r="605">
      <c r="B605" s="18"/>
      <c r="C605" s="18"/>
      <c r="D605" s="18"/>
      <c r="E605" s="18"/>
    </row>
    <row r="606">
      <c r="B606" s="18"/>
      <c r="C606" s="18"/>
      <c r="D606" s="18"/>
      <c r="E606" s="18"/>
    </row>
    <row r="607">
      <c r="B607" s="18"/>
      <c r="C607" s="18"/>
      <c r="D607" s="18"/>
      <c r="E607" s="18"/>
    </row>
    <row r="608">
      <c r="B608" s="18"/>
      <c r="C608" s="18"/>
      <c r="D608" s="18"/>
      <c r="E608" s="18"/>
    </row>
    <row r="609">
      <c r="B609" s="18"/>
      <c r="C609" s="18"/>
      <c r="D609" s="18"/>
      <c r="E609" s="18"/>
    </row>
    <row r="610">
      <c r="B610" s="18"/>
      <c r="C610" s="18"/>
      <c r="D610" s="18"/>
      <c r="E610" s="18"/>
    </row>
    <row r="611">
      <c r="B611" s="18"/>
      <c r="C611" s="18"/>
      <c r="D611" s="18"/>
      <c r="E611" s="18"/>
    </row>
    <row r="612">
      <c r="B612" s="18"/>
      <c r="C612" s="18"/>
      <c r="D612" s="18"/>
      <c r="E612" s="18"/>
    </row>
    <row r="613">
      <c r="B613" s="18"/>
      <c r="C613" s="18"/>
      <c r="D613" s="18"/>
      <c r="E613" s="18"/>
    </row>
    <row r="614">
      <c r="B614" s="18"/>
      <c r="C614" s="18"/>
      <c r="D614" s="18"/>
      <c r="E614" s="18"/>
    </row>
    <row r="615">
      <c r="B615" s="18"/>
      <c r="C615" s="18"/>
      <c r="D615" s="18"/>
      <c r="E615" s="18"/>
    </row>
    <row r="616">
      <c r="B616" s="18"/>
      <c r="C616" s="18"/>
      <c r="D616" s="18"/>
      <c r="E616" s="18"/>
    </row>
    <row r="617">
      <c r="B617" s="18"/>
      <c r="C617" s="18"/>
      <c r="D617" s="18"/>
      <c r="E617" s="18"/>
    </row>
    <row r="618">
      <c r="B618" s="18"/>
      <c r="C618" s="18"/>
      <c r="D618" s="18"/>
      <c r="E618" s="18"/>
    </row>
    <row r="619">
      <c r="B619" s="18"/>
      <c r="C619" s="18"/>
      <c r="D619" s="18"/>
      <c r="E619" s="18"/>
    </row>
    <row r="620">
      <c r="B620" s="18"/>
      <c r="C620" s="18"/>
      <c r="D620" s="18"/>
      <c r="E620" s="18"/>
    </row>
    <row r="621">
      <c r="B621" s="18"/>
      <c r="C621" s="18"/>
      <c r="D621" s="18"/>
      <c r="E621" s="18"/>
    </row>
    <row r="622">
      <c r="B622" s="18"/>
      <c r="C622" s="18"/>
      <c r="D622" s="18"/>
      <c r="E622" s="18"/>
    </row>
    <row r="623">
      <c r="B623" s="18"/>
      <c r="C623" s="18"/>
      <c r="D623" s="18"/>
      <c r="E623" s="18"/>
    </row>
    <row r="624">
      <c r="B624" s="18"/>
      <c r="C624" s="18"/>
      <c r="D624" s="18"/>
      <c r="E624" s="18"/>
    </row>
    <row r="625">
      <c r="B625" s="18"/>
      <c r="C625" s="18"/>
      <c r="D625" s="18"/>
      <c r="E625" s="18"/>
    </row>
    <row r="626">
      <c r="B626" s="18"/>
      <c r="C626" s="18"/>
      <c r="D626" s="18"/>
      <c r="E626" s="18"/>
    </row>
    <row r="627">
      <c r="B627" s="18"/>
      <c r="C627" s="18"/>
      <c r="D627" s="18"/>
      <c r="E627" s="18"/>
    </row>
    <row r="628">
      <c r="B628" s="18"/>
      <c r="C628" s="18"/>
      <c r="D628" s="18"/>
      <c r="E628" s="18"/>
    </row>
    <row r="629">
      <c r="B629" s="18"/>
      <c r="C629" s="18"/>
      <c r="D629" s="18"/>
      <c r="E629" s="18"/>
    </row>
    <row r="630">
      <c r="B630" s="18"/>
      <c r="C630" s="18"/>
      <c r="D630" s="18"/>
      <c r="E630" s="18"/>
    </row>
    <row r="631">
      <c r="B631" s="18"/>
      <c r="C631" s="18"/>
      <c r="D631" s="18"/>
      <c r="E631" s="18"/>
    </row>
    <row r="632">
      <c r="B632" s="18"/>
      <c r="C632" s="18"/>
      <c r="D632" s="18"/>
      <c r="E632" s="18"/>
    </row>
    <row r="633">
      <c r="B633" s="18"/>
      <c r="C633" s="18"/>
      <c r="D633" s="18"/>
      <c r="E633" s="18"/>
    </row>
    <row r="634">
      <c r="B634" s="18"/>
      <c r="C634" s="18"/>
      <c r="D634" s="18"/>
      <c r="E634" s="18"/>
    </row>
    <row r="635">
      <c r="B635" s="18"/>
      <c r="C635" s="18"/>
      <c r="D635" s="18"/>
      <c r="E635" s="18"/>
    </row>
    <row r="636">
      <c r="B636" s="18"/>
      <c r="C636" s="18"/>
      <c r="D636" s="18"/>
      <c r="E636" s="18"/>
    </row>
    <row r="637">
      <c r="B637" s="18"/>
      <c r="C637" s="18"/>
      <c r="D637" s="18"/>
      <c r="E637" s="18"/>
    </row>
    <row r="638">
      <c r="B638" s="18"/>
      <c r="C638" s="18"/>
      <c r="D638" s="18"/>
      <c r="E638" s="18"/>
    </row>
    <row r="639">
      <c r="B639" s="18"/>
      <c r="C639" s="18"/>
      <c r="D639" s="18"/>
      <c r="E639" s="18"/>
    </row>
    <row r="640">
      <c r="B640" s="18"/>
      <c r="C640" s="18"/>
      <c r="D640" s="18"/>
      <c r="E640" s="18"/>
    </row>
    <row r="641">
      <c r="B641" s="18"/>
      <c r="C641" s="18"/>
      <c r="D641" s="18"/>
      <c r="E641" s="18"/>
    </row>
    <row r="642">
      <c r="B642" s="18"/>
      <c r="C642" s="18"/>
      <c r="D642" s="18"/>
      <c r="E642" s="18"/>
    </row>
    <row r="643">
      <c r="B643" s="18"/>
      <c r="C643" s="18"/>
      <c r="D643" s="18"/>
      <c r="E643" s="18"/>
    </row>
    <row r="644">
      <c r="B644" s="18"/>
      <c r="C644" s="18"/>
      <c r="D644" s="18"/>
      <c r="E644" s="18"/>
    </row>
    <row r="645">
      <c r="B645" s="18"/>
      <c r="C645" s="18"/>
      <c r="D645" s="18"/>
      <c r="E645" s="18"/>
    </row>
    <row r="646">
      <c r="B646" s="18"/>
      <c r="C646" s="18"/>
      <c r="D646" s="18"/>
      <c r="E646" s="18"/>
    </row>
    <row r="647">
      <c r="B647" s="18"/>
      <c r="C647" s="18"/>
      <c r="D647" s="18"/>
      <c r="E647" s="18"/>
    </row>
    <row r="648">
      <c r="B648" s="18"/>
      <c r="C648" s="18"/>
      <c r="D648" s="18"/>
      <c r="E648" s="18"/>
    </row>
    <row r="649">
      <c r="B649" s="18"/>
      <c r="C649" s="18"/>
      <c r="D649" s="18"/>
      <c r="E649" s="18"/>
    </row>
    <row r="650">
      <c r="B650" s="18"/>
      <c r="C650" s="18"/>
      <c r="D650" s="18"/>
      <c r="E650" s="18"/>
    </row>
    <row r="651">
      <c r="B651" s="18"/>
      <c r="C651" s="18"/>
      <c r="D651" s="18"/>
      <c r="E651" s="18"/>
    </row>
    <row r="652">
      <c r="B652" s="18"/>
      <c r="C652" s="18"/>
      <c r="D652" s="18"/>
      <c r="E652" s="18"/>
    </row>
    <row r="653">
      <c r="B653" s="18"/>
      <c r="C653" s="18"/>
      <c r="D653" s="18"/>
      <c r="E653" s="18"/>
    </row>
    <row r="654">
      <c r="B654" s="18"/>
      <c r="C654" s="18"/>
      <c r="D654" s="18"/>
      <c r="E654" s="18"/>
    </row>
    <row r="655">
      <c r="B655" s="18"/>
      <c r="C655" s="18"/>
      <c r="D655" s="18"/>
      <c r="E655" s="18"/>
    </row>
    <row r="656">
      <c r="B656" s="18"/>
      <c r="C656" s="18"/>
      <c r="D656" s="18"/>
      <c r="E656" s="18"/>
    </row>
    <row r="657">
      <c r="B657" s="18"/>
      <c r="C657" s="18"/>
      <c r="D657" s="18"/>
      <c r="E657" s="18"/>
    </row>
    <row r="658">
      <c r="B658" s="18"/>
      <c r="C658" s="18"/>
      <c r="D658" s="18"/>
      <c r="E658" s="18"/>
    </row>
    <row r="659">
      <c r="B659" s="18"/>
      <c r="C659" s="18"/>
      <c r="D659" s="18"/>
      <c r="E659" s="18"/>
    </row>
    <row r="660">
      <c r="B660" s="18"/>
      <c r="C660" s="18"/>
      <c r="D660" s="18"/>
      <c r="E660" s="18"/>
    </row>
    <row r="661">
      <c r="B661" s="18"/>
      <c r="C661" s="18"/>
      <c r="D661" s="18"/>
      <c r="E661" s="18"/>
    </row>
    <row r="662">
      <c r="B662" s="18"/>
      <c r="C662" s="18"/>
      <c r="D662" s="18"/>
      <c r="E662" s="18"/>
    </row>
    <row r="663">
      <c r="B663" s="18"/>
      <c r="C663" s="18"/>
      <c r="D663" s="18"/>
      <c r="E663" s="18"/>
    </row>
    <row r="664">
      <c r="B664" s="18"/>
      <c r="C664" s="18"/>
      <c r="D664" s="18"/>
      <c r="E664" s="18"/>
    </row>
    <row r="665">
      <c r="B665" s="18"/>
      <c r="C665" s="18"/>
      <c r="D665" s="18"/>
      <c r="E665" s="18"/>
    </row>
    <row r="666">
      <c r="B666" s="18"/>
      <c r="C666" s="18"/>
      <c r="D666" s="18"/>
      <c r="E666" s="18"/>
    </row>
    <row r="667">
      <c r="B667" s="18"/>
      <c r="C667" s="18"/>
      <c r="D667" s="18"/>
      <c r="E667" s="18"/>
    </row>
    <row r="668">
      <c r="B668" s="18"/>
      <c r="C668" s="18"/>
      <c r="D668" s="18"/>
      <c r="E668" s="18"/>
    </row>
    <row r="669">
      <c r="B669" s="18"/>
      <c r="C669" s="18"/>
      <c r="D669" s="18"/>
      <c r="E669" s="18"/>
    </row>
    <row r="670">
      <c r="B670" s="18"/>
      <c r="C670" s="18"/>
      <c r="D670" s="18"/>
      <c r="E670" s="18"/>
    </row>
    <row r="671">
      <c r="B671" s="18"/>
      <c r="C671" s="18"/>
      <c r="D671" s="18"/>
      <c r="E671" s="18"/>
    </row>
    <row r="672">
      <c r="B672" s="18"/>
      <c r="C672" s="18"/>
      <c r="D672" s="18"/>
      <c r="E672" s="18"/>
    </row>
    <row r="673">
      <c r="B673" s="18"/>
      <c r="C673" s="18"/>
      <c r="D673" s="18"/>
      <c r="E673" s="18"/>
    </row>
    <row r="674">
      <c r="B674" s="18"/>
      <c r="C674" s="18"/>
      <c r="D674" s="18"/>
      <c r="E674" s="18"/>
    </row>
    <row r="675">
      <c r="B675" s="18"/>
      <c r="C675" s="18"/>
      <c r="D675" s="18"/>
      <c r="E675" s="18"/>
    </row>
    <row r="676">
      <c r="B676" s="18"/>
      <c r="C676" s="18"/>
      <c r="D676" s="18"/>
      <c r="E676" s="18"/>
    </row>
    <row r="677">
      <c r="B677" s="18"/>
      <c r="C677" s="18"/>
      <c r="D677" s="18"/>
      <c r="E677" s="18"/>
    </row>
    <row r="678">
      <c r="B678" s="18"/>
      <c r="C678" s="18"/>
      <c r="D678" s="18"/>
      <c r="E678" s="18"/>
    </row>
    <row r="679">
      <c r="B679" s="18"/>
      <c r="C679" s="18"/>
      <c r="D679" s="18"/>
      <c r="E679" s="18"/>
    </row>
    <row r="680">
      <c r="B680" s="18"/>
      <c r="C680" s="18"/>
      <c r="D680" s="18"/>
      <c r="E680" s="18"/>
    </row>
    <row r="681">
      <c r="B681" s="18"/>
      <c r="C681" s="18"/>
      <c r="D681" s="18"/>
      <c r="E681" s="18"/>
    </row>
    <row r="682">
      <c r="B682" s="18"/>
      <c r="C682" s="18"/>
      <c r="D682" s="18"/>
      <c r="E682" s="18"/>
    </row>
    <row r="683">
      <c r="B683" s="18"/>
      <c r="C683" s="18"/>
      <c r="D683" s="18"/>
      <c r="E683" s="18"/>
    </row>
    <row r="684">
      <c r="B684" s="18"/>
      <c r="C684" s="18"/>
      <c r="D684" s="18"/>
      <c r="E684" s="18"/>
    </row>
    <row r="685">
      <c r="B685" s="18"/>
      <c r="C685" s="18"/>
      <c r="D685" s="18"/>
      <c r="E685" s="18"/>
    </row>
    <row r="686">
      <c r="B686" s="18"/>
      <c r="C686" s="18"/>
      <c r="D686" s="18"/>
      <c r="E686" s="18"/>
    </row>
    <row r="687">
      <c r="B687" s="18"/>
      <c r="C687" s="18"/>
      <c r="D687" s="18"/>
      <c r="E687" s="18"/>
    </row>
    <row r="688">
      <c r="B688" s="18"/>
      <c r="C688" s="18"/>
      <c r="D688" s="18"/>
      <c r="E688" s="18"/>
    </row>
    <row r="689">
      <c r="B689" s="18"/>
      <c r="C689" s="18"/>
      <c r="D689" s="18"/>
      <c r="E689" s="18"/>
    </row>
    <row r="690">
      <c r="B690" s="18"/>
      <c r="C690" s="18"/>
      <c r="D690" s="18"/>
      <c r="E690" s="18"/>
    </row>
    <row r="691">
      <c r="B691" s="18"/>
      <c r="C691" s="18"/>
      <c r="D691" s="18"/>
      <c r="E691" s="18"/>
    </row>
    <row r="692">
      <c r="B692" s="18"/>
      <c r="C692" s="18"/>
      <c r="D692" s="18"/>
      <c r="E692" s="18"/>
    </row>
    <row r="693">
      <c r="B693" s="18"/>
      <c r="C693" s="18"/>
      <c r="D693" s="18"/>
      <c r="E693" s="18"/>
    </row>
    <row r="694">
      <c r="B694" s="18"/>
      <c r="C694" s="18"/>
      <c r="D694" s="18"/>
      <c r="E694" s="18"/>
    </row>
    <row r="695">
      <c r="B695" s="18"/>
      <c r="C695" s="18"/>
      <c r="D695" s="18"/>
      <c r="E695" s="18"/>
    </row>
    <row r="696">
      <c r="B696" s="18"/>
      <c r="C696" s="18"/>
      <c r="D696" s="18"/>
      <c r="E696" s="18"/>
    </row>
    <row r="697">
      <c r="B697" s="18"/>
      <c r="C697" s="18"/>
      <c r="D697" s="18"/>
      <c r="E697" s="18"/>
    </row>
    <row r="698">
      <c r="B698" s="18"/>
      <c r="C698" s="18"/>
      <c r="D698" s="18"/>
      <c r="E698" s="18"/>
    </row>
    <row r="699">
      <c r="B699" s="18"/>
      <c r="C699" s="18"/>
      <c r="D699" s="18"/>
      <c r="E699" s="18"/>
    </row>
    <row r="700">
      <c r="B700" s="18"/>
      <c r="C700" s="18"/>
      <c r="D700" s="18"/>
      <c r="E700" s="18"/>
    </row>
    <row r="701">
      <c r="B701" s="18"/>
      <c r="C701" s="18"/>
      <c r="D701" s="18"/>
      <c r="E701" s="18"/>
    </row>
    <row r="702">
      <c r="B702" s="18"/>
      <c r="C702" s="18"/>
      <c r="D702" s="18"/>
      <c r="E702" s="18"/>
    </row>
    <row r="703">
      <c r="B703" s="18"/>
      <c r="C703" s="18"/>
      <c r="D703" s="18"/>
      <c r="E703" s="18"/>
    </row>
    <row r="704">
      <c r="B704" s="18"/>
      <c r="C704" s="18"/>
      <c r="D704" s="18"/>
      <c r="E704" s="18"/>
    </row>
    <row r="705">
      <c r="B705" s="18"/>
      <c r="C705" s="18"/>
      <c r="D705" s="18"/>
      <c r="E705" s="18"/>
    </row>
    <row r="706">
      <c r="B706" s="18"/>
      <c r="C706" s="18"/>
      <c r="D706" s="18"/>
      <c r="E706" s="18"/>
    </row>
    <row r="707">
      <c r="B707" s="18"/>
      <c r="C707" s="18"/>
      <c r="D707" s="18"/>
      <c r="E707" s="18"/>
    </row>
    <row r="708">
      <c r="B708" s="18"/>
      <c r="C708" s="18"/>
      <c r="D708" s="18"/>
      <c r="E708" s="18"/>
    </row>
    <row r="709">
      <c r="B709" s="18"/>
      <c r="C709" s="18"/>
      <c r="D709" s="18"/>
      <c r="E709" s="18"/>
    </row>
    <row r="710">
      <c r="B710" s="18"/>
      <c r="C710" s="18"/>
      <c r="D710" s="18"/>
      <c r="E710" s="18"/>
    </row>
    <row r="711">
      <c r="B711" s="18"/>
      <c r="C711" s="18"/>
      <c r="D711" s="18"/>
      <c r="E711" s="18"/>
    </row>
    <row r="712">
      <c r="B712" s="18"/>
      <c r="C712" s="18"/>
      <c r="D712" s="18"/>
      <c r="E712" s="18"/>
    </row>
    <row r="713">
      <c r="B713" s="18"/>
      <c r="C713" s="18"/>
      <c r="D713" s="18"/>
      <c r="E713" s="18"/>
    </row>
    <row r="714">
      <c r="B714" s="18"/>
      <c r="C714" s="18"/>
      <c r="D714" s="18"/>
      <c r="E714" s="18"/>
    </row>
    <row r="715">
      <c r="B715" s="18"/>
      <c r="C715" s="18"/>
      <c r="D715" s="18"/>
      <c r="E715" s="18"/>
    </row>
    <row r="716">
      <c r="B716" s="18"/>
      <c r="C716" s="18"/>
      <c r="D716" s="18"/>
      <c r="E716" s="18"/>
    </row>
    <row r="717">
      <c r="B717" s="18"/>
      <c r="C717" s="18"/>
      <c r="D717" s="18"/>
      <c r="E717" s="18"/>
    </row>
    <row r="718">
      <c r="B718" s="18"/>
      <c r="C718" s="18"/>
      <c r="D718" s="18"/>
      <c r="E718" s="18"/>
    </row>
    <row r="719">
      <c r="B719" s="18"/>
      <c r="C719" s="18"/>
      <c r="D719" s="18"/>
      <c r="E719" s="18"/>
    </row>
    <row r="720">
      <c r="B720" s="18"/>
      <c r="C720" s="18"/>
      <c r="D720" s="18"/>
      <c r="E720" s="18"/>
    </row>
    <row r="721">
      <c r="B721" s="18"/>
      <c r="C721" s="18"/>
      <c r="D721" s="18"/>
      <c r="E721" s="18"/>
    </row>
    <row r="722">
      <c r="B722" s="18"/>
      <c r="C722" s="18"/>
      <c r="D722" s="18"/>
      <c r="E722" s="18"/>
    </row>
    <row r="723">
      <c r="B723" s="18"/>
      <c r="C723" s="18"/>
      <c r="D723" s="18"/>
      <c r="E723" s="18"/>
    </row>
    <row r="724">
      <c r="B724" s="18"/>
      <c r="C724" s="18"/>
      <c r="D724" s="18"/>
      <c r="E724" s="18"/>
    </row>
    <row r="725">
      <c r="B725" s="18"/>
      <c r="C725" s="18"/>
      <c r="D725" s="18"/>
      <c r="E725" s="18"/>
    </row>
    <row r="726">
      <c r="B726" s="18"/>
      <c r="C726" s="18"/>
      <c r="D726" s="18"/>
      <c r="E726" s="18"/>
    </row>
    <row r="727">
      <c r="B727" s="18"/>
      <c r="C727" s="18"/>
      <c r="D727" s="18"/>
      <c r="E727" s="18"/>
    </row>
    <row r="728">
      <c r="B728" s="18"/>
      <c r="C728" s="18"/>
      <c r="D728" s="18"/>
      <c r="E728" s="18"/>
    </row>
    <row r="729">
      <c r="B729" s="18"/>
      <c r="C729" s="18"/>
      <c r="D729" s="18"/>
      <c r="E729" s="18"/>
    </row>
    <row r="730">
      <c r="B730" s="18"/>
      <c r="C730" s="18"/>
      <c r="D730" s="18"/>
      <c r="E730" s="18"/>
    </row>
    <row r="731">
      <c r="B731" s="18"/>
      <c r="C731" s="18"/>
      <c r="D731" s="18"/>
      <c r="E731" s="18"/>
    </row>
    <row r="732">
      <c r="B732" s="18"/>
      <c r="C732" s="18"/>
      <c r="D732" s="18"/>
      <c r="E732" s="18"/>
    </row>
    <row r="733">
      <c r="B733" s="18"/>
      <c r="C733" s="18"/>
      <c r="D733" s="18"/>
      <c r="E733" s="18"/>
    </row>
    <row r="734">
      <c r="B734" s="18"/>
      <c r="C734" s="18"/>
      <c r="D734" s="18"/>
      <c r="E734" s="18"/>
    </row>
    <row r="735">
      <c r="B735" s="18"/>
      <c r="C735" s="18"/>
      <c r="D735" s="18"/>
      <c r="E735" s="18"/>
    </row>
    <row r="736">
      <c r="B736" s="18"/>
      <c r="C736" s="18"/>
      <c r="D736" s="18"/>
      <c r="E736" s="18"/>
    </row>
    <row r="737">
      <c r="B737" s="18"/>
      <c r="C737" s="18"/>
      <c r="D737" s="18"/>
      <c r="E737" s="18"/>
    </row>
    <row r="738">
      <c r="B738" s="18"/>
      <c r="C738" s="18"/>
      <c r="D738" s="18"/>
      <c r="E738" s="18"/>
    </row>
    <row r="739">
      <c r="B739" s="18"/>
      <c r="C739" s="18"/>
      <c r="D739" s="18"/>
      <c r="E739" s="18"/>
    </row>
    <row r="740">
      <c r="B740" s="18"/>
      <c r="C740" s="18"/>
      <c r="D740" s="18"/>
      <c r="E740" s="18"/>
    </row>
    <row r="741">
      <c r="B741" s="18"/>
      <c r="C741" s="18"/>
      <c r="D741" s="18"/>
      <c r="E741" s="18"/>
    </row>
    <row r="742">
      <c r="B742" s="18"/>
      <c r="C742" s="18"/>
      <c r="D742" s="18"/>
      <c r="E742" s="18"/>
    </row>
    <row r="743">
      <c r="B743" s="18"/>
      <c r="C743" s="18"/>
      <c r="D743" s="18"/>
      <c r="E743" s="18"/>
    </row>
    <row r="744">
      <c r="B744" s="18"/>
      <c r="C744" s="18"/>
      <c r="D744" s="18"/>
      <c r="E744" s="18"/>
    </row>
    <row r="745">
      <c r="B745" s="18"/>
      <c r="C745" s="18"/>
      <c r="D745" s="18"/>
      <c r="E745" s="18"/>
    </row>
    <row r="746">
      <c r="B746" s="18"/>
      <c r="C746" s="18"/>
      <c r="D746" s="18"/>
      <c r="E746" s="18"/>
    </row>
    <row r="747">
      <c r="B747" s="18"/>
      <c r="C747" s="18"/>
      <c r="D747" s="18"/>
      <c r="E747" s="18"/>
    </row>
    <row r="748">
      <c r="B748" s="18"/>
      <c r="C748" s="18"/>
      <c r="D748" s="18"/>
      <c r="E748" s="18"/>
    </row>
    <row r="749">
      <c r="B749" s="18"/>
      <c r="C749" s="18"/>
      <c r="D749" s="18"/>
      <c r="E749" s="18"/>
    </row>
    <row r="750">
      <c r="B750" s="18"/>
      <c r="C750" s="18"/>
      <c r="D750" s="18"/>
      <c r="E750" s="18"/>
    </row>
    <row r="751">
      <c r="B751" s="18"/>
      <c r="C751" s="18"/>
      <c r="D751" s="18"/>
      <c r="E751" s="18"/>
    </row>
    <row r="752">
      <c r="B752" s="18"/>
      <c r="C752" s="18"/>
      <c r="D752" s="18"/>
      <c r="E752" s="18"/>
    </row>
    <row r="753">
      <c r="B753" s="18"/>
      <c r="C753" s="18"/>
      <c r="D753" s="18"/>
      <c r="E753" s="18"/>
    </row>
    <row r="754">
      <c r="B754" s="18"/>
      <c r="C754" s="18"/>
      <c r="D754" s="18"/>
      <c r="E754" s="18"/>
    </row>
    <row r="755">
      <c r="B755" s="18"/>
      <c r="C755" s="18"/>
      <c r="D755" s="18"/>
      <c r="E755" s="18"/>
    </row>
    <row r="756">
      <c r="B756" s="18"/>
      <c r="C756" s="18"/>
      <c r="D756" s="18"/>
      <c r="E756" s="18"/>
    </row>
    <row r="757">
      <c r="B757" s="18"/>
      <c r="C757" s="18"/>
      <c r="D757" s="18"/>
      <c r="E757" s="18"/>
    </row>
    <row r="758">
      <c r="B758" s="18"/>
      <c r="C758" s="18"/>
      <c r="D758" s="18"/>
      <c r="E758" s="18"/>
    </row>
    <row r="759">
      <c r="B759" s="18"/>
      <c r="C759" s="18"/>
      <c r="D759" s="18"/>
      <c r="E759" s="18"/>
    </row>
    <row r="760">
      <c r="B760" s="18"/>
      <c r="C760" s="18"/>
      <c r="D760" s="18"/>
      <c r="E760" s="18"/>
    </row>
    <row r="761">
      <c r="B761" s="18"/>
      <c r="C761" s="18"/>
      <c r="D761" s="18"/>
      <c r="E761" s="18"/>
    </row>
    <row r="762">
      <c r="B762" s="18"/>
      <c r="C762" s="18"/>
      <c r="D762" s="18"/>
      <c r="E762" s="18"/>
    </row>
    <row r="763">
      <c r="B763" s="18"/>
      <c r="C763" s="18"/>
      <c r="D763" s="18"/>
      <c r="E763" s="18"/>
    </row>
    <row r="764">
      <c r="B764" s="18"/>
      <c r="C764" s="18"/>
      <c r="D764" s="18"/>
      <c r="E764" s="18"/>
    </row>
    <row r="765">
      <c r="B765" s="18"/>
      <c r="C765" s="18"/>
      <c r="D765" s="18"/>
      <c r="E765" s="18"/>
    </row>
    <row r="766">
      <c r="B766" s="18"/>
      <c r="C766" s="18"/>
      <c r="D766" s="18"/>
      <c r="E766" s="18"/>
    </row>
    <row r="767">
      <c r="B767" s="18"/>
      <c r="C767" s="18"/>
      <c r="D767" s="18"/>
      <c r="E767" s="18"/>
    </row>
    <row r="768">
      <c r="B768" s="18"/>
      <c r="C768" s="18"/>
      <c r="D768" s="18"/>
      <c r="E768" s="18"/>
    </row>
    <row r="769">
      <c r="B769" s="18"/>
      <c r="C769" s="18"/>
      <c r="D769" s="18"/>
      <c r="E769" s="18"/>
    </row>
    <row r="770">
      <c r="B770" s="18"/>
      <c r="C770" s="18"/>
      <c r="D770" s="18"/>
      <c r="E770" s="18"/>
    </row>
    <row r="771">
      <c r="B771" s="18"/>
      <c r="C771" s="18"/>
      <c r="D771" s="18"/>
      <c r="E771" s="18"/>
    </row>
    <row r="772">
      <c r="B772" s="18"/>
      <c r="C772" s="18"/>
      <c r="D772" s="18"/>
      <c r="E772" s="18"/>
    </row>
    <row r="773">
      <c r="B773" s="18"/>
      <c r="C773" s="18"/>
      <c r="D773" s="18"/>
      <c r="E773" s="18"/>
    </row>
    <row r="774">
      <c r="B774" s="18"/>
      <c r="C774" s="18"/>
      <c r="D774" s="18"/>
      <c r="E774" s="18"/>
    </row>
    <row r="775">
      <c r="B775" s="18"/>
      <c r="C775" s="18"/>
      <c r="D775" s="18"/>
      <c r="E775" s="18"/>
    </row>
    <row r="776">
      <c r="B776" s="18"/>
      <c r="C776" s="18"/>
      <c r="D776" s="18"/>
      <c r="E776" s="18"/>
    </row>
    <row r="777">
      <c r="B777" s="18"/>
      <c r="C777" s="18"/>
      <c r="D777" s="18"/>
      <c r="E777" s="18"/>
    </row>
    <row r="778">
      <c r="B778" s="18"/>
      <c r="C778" s="18"/>
      <c r="D778" s="18"/>
      <c r="E778" s="18"/>
    </row>
    <row r="779">
      <c r="B779" s="18"/>
      <c r="C779" s="18"/>
      <c r="D779" s="18"/>
      <c r="E779" s="18"/>
    </row>
    <row r="780">
      <c r="B780" s="18"/>
      <c r="C780" s="18"/>
      <c r="D780" s="18"/>
      <c r="E780" s="18"/>
    </row>
    <row r="781">
      <c r="B781" s="18"/>
      <c r="C781" s="18"/>
      <c r="D781" s="18"/>
      <c r="E781" s="18"/>
    </row>
    <row r="782">
      <c r="B782" s="18"/>
      <c r="C782" s="18"/>
      <c r="D782" s="18"/>
      <c r="E782" s="18"/>
    </row>
    <row r="783">
      <c r="B783" s="18"/>
      <c r="C783" s="18"/>
      <c r="D783" s="18"/>
      <c r="E783" s="18"/>
    </row>
    <row r="784">
      <c r="B784" s="18"/>
      <c r="C784" s="18"/>
      <c r="D784" s="18"/>
      <c r="E784" s="18"/>
    </row>
    <row r="785">
      <c r="B785" s="18"/>
      <c r="C785" s="18"/>
      <c r="D785" s="18"/>
      <c r="E785" s="18"/>
    </row>
    <row r="786">
      <c r="B786" s="18"/>
      <c r="C786" s="18"/>
      <c r="D786" s="18"/>
      <c r="E786" s="18"/>
    </row>
    <row r="787">
      <c r="B787" s="18"/>
      <c r="C787" s="18"/>
      <c r="D787" s="18"/>
      <c r="E787" s="18"/>
    </row>
    <row r="788">
      <c r="B788" s="18"/>
      <c r="C788" s="18"/>
      <c r="D788" s="18"/>
      <c r="E788" s="18"/>
    </row>
    <row r="789">
      <c r="B789" s="18"/>
      <c r="C789" s="18"/>
      <c r="D789" s="18"/>
      <c r="E789" s="18"/>
    </row>
    <row r="790">
      <c r="B790" s="18"/>
      <c r="C790" s="18"/>
      <c r="D790" s="18"/>
      <c r="E790" s="18"/>
    </row>
    <row r="791">
      <c r="B791" s="18"/>
      <c r="C791" s="18"/>
      <c r="D791" s="18"/>
      <c r="E791" s="18"/>
    </row>
    <row r="792">
      <c r="B792" s="18"/>
      <c r="C792" s="18"/>
      <c r="D792" s="18"/>
      <c r="E792" s="18"/>
    </row>
    <row r="793">
      <c r="B793" s="18"/>
      <c r="C793" s="18"/>
      <c r="D793" s="18"/>
      <c r="E793" s="18"/>
    </row>
    <row r="794">
      <c r="B794" s="18"/>
      <c r="C794" s="18"/>
      <c r="D794" s="18"/>
      <c r="E794" s="18"/>
    </row>
    <row r="795">
      <c r="B795" s="18"/>
      <c r="C795" s="18"/>
      <c r="D795" s="18"/>
      <c r="E795" s="18"/>
    </row>
    <row r="796">
      <c r="B796" s="18"/>
      <c r="C796" s="18"/>
      <c r="D796" s="18"/>
      <c r="E796" s="18"/>
    </row>
    <row r="797">
      <c r="B797" s="18"/>
      <c r="C797" s="18"/>
      <c r="D797" s="18"/>
      <c r="E797" s="18"/>
    </row>
    <row r="798">
      <c r="B798" s="18"/>
      <c r="C798" s="18"/>
      <c r="D798" s="18"/>
      <c r="E798" s="18"/>
    </row>
    <row r="799">
      <c r="B799" s="18"/>
      <c r="C799" s="18"/>
      <c r="D799" s="18"/>
      <c r="E799" s="18"/>
    </row>
    <row r="800">
      <c r="B800" s="18"/>
      <c r="C800" s="18"/>
      <c r="D800" s="18"/>
      <c r="E800" s="18"/>
    </row>
    <row r="801">
      <c r="B801" s="18"/>
      <c r="C801" s="18"/>
      <c r="D801" s="18"/>
      <c r="E801" s="18"/>
    </row>
    <row r="802">
      <c r="B802" s="18"/>
      <c r="C802" s="18"/>
      <c r="D802" s="18"/>
      <c r="E802" s="18"/>
    </row>
    <row r="803">
      <c r="B803" s="18"/>
      <c r="C803" s="18"/>
      <c r="D803" s="18"/>
      <c r="E803" s="18"/>
    </row>
    <row r="804">
      <c r="B804" s="18"/>
      <c r="C804" s="18"/>
      <c r="D804" s="18"/>
      <c r="E804" s="18"/>
    </row>
    <row r="805">
      <c r="B805" s="18"/>
      <c r="C805" s="18"/>
      <c r="D805" s="18"/>
      <c r="E805" s="18"/>
    </row>
    <row r="806">
      <c r="B806" s="18"/>
      <c r="C806" s="18"/>
      <c r="D806" s="18"/>
      <c r="E806" s="18"/>
    </row>
    <row r="807">
      <c r="B807" s="18"/>
      <c r="C807" s="18"/>
      <c r="D807" s="18"/>
      <c r="E807" s="18"/>
    </row>
    <row r="808">
      <c r="B808" s="18"/>
      <c r="C808" s="18"/>
      <c r="D808" s="18"/>
      <c r="E808" s="18"/>
    </row>
    <row r="809">
      <c r="B809" s="18"/>
      <c r="C809" s="18"/>
      <c r="D809" s="18"/>
      <c r="E809" s="18"/>
    </row>
    <row r="810">
      <c r="B810" s="18"/>
      <c r="C810" s="18"/>
      <c r="D810" s="18"/>
      <c r="E810" s="18"/>
    </row>
    <row r="811">
      <c r="B811" s="18"/>
      <c r="C811" s="18"/>
      <c r="D811" s="18"/>
      <c r="E811" s="18"/>
    </row>
    <row r="812">
      <c r="B812" s="18"/>
      <c r="C812" s="18"/>
      <c r="D812" s="18"/>
      <c r="E812" s="18"/>
    </row>
    <row r="813">
      <c r="B813" s="18"/>
      <c r="C813" s="18"/>
      <c r="D813" s="18"/>
      <c r="E813" s="18"/>
    </row>
    <row r="814">
      <c r="B814" s="18"/>
      <c r="C814" s="18"/>
      <c r="D814" s="18"/>
      <c r="E814" s="18"/>
    </row>
    <row r="815">
      <c r="B815" s="18"/>
      <c r="C815" s="18"/>
      <c r="D815" s="18"/>
      <c r="E815" s="18"/>
    </row>
    <row r="816">
      <c r="B816" s="18"/>
      <c r="C816" s="18"/>
      <c r="D816" s="18"/>
      <c r="E816" s="18"/>
    </row>
    <row r="817">
      <c r="B817" s="18"/>
      <c r="C817" s="18"/>
      <c r="D817" s="18"/>
      <c r="E817" s="18"/>
    </row>
    <row r="818">
      <c r="B818" s="18"/>
      <c r="C818" s="18"/>
      <c r="D818" s="18"/>
      <c r="E818" s="18"/>
    </row>
    <row r="819">
      <c r="B819" s="18"/>
      <c r="C819" s="18"/>
      <c r="D819" s="18"/>
      <c r="E819" s="18"/>
    </row>
    <row r="820">
      <c r="B820" s="18"/>
      <c r="C820" s="18"/>
      <c r="D820" s="18"/>
      <c r="E820" s="18"/>
    </row>
    <row r="821">
      <c r="B821" s="18"/>
      <c r="C821" s="18"/>
      <c r="D821" s="18"/>
      <c r="E821" s="18"/>
    </row>
    <row r="822">
      <c r="B822" s="18"/>
      <c r="C822" s="18"/>
      <c r="D822" s="18"/>
      <c r="E822" s="18"/>
    </row>
    <row r="823">
      <c r="B823" s="18"/>
      <c r="C823" s="18"/>
      <c r="D823" s="18"/>
      <c r="E823" s="18"/>
    </row>
    <row r="824">
      <c r="B824" s="18"/>
      <c r="C824" s="18"/>
      <c r="D824" s="18"/>
      <c r="E824" s="18"/>
    </row>
    <row r="825">
      <c r="B825" s="18"/>
      <c r="C825" s="18"/>
      <c r="D825" s="18"/>
      <c r="E825" s="18"/>
    </row>
    <row r="826">
      <c r="B826" s="18"/>
      <c r="C826" s="18"/>
      <c r="D826" s="18"/>
      <c r="E826" s="18"/>
    </row>
    <row r="827">
      <c r="B827" s="18"/>
      <c r="C827" s="18"/>
      <c r="D827" s="18"/>
      <c r="E827" s="18"/>
    </row>
    <row r="828">
      <c r="B828" s="18"/>
      <c r="C828" s="18"/>
      <c r="D828" s="18"/>
      <c r="E828" s="18"/>
    </row>
    <row r="829">
      <c r="B829" s="18"/>
      <c r="C829" s="18"/>
      <c r="D829" s="18"/>
      <c r="E829" s="18"/>
    </row>
    <row r="830">
      <c r="B830" s="18"/>
      <c r="C830" s="18"/>
      <c r="D830" s="18"/>
      <c r="E830" s="18"/>
    </row>
    <row r="831">
      <c r="B831" s="18"/>
      <c r="C831" s="18"/>
      <c r="D831" s="18"/>
      <c r="E831" s="18"/>
    </row>
    <row r="832">
      <c r="B832" s="18"/>
      <c r="C832" s="18"/>
      <c r="D832" s="18"/>
      <c r="E832" s="18"/>
    </row>
    <row r="833">
      <c r="B833" s="18"/>
      <c r="C833" s="18"/>
      <c r="D833" s="18"/>
      <c r="E833" s="18"/>
    </row>
    <row r="834">
      <c r="B834" s="18"/>
      <c r="C834" s="18"/>
      <c r="D834" s="18"/>
      <c r="E834" s="18"/>
    </row>
    <row r="835">
      <c r="B835" s="18"/>
      <c r="C835" s="18"/>
      <c r="D835" s="18"/>
      <c r="E835" s="18"/>
    </row>
    <row r="836">
      <c r="B836" s="18"/>
      <c r="C836" s="18"/>
      <c r="D836" s="18"/>
      <c r="E836" s="18"/>
    </row>
    <row r="837">
      <c r="B837" s="18"/>
      <c r="C837" s="18"/>
      <c r="D837" s="18"/>
      <c r="E837" s="18"/>
    </row>
    <row r="838">
      <c r="B838" s="18"/>
      <c r="C838" s="18"/>
      <c r="D838" s="18"/>
      <c r="E838" s="18"/>
    </row>
    <row r="839">
      <c r="B839" s="18"/>
      <c r="C839" s="18"/>
      <c r="D839" s="18"/>
      <c r="E839" s="18"/>
    </row>
    <row r="840">
      <c r="B840" s="18"/>
      <c r="C840" s="18"/>
      <c r="D840" s="18"/>
      <c r="E840" s="18"/>
    </row>
    <row r="841">
      <c r="B841" s="18"/>
      <c r="C841" s="18"/>
      <c r="D841" s="18"/>
      <c r="E841" s="18"/>
    </row>
    <row r="842">
      <c r="B842" s="18"/>
      <c r="C842" s="18"/>
      <c r="D842" s="18"/>
      <c r="E842" s="18"/>
    </row>
    <row r="843">
      <c r="B843" s="18"/>
      <c r="C843" s="18"/>
      <c r="D843" s="18"/>
      <c r="E843" s="18"/>
    </row>
    <row r="844">
      <c r="B844" s="18"/>
      <c r="C844" s="18"/>
      <c r="D844" s="18"/>
      <c r="E844" s="18"/>
    </row>
    <row r="845">
      <c r="B845" s="18"/>
      <c r="C845" s="18"/>
      <c r="D845" s="18"/>
      <c r="E845" s="18"/>
    </row>
    <row r="846">
      <c r="B846" s="18"/>
      <c r="C846" s="18"/>
      <c r="D846" s="18"/>
      <c r="E846" s="18"/>
    </row>
    <row r="847">
      <c r="B847" s="18"/>
      <c r="C847" s="18"/>
      <c r="D847" s="18"/>
      <c r="E847" s="18"/>
    </row>
    <row r="848">
      <c r="B848" s="18"/>
      <c r="C848" s="18"/>
      <c r="D848" s="18"/>
      <c r="E848" s="18"/>
    </row>
    <row r="849">
      <c r="B849" s="18"/>
      <c r="C849" s="18"/>
      <c r="D849" s="18"/>
      <c r="E849" s="18"/>
    </row>
    <row r="850">
      <c r="B850" s="18"/>
      <c r="C850" s="18"/>
      <c r="D850" s="18"/>
      <c r="E850" s="18"/>
    </row>
    <row r="851">
      <c r="B851" s="18"/>
      <c r="C851" s="18"/>
      <c r="D851" s="18"/>
      <c r="E851" s="18"/>
    </row>
    <row r="852">
      <c r="B852" s="18"/>
      <c r="C852" s="18"/>
      <c r="D852" s="18"/>
      <c r="E852" s="18"/>
    </row>
    <row r="853">
      <c r="B853" s="18"/>
      <c r="C853" s="18"/>
      <c r="D853" s="18"/>
      <c r="E853" s="18"/>
    </row>
    <row r="854">
      <c r="B854" s="18"/>
      <c r="C854" s="18"/>
      <c r="D854" s="18"/>
      <c r="E854" s="18"/>
    </row>
    <row r="855">
      <c r="B855" s="18"/>
      <c r="C855" s="18"/>
      <c r="D855" s="18"/>
      <c r="E855" s="18"/>
    </row>
    <row r="856">
      <c r="B856" s="18"/>
      <c r="C856" s="18"/>
      <c r="D856" s="18"/>
      <c r="E856" s="18"/>
    </row>
    <row r="857">
      <c r="B857" s="18"/>
      <c r="C857" s="18"/>
      <c r="D857" s="18"/>
      <c r="E857" s="18"/>
    </row>
    <row r="858">
      <c r="B858" s="18"/>
      <c r="C858" s="18"/>
      <c r="D858" s="18"/>
      <c r="E858" s="18"/>
    </row>
    <row r="859">
      <c r="B859" s="18"/>
      <c r="C859" s="18"/>
      <c r="D859" s="18"/>
      <c r="E859" s="18"/>
    </row>
    <row r="860">
      <c r="B860" s="18"/>
      <c r="C860" s="18"/>
      <c r="D860" s="18"/>
      <c r="E860" s="18"/>
    </row>
    <row r="861">
      <c r="B861" s="18"/>
      <c r="C861" s="18"/>
      <c r="D861" s="18"/>
      <c r="E861" s="18"/>
    </row>
    <row r="862">
      <c r="B862" s="18"/>
      <c r="C862" s="18"/>
      <c r="D862" s="18"/>
      <c r="E862" s="18"/>
    </row>
    <row r="863">
      <c r="B863" s="18"/>
      <c r="C863" s="18"/>
      <c r="D863" s="18"/>
      <c r="E863" s="18"/>
    </row>
    <row r="864">
      <c r="B864" s="18"/>
      <c r="C864" s="18"/>
      <c r="D864" s="18"/>
      <c r="E864" s="18"/>
    </row>
    <row r="865">
      <c r="B865" s="18"/>
      <c r="C865" s="18"/>
      <c r="D865" s="18"/>
      <c r="E865" s="18"/>
    </row>
    <row r="866">
      <c r="B866" s="18"/>
      <c r="C866" s="18"/>
      <c r="D866" s="18"/>
      <c r="E866" s="18"/>
    </row>
    <row r="867">
      <c r="B867" s="18"/>
      <c r="C867" s="18"/>
      <c r="D867" s="18"/>
      <c r="E867" s="18"/>
    </row>
    <row r="868">
      <c r="B868" s="18"/>
      <c r="C868" s="18"/>
      <c r="D868" s="18"/>
      <c r="E868" s="18"/>
    </row>
    <row r="869">
      <c r="B869" s="18"/>
      <c r="C869" s="18"/>
      <c r="D869" s="18"/>
      <c r="E869" s="18"/>
    </row>
    <row r="870">
      <c r="B870" s="18"/>
      <c r="C870" s="18"/>
      <c r="D870" s="18"/>
      <c r="E870" s="18"/>
    </row>
    <row r="871">
      <c r="B871" s="18"/>
      <c r="C871" s="18"/>
      <c r="D871" s="18"/>
      <c r="E871" s="18"/>
    </row>
    <row r="872">
      <c r="B872" s="18"/>
      <c r="C872" s="18"/>
      <c r="D872" s="18"/>
      <c r="E872" s="18"/>
    </row>
    <row r="873">
      <c r="B873" s="18"/>
      <c r="C873" s="18"/>
      <c r="D873" s="18"/>
      <c r="E873" s="18"/>
    </row>
    <row r="874">
      <c r="B874" s="18"/>
      <c r="C874" s="18"/>
      <c r="D874" s="18"/>
      <c r="E874" s="18"/>
    </row>
    <row r="875">
      <c r="B875" s="18"/>
      <c r="C875" s="18"/>
      <c r="D875" s="18"/>
      <c r="E875" s="18"/>
    </row>
    <row r="876">
      <c r="B876" s="18"/>
      <c r="C876" s="18"/>
      <c r="D876" s="18"/>
      <c r="E876" s="18"/>
    </row>
    <row r="877">
      <c r="B877" s="18"/>
      <c r="C877" s="18"/>
      <c r="D877" s="18"/>
      <c r="E877" s="18"/>
    </row>
    <row r="878">
      <c r="B878" s="18"/>
      <c r="C878" s="18"/>
      <c r="D878" s="18"/>
      <c r="E878" s="18"/>
    </row>
    <row r="879">
      <c r="B879" s="18"/>
      <c r="C879" s="18"/>
      <c r="D879" s="18"/>
      <c r="E879" s="18"/>
    </row>
    <row r="880">
      <c r="B880" s="18"/>
      <c r="C880" s="18"/>
      <c r="D880" s="18"/>
      <c r="E880" s="18"/>
    </row>
    <row r="881">
      <c r="B881" s="18"/>
      <c r="C881" s="18"/>
      <c r="D881" s="18"/>
      <c r="E881" s="18"/>
    </row>
    <row r="882">
      <c r="B882" s="18"/>
      <c r="C882" s="18"/>
      <c r="D882" s="18"/>
      <c r="E882" s="18"/>
    </row>
    <row r="883">
      <c r="B883" s="18"/>
      <c r="C883" s="18"/>
      <c r="D883" s="18"/>
      <c r="E883" s="18"/>
    </row>
    <row r="884">
      <c r="B884" s="18"/>
      <c r="C884" s="18"/>
      <c r="D884" s="18"/>
      <c r="E884" s="18"/>
    </row>
    <row r="885">
      <c r="B885" s="18"/>
      <c r="C885" s="18"/>
      <c r="D885" s="18"/>
      <c r="E885" s="18"/>
    </row>
    <row r="886">
      <c r="B886" s="18"/>
      <c r="C886" s="18"/>
      <c r="D886" s="18"/>
      <c r="E886" s="18"/>
    </row>
    <row r="887">
      <c r="B887" s="18"/>
      <c r="C887" s="18"/>
      <c r="D887" s="18"/>
      <c r="E887" s="18"/>
    </row>
    <row r="888">
      <c r="B888" s="18"/>
      <c r="C888" s="18"/>
      <c r="D888" s="18"/>
      <c r="E888" s="18"/>
    </row>
    <row r="889">
      <c r="B889" s="18"/>
      <c r="C889" s="18"/>
      <c r="D889" s="18"/>
      <c r="E889" s="18"/>
    </row>
    <row r="890">
      <c r="B890" s="18"/>
      <c r="C890" s="18"/>
      <c r="D890" s="18"/>
      <c r="E890" s="18"/>
    </row>
    <row r="891">
      <c r="B891" s="18"/>
      <c r="C891" s="18"/>
      <c r="D891" s="18"/>
      <c r="E891" s="18"/>
    </row>
    <row r="892">
      <c r="B892" s="18"/>
      <c r="C892" s="18"/>
      <c r="D892" s="18"/>
      <c r="E892" s="18"/>
    </row>
    <row r="893">
      <c r="B893" s="18"/>
      <c r="C893" s="18"/>
      <c r="D893" s="18"/>
      <c r="E893" s="18"/>
    </row>
    <row r="894">
      <c r="B894" s="18"/>
      <c r="C894" s="18"/>
      <c r="D894" s="18"/>
      <c r="E894" s="18"/>
    </row>
    <row r="895">
      <c r="B895" s="18"/>
      <c r="C895" s="18"/>
      <c r="D895" s="18"/>
      <c r="E895" s="18"/>
    </row>
    <row r="896">
      <c r="B896" s="18"/>
      <c r="C896" s="18"/>
      <c r="D896" s="18"/>
      <c r="E896" s="18"/>
    </row>
    <row r="897">
      <c r="B897" s="18"/>
      <c r="C897" s="18"/>
      <c r="D897" s="18"/>
      <c r="E897" s="18"/>
    </row>
    <row r="898">
      <c r="B898" s="18"/>
      <c r="C898" s="18"/>
      <c r="D898" s="18"/>
      <c r="E898" s="18"/>
    </row>
    <row r="899">
      <c r="B899" s="18"/>
      <c r="C899" s="18"/>
      <c r="D899" s="18"/>
      <c r="E899" s="18"/>
    </row>
    <row r="900">
      <c r="B900" s="18"/>
      <c r="C900" s="18"/>
      <c r="D900" s="18"/>
      <c r="E900" s="18"/>
    </row>
    <row r="901">
      <c r="B901" s="18"/>
      <c r="C901" s="18"/>
      <c r="D901" s="18"/>
      <c r="E901" s="18"/>
    </row>
    <row r="902">
      <c r="B902" s="18"/>
      <c r="C902" s="18"/>
      <c r="D902" s="18"/>
      <c r="E902" s="18"/>
    </row>
    <row r="903">
      <c r="B903" s="18"/>
      <c r="C903" s="18"/>
      <c r="D903" s="18"/>
      <c r="E903" s="18"/>
    </row>
    <row r="904">
      <c r="B904" s="18"/>
      <c r="C904" s="18"/>
      <c r="D904" s="18"/>
      <c r="E904" s="18"/>
    </row>
    <row r="905">
      <c r="B905" s="18"/>
      <c r="C905" s="18"/>
      <c r="D905" s="18"/>
      <c r="E905" s="18"/>
    </row>
    <row r="906">
      <c r="B906" s="18"/>
      <c r="C906" s="18"/>
      <c r="D906" s="18"/>
      <c r="E906" s="18"/>
    </row>
    <row r="907">
      <c r="B907" s="18"/>
      <c r="C907" s="18"/>
      <c r="D907" s="18"/>
      <c r="E907" s="18"/>
    </row>
    <row r="908">
      <c r="B908" s="18"/>
      <c r="C908" s="18"/>
      <c r="D908" s="18"/>
      <c r="E908" s="18"/>
    </row>
    <row r="909">
      <c r="B909" s="18"/>
      <c r="C909" s="18"/>
      <c r="D909" s="18"/>
      <c r="E909" s="18"/>
    </row>
    <row r="910">
      <c r="B910" s="18"/>
      <c r="C910" s="18"/>
      <c r="D910" s="18"/>
      <c r="E910" s="18"/>
    </row>
    <row r="911">
      <c r="B911" s="18"/>
      <c r="C911" s="18"/>
      <c r="D911" s="18"/>
      <c r="E911" s="18"/>
    </row>
    <row r="912">
      <c r="B912" s="18"/>
      <c r="C912" s="18"/>
      <c r="D912" s="18"/>
      <c r="E912" s="18"/>
    </row>
    <row r="913">
      <c r="B913" s="18"/>
      <c r="C913" s="18"/>
      <c r="D913" s="18"/>
      <c r="E913" s="18"/>
    </row>
    <row r="914">
      <c r="B914" s="18"/>
      <c r="C914" s="18"/>
      <c r="D914" s="18"/>
      <c r="E914" s="18"/>
    </row>
    <row r="915">
      <c r="B915" s="18"/>
      <c r="C915" s="18"/>
      <c r="D915" s="18"/>
      <c r="E915" s="18"/>
    </row>
    <row r="916">
      <c r="B916" s="18"/>
      <c r="C916" s="18"/>
      <c r="D916" s="18"/>
      <c r="E916" s="18"/>
    </row>
    <row r="917">
      <c r="B917" s="18"/>
      <c r="C917" s="18"/>
      <c r="D917" s="18"/>
      <c r="E917" s="18"/>
    </row>
    <row r="918">
      <c r="B918" s="18"/>
      <c r="C918" s="18"/>
      <c r="D918" s="18"/>
      <c r="E918" s="18"/>
    </row>
    <row r="919">
      <c r="B919" s="18"/>
      <c r="C919" s="18"/>
      <c r="D919" s="18"/>
      <c r="E919" s="18"/>
    </row>
    <row r="920">
      <c r="B920" s="18"/>
      <c r="C920" s="18"/>
      <c r="D920" s="18"/>
      <c r="E920" s="18"/>
    </row>
    <row r="921">
      <c r="B921" s="18"/>
      <c r="C921" s="18"/>
      <c r="D921" s="18"/>
      <c r="E921" s="18"/>
    </row>
    <row r="922">
      <c r="B922" s="18"/>
      <c r="C922" s="18"/>
      <c r="D922" s="18"/>
      <c r="E922" s="18"/>
    </row>
    <row r="923">
      <c r="B923" s="18"/>
      <c r="C923" s="18"/>
      <c r="D923" s="18"/>
      <c r="E923" s="18"/>
    </row>
    <row r="924">
      <c r="B924" s="18"/>
      <c r="C924" s="18"/>
      <c r="D924" s="18"/>
      <c r="E924" s="18"/>
    </row>
    <row r="925">
      <c r="B925" s="18"/>
      <c r="C925" s="18"/>
      <c r="D925" s="18"/>
      <c r="E925" s="18"/>
    </row>
    <row r="926">
      <c r="B926" s="18"/>
      <c r="C926" s="18"/>
      <c r="D926" s="18"/>
      <c r="E926" s="18"/>
    </row>
    <row r="927">
      <c r="B927" s="18"/>
      <c r="C927" s="18"/>
      <c r="D927" s="18"/>
      <c r="E927" s="18"/>
    </row>
    <row r="928">
      <c r="B928" s="18"/>
      <c r="C928" s="18"/>
      <c r="D928" s="18"/>
      <c r="E928" s="18"/>
    </row>
    <row r="929">
      <c r="B929" s="18"/>
      <c r="C929" s="18"/>
      <c r="D929" s="18"/>
      <c r="E929" s="18"/>
    </row>
    <row r="930">
      <c r="B930" s="18"/>
      <c r="C930" s="18"/>
      <c r="D930" s="18"/>
      <c r="E930" s="18"/>
    </row>
    <row r="931">
      <c r="B931" s="18"/>
      <c r="C931" s="18"/>
      <c r="D931" s="18"/>
      <c r="E931" s="18"/>
    </row>
    <row r="932">
      <c r="B932" s="18"/>
      <c r="C932" s="18"/>
      <c r="D932" s="18"/>
      <c r="E932" s="18"/>
    </row>
    <row r="933">
      <c r="B933" s="18"/>
      <c r="C933" s="18"/>
      <c r="D933" s="18"/>
      <c r="E933" s="18"/>
    </row>
    <row r="934">
      <c r="B934" s="18"/>
      <c r="C934" s="18"/>
      <c r="D934" s="18"/>
      <c r="E934" s="18"/>
    </row>
    <row r="935">
      <c r="B935" s="18"/>
      <c r="C935" s="18"/>
      <c r="D935" s="18"/>
      <c r="E935" s="18"/>
    </row>
    <row r="936">
      <c r="B936" s="18"/>
      <c r="C936" s="18"/>
      <c r="D936" s="18"/>
      <c r="E936" s="18"/>
    </row>
    <row r="937">
      <c r="B937" s="18"/>
      <c r="C937" s="18"/>
      <c r="D937" s="18"/>
      <c r="E937" s="18"/>
    </row>
    <row r="938">
      <c r="B938" s="18"/>
      <c r="C938" s="18"/>
      <c r="D938" s="18"/>
      <c r="E938" s="18"/>
    </row>
    <row r="939">
      <c r="B939" s="18"/>
      <c r="C939" s="18"/>
      <c r="D939" s="18"/>
      <c r="E939" s="18"/>
    </row>
    <row r="940">
      <c r="B940" s="18"/>
      <c r="C940" s="18"/>
      <c r="D940" s="18"/>
      <c r="E940" s="18"/>
    </row>
    <row r="941">
      <c r="B941" s="18"/>
      <c r="C941" s="18"/>
      <c r="D941" s="18"/>
      <c r="E941" s="18"/>
    </row>
    <row r="942">
      <c r="B942" s="18"/>
      <c r="C942" s="18"/>
      <c r="D942" s="18"/>
      <c r="E942" s="18"/>
    </row>
    <row r="943">
      <c r="B943" s="18"/>
      <c r="C943" s="18"/>
      <c r="D943" s="18"/>
      <c r="E943" s="18"/>
    </row>
    <row r="944">
      <c r="B944" s="18"/>
      <c r="C944" s="18"/>
      <c r="D944" s="18"/>
      <c r="E944" s="18"/>
    </row>
    <row r="945">
      <c r="B945" s="18"/>
      <c r="C945" s="18"/>
      <c r="D945" s="18"/>
      <c r="E945" s="18"/>
    </row>
    <row r="946">
      <c r="B946" s="18"/>
      <c r="C946" s="18"/>
      <c r="D946" s="18"/>
      <c r="E946" s="18"/>
    </row>
    <row r="947">
      <c r="B947" s="18"/>
      <c r="C947" s="18"/>
      <c r="D947" s="18"/>
      <c r="E947" s="18"/>
    </row>
    <row r="948">
      <c r="B948" s="18"/>
      <c r="C948" s="18"/>
      <c r="D948" s="18"/>
      <c r="E948" s="18"/>
    </row>
    <row r="949">
      <c r="B949" s="18"/>
      <c r="C949" s="18"/>
      <c r="D949" s="18"/>
      <c r="E949" s="18"/>
    </row>
    <row r="950">
      <c r="B950" s="18"/>
      <c r="C950" s="18"/>
      <c r="D950" s="18"/>
      <c r="E950" s="18"/>
    </row>
    <row r="951">
      <c r="B951" s="18"/>
      <c r="C951" s="18"/>
      <c r="D951" s="18"/>
      <c r="E951" s="18"/>
    </row>
    <row r="952">
      <c r="B952" s="18"/>
      <c r="C952" s="18"/>
      <c r="D952" s="18"/>
      <c r="E952" s="18"/>
    </row>
    <row r="953">
      <c r="B953" s="18"/>
      <c r="C953" s="18"/>
      <c r="D953" s="18"/>
      <c r="E953" s="18"/>
    </row>
    <row r="954">
      <c r="B954" s="18"/>
      <c r="C954" s="18"/>
      <c r="D954" s="18"/>
      <c r="E954" s="18"/>
    </row>
    <row r="955">
      <c r="B955" s="18"/>
      <c r="C955" s="18"/>
      <c r="D955" s="18"/>
      <c r="E955" s="18"/>
    </row>
    <row r="956">
      <c r="B956" s="18"/>
      <c r="C956" s="18"/>
      <c r="D956" s="18"/>
      <c r="E956" s="18"/>
    </row>
    <row r="957">
      <c r="B957" s="18"/>
      <c r="C957" s="18"/>
      <c r="D957" s="18"/>
      <c r="E957" s="18"/>
    </row>
    <row r="958">
      <c r="B958" s="18"/>
      <c r="C958" s="18"/>
      <c r="D958" s="18"/>
      <c r="E958" s="18"/>
    </row>
    <row r="959">
      <c r="B959" s="18"/>
      <c r="C959" s="18"/>
      <c r="D959" s="18"/>
      <c r="E959" s="18"/>
    </row>
    <row r="960">
      <c r="B960" s="18"/>
      <c r="C960" s="18"/>
      <c r="D960" s="18"/>
      <c r="E960" s="18"/>
    </row>
    <row r="961">
      <c r="B961" s="18"/>
      <c r="C961" s="18"/>
      <c r="D961" s="18"/>
      <c r="E961" s="18"/>
    </row>
    <row r="962">
      <c r="B962" s="18"/>
      <c r="C962" s="18"/>
      <c r="D962" s="18"/>
      <c r="E962" s="18"/>
    </row>
    <row r="963">
      <c r="B963" s="18"/>
      <c r="C963" s="18"/>
      <c r="D963" s="18"/>
      <c r="E963" s="18"/>
    </row>
    <row r="964">
      <c r="B964" s="18"/>
      <c r="C964" s="18"/>
      <c r="D964" s="18"/>
      <c r="E964" s="18"/>
    </row>
    <row r="965">
      <c r="B965" s="18"/>
      <c r="C965" s="18"/>
      <c r="D965" s="18"/>
      <c r="E965" s="18"/>
    </row>
    <row r="966">
      <c r="B966" s="18"/>
      <c r="C966" s="18"/>
      <c r="D966" s="18"/>
      <c r="E966" s="18"/>
    </row>
    <row r="967">
      <c r="B967" s="18"/>
      <c r="C967" s="18"/>
      <c r="D967" s="18"/>
      <c r="E967" s="18"/>
    </row>
    <row r="968">
      <c r="B968" s="18"/>
      <c r="C968" s="18"/>
      <c r="D968" s="18"/>
      <c r="E968" s="18"/>
    </row>
    <row r="969">
      <c r="B969" s="18"/>
      <c r="C969" s="18"/>
      <c r="D969" s="18"/>
      <c r="E969" s="18"/>
    </row>
    <row r="970">
      <c r="B970" s="18"/>
      <c r="C970" s="18"/>
      <c r="D970" s="18"/>
      <c r="E970" s="18"/>
    </row>
    <row r="971">
      <c r="B971" s="18"/>
      <c r="C971" s="18"/>
      <c r="D971" s="18"/>
      <c r="E971" s="18"/>
    </row>
    <row r="972">
      <c r="B972" s="18"/>
      <c r="C972" s="18"/>
      <c r="D972" s="18"/>
      <c r="E972" s="18"/>
    </row>
    <row r="973">
      <c r="B973" s="18"/>
      <c r="C973" s="18"/>
      <c r="D973" s="18"/>
      <c r="E973" s="18"/>
    </row>
    <row r="974">
      <c r="B974" s="18"/>
      <c r="C974" s="18"/>
      <c r="D974" s="18"/>
      <c r="E974" s="18"/>
    </row>
    <row r="975">
      <c r="B975" s="18"/>
      <c r="C975" s="18"/>
      <c r="D975" s="18"/>
      <c r="E975" s="18"/>
    </row>
    <row r="976">
      <c r="B976" s="18"/>
      <c r="C976" s="18"/>
      <c r="D976" s="18"/>
      <c r="E976" s="18"/>
    </row>
    <row r="977">
      <c r="B977" s="18"/>
      <c r="C977" s="18"/>
      <c r="D977" s="18"/>
      <c r="E977" s="18"/>
    </row>
    <row r="978">
      <c r="B978" s="18"/>
      <c r="C978" s="18"/>
      <c r="D978" s="18"/>
      <c r="E978" s="18"/>
    </row>
    <row r="979">
      <c r="B979" s="18"/>
      <c r="C979" s="18"/>
      <c r="D979" s="18"/>
      <c r="E979" s="18"/>
    </row>
    <row r="980">
      <c r="B980" s="18"/>
      <c r="C980" s="18"/>
      <c r="D980" s="18"/>
      <c r="E980" s="18"/>
    </row>
    <row r="981">
      <c r="B981" s="18"/>
      <c r="C981" s="18"/>
      <c r="D981" s="18"/>
      <c r="E981" s="18"/>
    </row>
    <row r="982">
      <c r="B982" s="18"/>
      <c r="C982" s="18"/>
      <c r="D982" s="18"/>
      <c r="E982" s="18"/>
    </row>
    <row r="983">
      <c r="B983" s="18"/>
      <c r="C983" s="18"/>
      <c r="D983" s="18"/>
      <c r="E983" s="18"/>
    </row>
    <row r="984">
      <c r="B984" s="18"/>
      <c r="C984" s="18"/>
      <c r="D984" s="18"/>
      <c r="E984" s="18"/>
    </row>
    <row r="985">
      <c r="B985" s="18"/>
      <c r="C985" s="18"/>
      <c r="D985" s="18"/>
      <c r="E985" s="18"/>
    </row>
    <row r="986">
      <c r="B986" s="18"/>
      <c r="C986" s="18"/>
      <c r="D986" s="18"/>
      <c r="E986" s="18"/>
    </row>
    <row r="987">
      <c r="B987" s="18"/>
      <c r="C987" s="18"/>
      <c r="D987" s="18"/>
      <c r="E987" s="18"/>
    </row>
    <row r="988">
      <c r="B988" s="18"/>
      <c r="C988" s="18"/>
      <c r="D988" s="18"/>
      <c r="E988" s="18"/>
    </row>
    <row r="989">
      <c r="B989" s="18"/>
      <c r="C989" s="18"/>
      <c r="D989" s="18"/>
      <c r="E989" s="18"/>
    </row>
    <row r="990">
      <c r="B990" s="18"/>
      <c r="C990" s="18"/>
      <c r="D990" s="18"/>
      <c r="E990" s="18"/>
    </row>
    <row r="991">
      <c r="B991" s="18"/>
      <c r="C991" s="18"/>
      <c r="D991" s="18"/>
      <c r="E991" s="18"/>
    </row>
    <row r="992">
      <c r="B992" s="18"/>
      <c r="C992" s="18"/>
      <c r="D992" s="18"/>
      <c r="E992" s="18"/>
    </row>
    <row r="993">
      <c r="B993" s="18"/>
      <c r="C993" s="18"/>
      <c r="D993" s="18"/>
      <c r="E993" s="18"/>
    </row>
    <row r="994">
      <c r="B994" s="18"/>
      <c r="C994" s="18"/>
      <c r="D994" s="18"/>
      <c r="E994" s="18"/>
    </row>
    <row r="995">
      <c r="B995" s="18"/>
      <c r="C995" s="18"/>
      <c r="D995" s="18"/>
      <c r="E995" s="18"/>
    </row>
    <row r="996">
      <c r="B996" s="18"/>
      <c r="C996" s="18"/>
      <c r="D996" s="18"/>
      <c r="E996" s="18"/>
    </row>
    <row r="997">
      <c r="B997" s="18"/>
      <c r="C997" s="18"/>
      <c r="D997" s="18"/>
      <c r="E997" s="18"/>
    </row>
    <row r="998">
      <c r="B998" s="18"/>
      <c r="C998" s="18"/>
      <c r="D998" s="18"/>
      <c r="E998" s="18"/>
    </row>
    <row r="999">
      <c r="B999" s="18"/>
      <c r="C999" s="18"/>
      <c r="D999" s="18"/>
      <c r="E999" s="18"/>
    </row>
    <row r="1000">
      <c r="B1000" s="18"/>
      <c r="C1000" s="18"/>
      <c r="D1000" s="18"/>
      <c r="E1000" s="1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63"/>
    <col customWidth="1" min="3" max="3" width="19.63"/>
    <col customWidth="1" min="4" max="4" width="16.75"/>
    <col customWidth="1" min="5" max="5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C14" s="18"/>
      <c r="D14" s="18"/>
      <c r="E14" s="18"/>
    </row>
    <row r="15">
      <c r="C15" s="18"/>
      <c r="D15" s="18"/>
      <c r="E15" s="18"/>
    </row>
    <row r="16">
      <c r="C16" s="18"/>
      <c r="D16" s="18"/>
      <c r="E16" s="18"/>
    </row>
    <row r="17">
      <c r="C17" s="18"/>
      <c r="D17" s="18"/>
      <c r="E17" s="18"/>
    </row>
    <row r="18">
      <c r="C18" s="18"/>
      <c r="D18" s="18"/>
      <c r="E18" s="18"/>
    </row>
    <row r="19">
      <c r="C19" s="18"/>
      <c r="D19" s="18"/>
      <c r="E19" s="18"/>
    </row>
    <row r="20">
      <c r="C20" s="18"/>
      <c r="D20" s="18"/>
      <c r="E20" s="18"/>
    </row>
    <row r="21">
      <c r="C21" s="18"/>
      <c r="D21" s="18"/>
      <c r="E21" s="18"/>
    </row>
    <row r="22">
      <c r="C22" s="18"/>
      <c r="D22" s="18"/>
      <c r="E22" s="18"/>
    </row>
    <row r="23">
      <c r="C23" s="18"/>
      <c r="D23" s="18"/>
      <c r="E23" s="18"/>
    </row>
    <row r="24">
      <c r="C24" s="18"/>
      <c r="D24" s="18"/>
      <c r="E24" s="18"/>
    </row>
    <row r="25">
      <c r="C25" s="18"/>
      <c r="D25" s="18"/>
      <c r="E25" s="18"/>
    </row>
    <row r="26">
      <c r="C26" s="18"/>
      <c r="D26" s="18"/>
      <c r="E26" s="18"/>
    </row>
    <row r="27">
      <c r="C27" s="18"/>
      <c r="D27" s="18"/>
      <c r="E27" s="18"/>
    </row>
    <row r="28">
      <c r="C28" s="18"/>
      <c r="D28" s="18"/>
      <c r="E28" s="18"/>
    </row>
    <row r="29">
      <c r="C29" s="18"/>
      <c r="D29" s="18"/>
      <c r="E29" s="18"/>
    </row>
    <row r="30">
      <c r="C30" s="18"/>
      <c r="D30" s="18"/>
      <c r="E30" s="18"/>
    </row>
    <row r="31">
      <c r="C31" s="18"/>
      <c r="D31" s="18"/>
      <c r="E31" s="18"/>
    </row>
    <row r="32">
      <c r="C32" s="18"/>
      <c r="D32" s="18"/>
      <c r="E32" s="18"/>
    </row>
    <row r="33">
      <c r="C33" s="18"/>
      <c r="D33" s="18"/>
      <c r="E33" s="18"/>
    </row>
    <row r="34">
      <c r="C34" s="18"/>
      <c r="D34" s="18"/>
      <c r="E34" s="18"/>
    </row>
    <row r="35">
      <c r="C35" s="18"/>
      <c r="D35" s="18"/>
      <c r="E35" s="18"/>
    </row>
    <row r="36">
      <c r="C36" s="18"/>
      <c r="D36" s="18"/>
      <c r="E36" s="18"/>
    </row>
    <row r="37">
      <c r="C37" s="18"/>
      <c r="D37" s="18"/>
      <c r="E37" s="18"/>
    </row>
    <row r="38">
      <c r="C38" s="18"/>
      <c r="D38" s="18"/>
      <c r="E38" s="18"/>
    </row>
    <row r="39">
      <c r="C39" s="18"/>
      <c r="D39" s="18"/>
      <c r="E39" s="18"/>
    </row>
    <row r="40">
      <c r="C40" s="18"/>
      <c r="D40" s="18"/>
      <c r="E40" s="18"/>
    </row>
    <row r="41">
      <c r="C41" s="18"/>
      <c r="D41" s="18"/>
      <c r="E41" s="18"/>
    </row>
    <row r="42">
      <c r="C42" s="18"/>
      <c r="D42" s="18"/>
      <c r="E42" s="18"/>
    </row>
    <row r="43">
      <c r="C43" s="18"/>
      <c r="D43" s="18"/>
      <c r="E43" s="18"/>
    </row>
    <row r="44">
      <c r="C44" s="18"/>
      <c r="D44" s="18"/>
      <c r="E44" s="18"/>
    </row>
    <row r="45">
      <c r="C45" s="18"/>
      <c r="D45" s="18"/>
      <c r="E45" s="18"/>
    </row>
    <row r="46">
      <c r="C46" s="18"/>
      <c r="D46" s="18"/>
      <c r="E46" s="18"/>
    </row>
    <row r="47">
      <c r="C47" s="18"/>
      <c r="D47" s="18"/>
      <c r="E47" s="18"/>
    </row>
    <row r="48">
      <c r="C48" s="18"/>
      <c r="D48" s="18"/>
      <c r="E48" s="18"/>
    </row>
    <row r="49">
      <c r="C49" s="18"/>
      <c r="D49" s="18"/>
      <c r="E49" s="18"/>
    </row>
    <row r="50">
      <c r="C50" s="18"/>
      <c r="D50" s="18"/>
      <c r="E50" s="18"/>
    </row>
    <row r="51">
      <c r="C51" s="18"/>
      <c r="D51" s="18"/>
      <c r="E51" s="18"/>
    </row>
    <row r="52">
      <c r="C52" s="18"/>
      <c r="D52" s="18"/>
      <c r="E52" s="18"/>
    </row>
    <row r="53">
      <c r="C53" s="18"/>
      <c r="D53" s="18"/>
      <c r="E53" s="18"/>
    </row>
    <row r="54">
      <c r="C54" s="18"/>
      <c r="D54" s="18"/>
      <c r="E54" s="18"/>
    </row>
    <row r="55">
      <c r="C55" s="18"/>
      <c r="D55" s="18"/>
      <c r="E55" s="18"/>
    </row>
    <row r="56">
      <c r="C56" s="18"/>
      <c r="D56" s="18"/>
      <c r="E56" s="18"/>
    </row>
    <row r="57">
      <c r="C57" s="18"/>
      <c r="D57" s="18"/>
      <c r="E57" s="18"/>
    </row>
    <row r="58">
      <c r="C58" s="18"/>
      <c r="D58" s="18"/>
      <c r="E58" s="18"/>
    </row>
    <row r="59">
      <c r="C59" s="18"/>
      <c r="D59" s="18"/>
      <c r="E59" s="18"/>
    </row>
    <row r="60">
      <c r="C60" s="18"/>
      <c r="D60" s="18"/>
      <c r="E60" s="18"/>
    </row>
    <row r="61">
      <c r="C61" s="18"/>
      <c r="D61" s="18"/>
      <c r="E61" s="18"/>
    </row>
    <row r="62">
      <c r="C62" s="18"/>
      <c r="D62" s="18"/>
      <c r="E62" s="18"/>
    </row>
    <row r="63">
      <c r="C63" s="18"/>
      <c r="D63" s="18"/>
      <c r="E63" s="18"/>
    </row>
    <row r="64">
      <c r="C64" s="18"/>
      <c r="D64" s="18"/>
      <c r="E64" s="18"/>
    </row>
    <row r="65">
      <c r="C65" s="18"/>
      <c r="D65" s="18"/>
      <c r="E65" s="18"/>
    </row>
    <row r="66">
      <c r="C66" s="18"/>
      <c r="D66" s="18"/>
      <c r="E66" s="18"/>
    </row>
    <row r="67">
      <c r="C67" s="18"/>
      <c r="D67" s="18"/>
      <c r="E67" s="18"/>
    </row>
    <row r="68">
      <c r="C68" s="18"/>
      <c r="D68" s="18"/>
      <c r="E68" s="18"/>
    </row>
    <row r="69">
      <c r="C69" s="18"/>
      <c r="D69" s="18"/>
      <c r="E69" s="18"/>
    </row>
    <row r="70">
      <c r="C70" s="18"/>
      <c r="D70" s="18"/>
      <c r="E70" s="18"/>
    </row>
    <row r="71">
      <c r="C71" s="18"/>
      <c r="D71" s="18"/>
      <c r="E71" s="18"/>
    </row>
    <row r="72">
      <c r="C72" s="18"/>
      <c r="D72" s="18"/>
      <c r="E72" s="18"/>
    </row>
    <row r="73">
      <c r="C73" s="18"/>
      <c r="D73" s="18"/>
      <c r="E73" s="18"/>
    </row>
    <row r="74">
      <c r="C74" s="18"/>
      <c r="D74" s="18"/>
      <c r="E74" s="18"/>
    </row>
    <row r="75">
      <c r="C75" s="18"/>
      <c r="D75" s="18"/>
      <c r="E75" s="18"/>
    </row>
    <row r="76">
      <c r="C76" s="18"/>
      <c r="D76" s="18"/>
      <c r="E76" s="18"/>
    </row>
    <row r="77">
      <c r="C77" s="18"/>
      <c r="D77" s="18"/>
      <c r="E77" s="18"/>
    </row>
    <row r="78">
      <c r="C78" s="18"/>
      <c r="D78" s="18"/>
      <c r="E78" s="18"/>
    </row>
    <row r="79">
      <c r="C79" s="18"/>
      <c r="D79" s="18"/>
      <c r="E79" s="18"/>
    </row>
    <row r="80">
      <c r="C80" s="18"/>
      <c r="D80" s="18"/>
      <c r="E80" s="18"/>
    </row>
    <row r="81">
      <c r="C81" s="18"/>
      <c r="D81" s="18"/>
      <c r="E81" s="18"/>
    </row>
    <row r="82">
      <c r="C82" s="18"/>
      <c r="D82" s="18"/>
      <c r="E82" s="18"/>
    </row>
    <row r="83">
      <c r="C83" s="18"/>
      <c r="D83" s="18"/>
      <c r="E83" s="18"/>
    </row>
    <row r="84">
      <c r="C84" s="18"/>
      <c r="D84" s="18"/>
      <c r="E84" s="18"/>
    </row>
    <row r="85">
      <c r="C85" s="18"/>
      <c r="D85" s="18"/>
      <c r="E85" s="18"/>
    </row>
    <row r="86">
      <c r="C86" s="18"/>
      <c r="D86" s="18"/>
      <c r="E86" s="18"/>
    </row>
    <row r="87">
      <c r="C87" s="18"/>
      <c r="D87" s="18"/>
      <c r="E87" s="18"/>
    </row>
    <row r="88">
      <c r="C88" s="18"/>
      <c r="D88" s="18"/>
      <c r="E88" s="18"/>
    </row>
    <row r="89">
      <c r="C89" s="18"/>
      <c r="D89" s="18"/>
      <c r="E89" s="18"/>
    </row>
    <row r="90">
      <c r="C90" s="18"/>
      <c r="D90" s="18"/>
      <c r="E90" s="18"/>
    </row>
    <row r="91">
      <c r="C91" s="18"/>
      <c r="D91" s="18"/>
      <c r="E91" s="18"/>
    </row>
    <row r="92">
      <c r="C92" s="18"/>
      <c r="D92" s="18"/>
      <c r="E92" s="18"/>
    </row>
    <row r="93">
      <c r="C93" s="18"/>
      <c r="D93" s="18"/>
      <c r="E93" s="18"/>
    </row>
    <row r="94">
      <c r="C94" s="18"/>
      <c r="D94" s="18"/>
      <c r="E94" s="18"/>
    </row>
    <row r="95">
      <c r="C95" s="18"/>
      <c r="D95" s="18"/>
      <c r="E95" s="18"/>
    </row>
    <row r="96">
      <c r="C96" s="18"/>
      <c r="D96" s="18"/>
      <c r="E96" s="18"/>
    </row>
    <row r="97">
      <c r="C97" s="18"/>
      <c r="D97" s="18"/>
      <c r="E97" s="18"/>
    </row>
    <row r="98">
      <c r="C98" s="18"/>
      <c r="D98" s="18"/>
      <c r="E98" s="18"/>
    </row>
    <row r="99">
      <c r="C99" s="18"/>
      <c r="D99" s="18"/>
      <c r="E99" s="18"/>
    </row>
    <row r="100">
      <c r="C100" s="18"/>
      <c r="D100" s="18"/>
      <c r="E100" s="18"/>
    </row>
    <row r="101">
      <c r="C101" s="18"/>
      <c r="D101" s="18"/>
      <c r="E101" s="18"/>
    </row>
    <row r="102">
      <c r="C102" s="18"/>
      <c r="D102" s="18"/>
      <c r="E102" s="18"/>
    </row>
    <row r="103">
      <c r="C103" s="18"/>
      <c r="D103" s="18"/>
      <c r="E103" s="18"/>
    </row>
    <row r="104">
      <c r="C104" s="18"/>
      <c r="D104" s="18"/>
      <c r="E104" s="18"/>
    </row>
    <row r="105">
      <c r="C105" s="18"/>
      <c r="D105" s="18"/>
      <c r="E105" s="18"/>
    </row>
    <row r="106">
      <c r="C106" s="18"/>
      <c r="D106" s="18"/>
      <c r="E106" s="18"/>
    </row>
    <row r="107">
      <c r="C107" s="18"/>
      <c r="D107" s="18"/>
      <c r="E107" s="18"/>
    </row>
    <row r="108">
      <c r="C108" s="18"/>
      <c r="D108" s="18"/>
      <c r="E108" s="18"/>
    </row>
    <row r="109">
      <c r="C109" s="18"/>
      <c r="D109" s="18"/>
      <c r="E109" s="18"/>
    </row>
    <row r="110">
      <c r="C110" s="18"/>
      <c r="D110" s="18"/>
      <c r="E110" s="18"/>
    </row>
    <row r="111">
      <c r="C111" s="18"/>
      <c r="D111" s="18"/>
      <c r="E111" s="18"/>
    </row>
    <row r="112">
      <c r="C112" s="18"/>
      <c r="D112" s="18"/>
      <c r="E112" s="18"/>
    </row>
    <row r="113">
      <c r="C113" s="18"/>
      <c r="D113" s="18"/>
      <c r="E113" s="18"/>
    </row>
    <row r="114">
      <c r="C114" s="18"/>
      <c r="D114" s="18"/>
      <c r="E114" s="18"/>
    </row>
    <row r="115">
      <c r="C115" s="18"/>
      <c r="D115" s="18"/>
      <c r="E115" s="18"/>
    </row>
    <row r="116">
      <c r="C116" s="18"/>
      <c r="D116" s="18"/>
      <c r="E116" s="18"/>
    </row>
    <row r="117">
      <c r="C117" s="18"/>
      <c r="D117" s="18"/>
      <c r="E117" s="18"/>
    </row>
    <row r="118">
      <c r="C118" s="18"/>
      <c r="D118" s="18"/>
      <c r="E118" s="18"/>
    </row>
    <row r="119">
      <c r="C119" s="18"/>
      <c r="D119" s="18"/>
      <c r="E119" s="18"/>
    </row>
    <row r="120">
      <c r="C120" s="18"/>
      <c r="D120" s="18"/>
      <c r="E120" s="18"/>
    </row>
    <row r="121">
      <c r="C121" s="18"/>
      <c r="D121" s="18"/>
      <c r="E121" s="18"/>
    </row>
    <row r="122">
      <c r="C122" s="18"/>
      <c r="D122" s="18"/>
      <c r="E122" s="18"/>
    </row>
    <row r="123">
      <c r="C123" s="18"/>
      <c r="D123" s="18"/>
      <c r="E123" s="18"/>
    </row>
    <row r="124">
      <c r="C124" s="18"/>
      <c r="D124" s="18"/>
      <c r="E124" s="18"/>
    </row>
    <row r="125">
      <c r="C125" s="18"/>
      <c r="D125" s="18"/>
      <c r="E125" s="18"/>
    </row>
    <row r="126">
      <c r="C126" s="18"/>
      <c r="D126" s="18"/>
      <c r="E126" s="18"/>
    </row>
    <row r="127">
      <c r="C127" s="18"/>
      <c r="D127" s="18"/>
      <c r="E127" s="18"/>
    </row>
    <row r="128">
      <c r="C128" s="18"/>
      <c r="D128" s="18"/>
      <c r="E128" s="18"/>
    </row>
    <row r="129">
      <c r="C129" s="18"/>
      <c r="D129" s="18"/>
      <c r="E129" s="18"/>
    </row>
    <row r="130">
      <c r="C130" s="18"/>
      <c r="D130" s="18"/>
      <c r="E130" s="18"/>
    </row>
    <row r="131">
      <c r="C131" s="18"/>
      <c r="D131" s="18"/>
      <c r="E131" s="18"/>
    </row>
    <row r="132">
      <c r="C132" s="18"/>
      <c r="D132" s="18"/>
      <c r="E132" s="18"/>
    </row>
    <row r="133">
      <c r="C133" s="18"/>
      <c r="D133" s="18"/>
      <c r="E133" s="18"/>
    </row>
    <row r="134">
      <c r="C134" s="18"/>
      <c r="D134" s="18"/>
      <c r="E134" s="18"/>
    </row>
    <row r="135">
      <c r="C135" s="18"/>
      <c r="D135" s="18"/>
      <c r="E135" s="18"/>
    </row>
    <row r="136">
      <c r="C136" s="18"/>
      <c r="D136" s="18"/>
      <c r="E136" s="18"/>
    </row>
    <row r="137">
      <c r="C137" s="18"/>
      <c r="D137" s="18"/>
      <c r="E137" s="18"/>
    </row>
    <row r="138">
      <c r="C138" s="18"/>
      <c r="D138" s="18"/>
      <c r="E138" s="18"/>
    </row>
    <row r="139">
      <c r="C139" s="18"/>
      <c r="D139" s="18"/>
      <c r="E139" s="18"/>
    </row>
    <row r="140">
      <c r="C140" s="18"/>
      <c r="D140" s="18"/>
      <c r="E140" s="18"/>
    </row>
    <row r="141">
      <c r="C141" s="18"/>
      <c r="D141" s="18"/>
      <c r="E141" s="18"/>
    </row>
    <row r="142">
      <c r="C142" s="18"/>
      <c r="D142" s="18"/>
      <c r="E142" s="18"/>
    </row>
    <row r="143">
      <c r="C143" s="18"/>
      <c r="D143" s="18"/>
      <c r="E143" s="18"/>
    </row>
    <row r="144">
      <c r="C144" s="18"/>
      <c r="D144" s="18"/>
      <c r="E144" s="18"/>
    </row>
    <row r="145">
      <c r="C145" s="18"/>
      <c r="D145" s="18"/>
      <c r="E145" s="18"/>
    </row>
    <row r="146">
      <c r="C146" s="18"/>
      <c r="D146" s="18"/>
      <c r="E146" s="18"/>
    </row>
    <row r="147">
      <c r="C147" s="18"/>
      <c r="D147" s="18"/>
      <c r="E147" s="18"/>
    </row>
    <row r="148">
      <c r="C148" s="18"/>
      <c r="D148" s="18"/>
      <c r="E148" s="18"/>
    </row>
    <row r="149">
      <c r="C149" s="18"/>
      <c r="D149" s="18"/>
      <c r="E149" s="18"/>
    </row>
    <row r="150">
      <c r="C150" s="18"/>
      <c r="D150" s="18"/>
      <c r="E150" s="18"/>
    </row>
    <row r="151">
      <c r="C151" s="18"/>
      <c r="D151" s="18"/>
      <c r="E151" s="18"/>
    </row>
    <row r="152">
      <c r="C152" s="18"/>
      <c r="D152" s="18"/>
      <c r="E152" s="18"/>
    </row>
    <row r="153">
      <c r="C153" s="18"/>
      <c r="D153" s="18"/>
      <c r="E153" s="18"/>
    </row>
    <row r="154">
      <c r="C154" s="18"/>
      <c r="D154" s="18"/>
      <c r="E154" s="18"/>
    </row>
    <row r="155">
      <c r="C155" s="18"/>
      <c r="D155" s="18"/>
      <c r="E155" s="18"/>
    </row>
    <row r="156">
      <c r="C156" s="18"/>
      <c r="D156" s="18"/>
      <c r="E156" s="18"/>
    </row>
    <row r="157">
      <c r="C157" s="18"/>
      <c r="D157" s="18"/>
      <c r="E157" s="18"/>
    </row>
    <row r="158">
      <c r="C158" s="18"/>
      <c r="D158" s="18"/>
      <c r="E158" s="18"/>
    </row>
    <row r="159">
      <c r="C159" s="18"/>
      <c r="D159" s="18"/>
      <c r="E159" s="18"/>
    </row>
    <row r="160">
      <c r="C160" s="18"/>
      <c r="D160" s="18"/>
      <c r="E160" s="18"/>
    </row>
    <row r="161">
      <c r="C161" s="18"/>
      <c r="D161" s="18"/>
      <c r="E161" s="18"/>
    </row>
    <row r="162">
      <c r="C162" s="18"/>
      <c r="D162" s="18"/>
      <c r="E162" s="18"/>
    </row>
    <row r="163">
      <c r="C163" s="18"/>
      <c r="D163" s="18"/>
      <c r="E163" s="18"/>
    </row>
    <row r="164">
      <c r="C164" s="18"/>
      <c r="D164" s="18"/>
      <c r="E164" s="18"/>
    </row>
    <row r="165">
      <c r="C165" s="18"/>
      <c r="D165" s="18"/>
      <c r="E165" s="18"/>
    </row>
    <row r="166">
      <c r="C166" s="18"/>
      <c r="D166" s="18"/>
      <c r="E166" s="18"/>
    </row>
    <row r="167">
      <c r="C167" s="18"/>
      <c r="D167" s="18"/>
      <c r="E167" s="18"/>
    </row>
    <row r="168">
      <c r="C168" s="18"/>
      <c r="D168" s="18"/>
      <c r="E168" s="18"/>
    </row>
    <row r="169">
      <c r="C169" s="18"/>
      <c r="D169" s="18"/>
      <c r="E169" s="18"/>
    </row>
    <row r="170">
      <c r="C170" s="18"/>
      <c r="D170" s="18"/>
      <c r="E170" s="18"/>
    </row>
    <row r="171">
      <c r="C171" s="18"/>
      <c r="D171" s="18"/>
      <c r="E171" s="18"/>
    </row>
    <row r="172">
      <c r="C172" s="18"/>
      <c r="D172" s="18"/>
      <c r="E172" s="18"/>
    </row>
    <row r="173">
      <c r="C173" s="18"/>
      <c r="D173" s="18"/>
      <c r="E173" s="18"/>
    </row>
    <row r="174">
      <c r="C174" s="18"/>
      <c r="D174" s="18"/>
      <c r="E174" s="18"/>
    </row>
    <row r="175">
      <c r="C175" s="18"/>
      <c r="D175" s="18"/>
      <c r="E175" s="18"/>
    </row>
    <row r="176">
      <c r="C176" s="18"/>
      <c r="D176" s="18"/>
      <c r="E176" s="18"/>
    </row>
    <row r="177">
      <c r="C177" s="18"/>
      <c r="D177" s="18"/>
      <c r="E177" s="18"/>
    </row>
    <row r="178">
      <c r="C178" s="18"/>
      <c r="D178" s="18"/>
      <c r="E178" s="18"/>
    </row>
    <row r="179">
      <c r="C179" s="18"/>
      <c r="D179" s="18"/>
      <c r="E179" s="18"/>
    </row>
    <row r="180">
      <c r="C180" s="18"/>
      <c r="D180" s="18"/>
      <c r="E180" s="18"/>
    </row>
    <row r="181">
      <c r="C181" s="18"/>
      <c r="D181" s="18"/>
      <c r="E181" s="18"/>
    </row>
    <row r="182">
      <c r="C182" s="18"/>
      <c r="D182" s="18"/>
      <c r="E182" s="18"/>
    </row>
    <row r="183">
      <c r="C183" s="18"/>
      <c r="D183" s="18"/>
      <c r="E183" s="18"/>
    </row>
    <row r="184">
      <c r="C184" s="18"/>
      <c r="D184" s="18"/>
      <c r="E184" s="18"/>
    </row>
    <row r="185">
      <c r="C185" s="18"/>
      <c r="D185" s="18"/>
      <c r="E185" s="18"/>
    </row>
    <row r="186">
      <c r="C186" s="18"/>
      <c r="D186" s="18"/>
      <c r="E186" s="18"/>
    </row>
    <row r="187">
      <c r="C187" s="18"/>
      <c r="D187" s="18"/>
      <c r="E187" s="18"/>
    </row>
    <row r="188">
      <c r="C188" s="18"/>
      <c r="D188" s="18"/>
      <c r="E188" s="18"/>
    </row>
    <row r="189">
      <c r="C189" s="18"/>
      <c r="D189" s="18"/>
      <c r="E189" s="18"/>
    </row>
    <row r="190">
      <c r="C190" s="18"/>
      <c r="D190" s="18"/>
      <c r="E190" s="18"/>
    </row>
    <row r="191">
      <c r="C191" s="18"/>
      <c r="D191" s="18"/>
      <c r="E191" s="18"/>
    </row>
    <row r="192">
      <c r="C192" s="18"/>
      <c r="D192" s="18"/>
      <c r="E192" s="18"/>
    </row>
    <row r="193">
      <c r="C193" s="18"/>
      <c r="D193" s="18"/>
      <c r="E193" s="18"/>
    </row>
    <row r="194">
      <c r="C194" s="18"/>
      <c r="D194" s="18"/>
      <c r="E194" s="18"/>
    </row>
    <row r="195">
      <c r="C195" s="18"/>
      <c r="D195" s="18"/>
      <c r="E195" s="18"/>
    </row>
    <row r="196">
      <c r="C196" s="18"/>
      <c r="D196" s="18"/>
      <c r="E196" s="18"/>
    </row>
    <row r="197">
      <c r="C197" s="18"/>
      <c r="D197" s="18"/>
      <c r="E197" s="18"/>
    </row>
    <row r="198">
      <c r="C198" s="18"/>
      <c r="D198" s="18"/>
      <c r="E198" s="18"/>
    </row>
    <row r="199">
      <c r="C199" s="18"/>
      <c r="D199" s="18"/>
      <c r="E199" s="18"/>
    </row>
    <row r="200">
      <c r="C200" s="18"/>
      <c r="D200" s="18"/>
      <c r="E200" s="18"/>
    </row>
    <row r="201">
      <c r="C201" s="18"/>
      <c r="D201" s="18"/>
      <c r="E201" s="18"/>
    </row>
    <row r="202">
      <c r="C202" s="18"/>
      <c r="D202" s="18"/>
      <c r="E202" s="18"/>
    </row>
    <row r="203">
      <c r="C203" s="18"/>
      <c r="D203" s="18"/>
      <c r="E203" s="18"/>
    </row>
    <row r="204">
      <c r="C204" s="18"/>
      <c r="D204" s="18"/>
      <c r="E204" s="18"/>
    </row>
    <row r="205">
      <c r="C205" s="18"/>
      <c r="D205" s="18"/>
      <c r="E205" s="18"/>
    </row>
    <row r="206">
      <c r="C206" s="18"/>
      <c r="D206" s="18"/>
      <c r="E206" s="18"/>
    </row>
    <row r="207">
      <c r="C207" s="18"/>
      <c r="D207" s="18"/>
      <c r="E207" s="18"/>
    </row>
    <row r="208">
      <c r="C208" s="18"/>
      <c r="D208" s="18"/>
      <c r="E208" s="18"/>
    </row>
    <row r="209">
      <c r="C209" s="18"/>
      <c r="D209" s="18"/>
      <c r="E209" s="18"/>
    </row>
    <row r="210">
      <c r="C210" s="18"/>
      <c r="D210" s="18"/>
      <c r="E210" s="18"/>
    </row>
    <row r="211">
      <c r="C211" s="18"/>
      <c r="D211" s="18"/>
      <c r="E211" s="18"/>
    </row>
    <row r="212">
      <c r="C212" s="18"/>
      <c r="D212" s="18"/>
      <c r="E212" s="18"/>
    </row>
    <row r="213">
      <c r="C213" s="18"/>
      <c r="D213" s="18"/>
      <c r="E213" s="18"/>
    </row>
    <row r="214">
      <c r="C214" s="18"/>
      <c r="D214" s="18"/>
      <c r="E214" s="18"/>
    </row>
    <row r="215">
      <c r="C215" s="18"/>
      <c r="D215" s="18"/>
      <c r="E215" s="18"/>
    </row>
    <row r="216">
      <c r="C216" s="18"/>
      <c r="D216" s="18"/>
      <c r="E216" s="18"/>
    </row>
    <row r="217">
      <c r="C217" s="18"/>
      <c r="D217" s="18"/>
      <c r="E217" s="18"/>
    </row>
    <row r="218">
      <c r="C218" s="18"/>
      <c r="D218" s="18"/>
      <c r="E218" s="18"/>
    </row>
    <row r="219">
      <c r="C219" s="18"/>
      <c r="D219" s="18"/>
      <c r="E219" s="18"/>
    </row>
    <row r="220">
      <c r="C220" s="18"/>
      <c r="D220" s="18"/>
      <c r="E220" s="18"/>
    </row>
    <row r="221">
      <c r="C221" s="18"/>
      <c r="D221" s="18"/>
      <c r="E221" s="18"/>
    </row>
    <row r="222">
      <c r="C222" s="18"/>
      <c r="D222" s="18"/>
      <c r="E222" s="18"/>
    </row>
    <row r="223">
      <c r="C223" s="18"/>
      <c r="D223" s="18"/>
      <c r="E223" s="18"/>
    </row>
    <row r="224">
      <c r="C224" s="18"/>
      <c r="D224" s="18"/>
      <c r="E224" s="18"/>
    </row>
    <row r="225">
      <c r="C225" s="18"/>
      <c r="D225" s="18"/>
      <c r="E225" s="18"/>
    </row>
    <row r="226">
      <c r="C226" s="18"/>
      <c r="D226" s="18"/>
      <c r="E226" s="18"/>
    </row>
    <row r="227">
      <c r="C227" s="18"/>
      <c r="D227" s="18"/>
      <c r="E227" s="18"/>
    </row>
    <row r="228">
      <c r="C228" s="18"/>
      <c r="D228" s="18"/>
      <c r="E228" s="18"/>
    </row>
    <row r="229">
      <c r="C229" s="18"/>
      <c r="D229" s="18"/>
      <c r="E229" s="18"/>
    </row>
    <row r="230">
      <c r="C230" s="18"/>
      <c r="D230" s="18"/>
      <c r="E230" s="18"/>
    </row>
    <row r="231">
      <c r="C231" s="18"/>
      <c r="D231" s="18"/>
      <c r="E231" s="18"/>
    </row>
    <row r="232">
      <c r="C232" s="18"/>
      <c r="D232" s="18"/>
      <c r="E232" s="18"/>
    </row>
    <row r="233">
      <c r="C233" s="18"/>
      <c r="D233" s="18"/>
      <c r="E233" s="18"/>
    </row>
    <row r="234">
      <c r="C234" s="18"/>
      <c r="D234" s="18"/>
      <c r="E234" s="18"/>
    </row>
    <row r="235">
      <c r="C235" s="18"/>
      <c r="D235" s="18"/>
      <c r="E235" s="18"/>
    </row>
    <row r="236">
      <c r="C236" s="18"/>
      <c r="D236" s="18"/>
      <c r="E236" s="18"/>
    </row>
    <row r="237">
      <c r="C237" s="18"/>
      <c r="D237" s="18"/>
      <c r="E237" s="18"/>
    </row>
    <row r="238">
      <c r="C238" s="18"/>
      <c r="D238" s="18"/>
      <c r="E238" s="18"/>
    </row>
    <row r="239">
      <c r="C239" s="18"/>
      <c r="D239" s="18"/>
      <c r="E239" s="18"/>
    </row>
    <row r="240">
      <c r="C240" s="18"/>
      <c r="D240" s="18"/>
      <c r="E240" s="18"/>
    </row>
    <row r="241">
      <c r="C241" s="18"/>
      <c r="D241" s="18"/>
      <c r="E241" s="18"/>
    </row>
    <row r="242">
      <c r="C242" s="18"/>
      <c r="D242" s="18"/>
      <c r="E242" s="18"/>
    </row>
    <row r="243">
      <c r="C243" s="18"/>
      <c r="D243" s="18"/>
      <c r="E243" s="18"/>
    </row>
    <row r="244">
      <c r="C244" s="18"/>
      <c r="D244" s="18"/>
      <c r="E244" s="18"/>
    </row>
    <row r="245">
      <c r="C245" s="18"/>
      <c r="D245" s="18"/>
      <c r="E245" s="18"/>
    </row>
    <row r="246">
      <c r="C246" s="18"/>
      <c r="D246" s="18"/>
      <c r="E246" s="18"/>
    </row>
    <row r="247">
      <c r="C247" s="18"/>
      <c r="D247" s="18"/>
      <c r="E247" s="18"/>
    </row>
    <row r="248">
      <c r="C248" s="18"/>
      <c r="D248" s="18"/>
      <c r="E248" s="18"/>
    </row>
    <row r="249">
      <c r="C249" s="18"/>
      <c r="D249" s="18"/>
      <c r="E249" s="18"/>
    </row>
    <row r="250">
      <c r="C250" s="18"/>
      <c r="D250" s="18"/>
      <c r="E250" s="18"/>
    </row>
    <row r="251">
      <c r="C251" s="18"/>
      <c r="D251" s="18"/>
      <c r="E251" s="18"/>
    </row>
    <row r="252">
      <c r="C252" s="18"/>
      <c r="D252" s="18"/>
      <c r="E252" s="18"/>
    </row>
    <row r="253">
      <c r="C253" s="18"/>
      <c r="D253" s="18"/>
      <c r="E253" s="18"/>
    </row>
    <row r="254">
      <c r="C254" s="18"/>
      <c r="D254" s="18"/>
      <c r="E254" s="18"/>
    </row>
    <row r="255">
      <c r="C255" s="18"/>
      <c r="D255" s="18"/>
      <c r="E255" s="18"/>
    </row>
    <row r="256">
      <c r="C256" s="18"/>
      <c r="D256" s="18"/>
      <c r="E256" s="18"/>
    </row>
    <row r="257">
      <c r="C257" s="18"/>
      <c r="D257" s="18"/>
      <c r="E257" s="18"/>
    </row>
    <row r="258">
      <c r="C258" s="18"/>
      <c r="D258" s="18"/>
      <c r="E258" s="18"/>
    </row>
    <row r="259">
      <c r="C259" s="18"/>
      <c r="D259" s="18"/>
      <c r="E259" s="18"/>
    </row>
    <row r="260">
      <c r="C260" s="18"/>
      <c r="D260" s="18"/>
      <c r="E260" s="18"/>
    </row>
    <row r="261">
      <c r="C261" s="18"/>
      <c r="D261" s="18"/>
      <c r="E261" s="18"/>
    </row>
    <row r="262">
      <c r="C262" s="18"/>
      <c r="D262" s="18"/>
      <c r="E262" s="18"/>
    </row>
    <row r="263">
      <c r="C263" s="18"/>
      <c r="D263" s="18"/>
      <c r="E263" s="18"/>
    </row>
    <row r="264">
      <c r="C264" s="18"/>
      <c r="D264" s="18"/>
      <c r="E264" s="18"/>
    </row>
    <row r="265">
      <c r="C265" s="18"/>
      <c r="D265" s="18"/>
      <c r="E265" s="18"/>
    </row>
    <row r="266">
      <c r="C266" s="18"/>
      <c r="D266" s="18"/>
      <c r="E266" s="18"/>
    </row>
    <row r="267">
      <c r="C267" s="18"/>
      <c r="D267" s="18"/>
      <c r="E267" s="18"/>
    </row>
    <row r="268">
      <c r="C268" s="18"/>
      <c r="D268" s="18"/>
      <c r="E268" s="18"/>
    </row>
    <row r="269">
      <c r="C269" s="18"/>
      <c r="D269" s="18"/>
      <c r="E269" s="18"/>
    </row>
    <row r="270">
      <c r="C270" s="18"/>
      <c r="D270" s="18"/>
      <c r="E270" s="18"/>
    </row>
    <row r="271">
      <c r="C271" s="18"/>
      <c r="D271" s="18"/>
      <c r="E271" s="18"/>
    </row>
    <row r="272">
      <c r="C272" s="18"/>
      <c r="D272" s="18"/>
      <c r="E272" s="18"/>
    </row>
    <row r="273">
      <c r="C273" s="18"/>
      <c r="D273" s="18"/>
      <c r="E273" s="18"/>
    </row>
    <row r="274">
      <c r="C274" s="18"/>
      <c r="D274" s="18"/>
      <c r="E274" s="18"/>
    </row>
    <row r="275">
      <c r="C275" s="18"/>
      <c r="D275" s="18"/>
      <c r="E275" s="18"/>
    </row>
    <row r="276">
      <c r="C276" s="18"/>
      <c r="D276" s="18"/>
      <c r="E276" s="18"/>
    </row>
    <row r="277">
      <c r="C277" s="18"/>
      <c r="D277" s="18"/>
      <c r="E277" s="18"/>
    </row>
    <row r="278">
      <c r="C278" s="18"/>
      <c r="D278" s="18"/>
      <c r="E278" s="18"/>
    </row>
    <row r="279">
      <c r="C279" s="18"/>
      <c r="D279" s="18"/>
      <c r="E279" s="18"/>
    </row>
    <row r="280">
      <c r="C280" s="18"/>
      <c r="D280" s="18"/>
      <c r="E280" s="18"/>
    </row>
    <row r="281">
      <c r="C281" s="18"/>
      <c r="D281" s="18"/>
      <c r="E281" s="18"/>
    </row>
    <row r="282">
      <c r="C282" s="18"/>
      <c r="D282" s="18"/>
      <c r="E282" s="18"/>
    </row>
    <row r="283">
      <c r="C283" s="18"/>
      <c r="D283" s="18"/>
      <c r="E283" s="18"/>
    </row>
    <row r="284">
      <c r="C284" s="18"/>
      <c r="D284" s="18"/>
      <c r="E284" s="18"/>
    </row>
    <row r="285">
      <c r="C285" s="18"/>
      <c r="D285" s="18"/>
      <c r="E285" s="18"/>
    </row>
    <row r="286">
      <c r="C286" s="18"/>
      <c r="D286" s="18"/>
      <c r="E286" s="18"/>
    </row>
    <row r="287">
      <c r="C287" s="18"/>
      <c r="D287" s="18"/>
      <c r="E287" s="18"/>
    </row>
    <row r="288">
      <c r="C288" s="18"/>
      <c r="D288" s="18"/>
      <c r="E288" s="18"/>
    </row>
    <row r="289">
      <c r="C289" s="18"/>
      <c r="D289" s="18"/>
      <c r="E289" s="18"/>
    </row>
    <row r="290">
      <c r="C290" s="18"/>
      <c r="D290" s="18"/>
      <c r="E290" s="18"/>
    </row>
    <row r="291">
      <c r="C291" s="18"/>
      <c r="D291" s="18"/>
      <c r="E291" s="18"/>
    </row>
    <row r="292">
      <c r="C292" s="18"/>
      <c r="D292" s="18"/>
      <c r="E292" s="18"/>
    </row>
    <row r="293">
      <c r="C293" s="18"/>
      <c r="D293" s="18"/>
      <c r="E293" s="18"/>
    </row>
    <row r="294">
      <c r="C294" s="18"/>
      <c r="D294" s="18"/>
      <c r="E294" s="18"/>
    </row>
    <row r="295">
      <c r="C295" s="18"/>
      <c r="D295" s="18"/>
      <c r="E295" s="18"/>
    </row>
    <row r="296">
      <c r="C296" s="18"/>
      <c r="D296" s="18"/>
      <c r="E296" s="18"/>
    </row>
    <row r="297">
      <c r="C297" s="18"/>
      <c r="D297" s="18"/>
      <c r="E297" s="18"/>
    </row>
    <row r="298">
      <c r="C298" s="18"/>
      <c r="D298" s="18"/>
      <c r="E298" s="18"/>
    </row>
    <row r="299">
      <c r="C299" s="18"/>
      <c r="D299" s="18"/>
      <c r="E299" s="18"/>
    </row>
    <row r="300">
      <c r="C300" s="18"/>
      <c r="D300" s="18"/>
      <c r="E300" s="18"/>
    </row>
    <row r="301">
      <c r="C301" s="18"/>
      <c r="D301" s="18"/>
      <c r="E301" s="18"/>
    </row>
    <row r="302">
      <c r="C302" s="18"/>
      <c r="D302" s="18"/>
      <c r="E302" s="18"/>
    </row>
    <row r="303">
      <c r="C303" s="18"/>
      <c r="D303" s="18"/>
      <c r="E303" s="18"/>
    </row>
    <row r="304">
      <c r="C304" s="18"/>
      <c r="D304" s="18"/>
      <c r="E304" s="18"/>
    </row>
    <row r="305">
      <c r="C305" s="18"/>
      <c r="D305" s="18"/>
      <c r="E305" s="18"/>
    </row>
    <row r="306">
      <c r="C306" s="18"/>
      <c r="D306" s="18"/>
      <c r="E306" s="18"/>
    </row>
    <row r="307">
      <c r="C307" s="18"/>
      <c r="D307" s="18"/>
      <c r="E307" s="18"/>
    </row>
    <row r="308">
      <c r="C308" s="18"/>
      <c r="D308" s="18"/>
      <c r="E308" s="18"/>
    </row>
    <row r="309">
      <c r="C309" s="18"/>
      <c r="D309" s="18"/>
      <c r="E309" s="18"/>
    </row>
    <row r="310">
      <c r="C310" s="18"/>
      <c r="D310" s="18"/>
      <c r="E310" s="18"/>
    </row>
    <row r="311">
      <c r="C311" s="18"/>
      <c r="D311" s="18"/>
      <c r="E311" s="18"/>
    </row>
    <row r="312">
      <c r="C312" s="18"/>
      <c r="D312" s="18"/>
      <c r="E312" s="18"/>
    </row>
    <row r="313">
      <c r="C313" s="18"/>
      <c r="D313" s="18"/>
      <c r="E313" s="18"/>
    </row>
    <row r="314">
      <c r="C314" s="18"/>
      <c r="D314" s="18"/>
      <c r="E314" s="18"/>
    </row>
    <row r="315">
      <c r="C315" s="18"/>
      <c r="D315" s="18"/>
      <c r="E315" s="18"/>
    </row>
    <row r="316">
      <c r="C316" s="18"/>
      <c r="D316" s="18"/>
      <c r="E316" s="18"/>
    </row>
    <row r="317">
      <c r="C317" s="18"/>
      <c r="D317" s="18"/>
      <c r="E317" s="18"/>
    </row>
    <row r="318">
      <c r="C318" s="18"/>
      <c r="D318" s="18"/>
      <c r="E318" s="18"/>
    </row>
    <row r="319">
      <c r="C319" s="18"/>
      <c r="D319" s="18"/>
      <c r="E319" s="18"/>
    </row>
    <row r="320">
      <c r="C320" s="18"/>
      <c r="D320" s="18"/>
      <c r="E320" s="18"/>
    </row>
    <row r="321">
      <c r="C321" s="18"/>
      <c r="D321" s="18"/>
      <c r="E321" s="18"/>
    </row>
    <row r="322">
      <c r="C322" s="18"/>
      <c r="D322" s="18"/>
      <c r="E322" s="18"/>
    </row>
    <row r="323">
      <c r="C323" s="18"/>
      <c r="D323" s="18"/>
      <c r="E323" s="18"/>
    </row>
    <row r="324">
      <c r="C324" s="18"/>
      <c r="D324" s="18"/>
      <c r="E324" s="18"/>
    </row>
    <row r="325">
      <c r="C325" s="18"/>
      <c r="D325" s="18"/>
      <c r="E325" s="18"/>
    </row>
    <row r="326">
      <c r="C326" s="18"/>
      <c r="D326" s="18"/>
      <c r="E326" s="18"/>
    </row>
    <row r="327">
      <c r="C327" s="18"/>
      <c r="D327" s="18"/>
      <c r="E327" s="18"/>
    </row>
    <row r="328">
      <c r="C328" s="18"/>
      <c r="D328" s="18"/>
      <c r="E328" s="18"/>
    </row>
    <row r="329">
      <c r="C329" s="18"/>
      <c r="D329" s="18"/>
      <c r="E329" s="18"/>
    </row>
    <row r="330">
      <c r="C330" s="18"/>
      <c r="D330" s="18"/>
      <c r="E330" s="18"/>
    </row>
    <row r="331">
      <c r="C331" s="18"/>
      <c r="D331" s="18"/>
      <c r="E331" s="18"/>
    </row>
    <row r="332">
      <c r="C332" s="18"/>
      <c r="D332" s="18"/>
      <c r="E332" s="18"/>
    </row>
    <row r="333">
      <c r="C333" s="18"/>
      <c r="D333" s="18"/>
      <c r="E333" s="18"/>
    </row>
    <row r="334">
      <c r="C334" s="18"/>
      <c r="D334" s="18"/>
      <c r="E334" s="18"/>
    </row>
    <row r="335">
      <c r="C335" s="18"/>
      <c r="D335" s="18"/>
      <c r="E335" s="18"/>
    </row>
    <row r="336">
      <c r="C336" s="18"/>
      <c r="D336" s="18"/>
      <c r="E336" s="18"/>
    </row>
    <row r="337">
      <c r="C337" s="18"/>
      <c r="D337" s="18"/>
      <c r="E337" s="18"/>
    </row>
    <row r="338">
      <c r="C338" s="18"/>
      <c r="D338" s="18"/>
      <c r="E338" s="18"/>
    </row>
    <row r="339">
      <c r="C339" s="18"/>
      <c r="D339" s="18"/>
      <c r="E339" s="18"/>
    </row>
    <row r="340">
      <c r="C340" s="18"/>
      <c r="D340" s="18"/>
      <c r="E340" s="18"/>
    </row>
    <row r="341">
      <c r="C341" s="18"/>
      <c r="D341" s="18"/>
      <c r="E341" s="18"/>
    </row>
    <row r="342">
      <c r="C342" s="18"/>
      <c r="D342" s="18"/>
      <c r="E342" s="18"/>
    </row>
    <row r="343">
      <c r="C343" s="18"/>
      <c r="D343" s="18"/>
      <c r="E343" s="18"/>
    </row>
    <row r="344">
      <c r="C344" s="18"/>
      <c r="D344" s="18"/>
      <c r="E344" s="18"/>
    </row>
    <row r="345">
      <c r="C345" s="18"/>
      <c r="D345" s="18"/>
      <c r="E345" s="18"/>
    </row>
    <row r="346">
      <c r="C346" s="18"/>
      <c r="D346" s="18"/>
      <c r="E346" s="18"/>
    </row>
    <row r="347">
      <c r="C347" s="18"/>
      <c r="D347" s="18"/>
      <c r="E347" s="18"/>
    </row>
    <row r="348">
      <c r="C348" s="18"/>
      <c r="D348" s="18"/>
      <c r="E348" s="18"/>
    </row>
    <row r="349">
      <c r="C349" s="18"/>
      <c r="D349" s="18"/>
      <c r="E349" s="18"/>
    </row>
    <row r="350">
      <c r="C350" s="18"/>
      <c r="D350" s="18"/>
      <c r="E350" s="18"/>
    </row>
    <row r="351">
      <c r="C351" s="18"/>
      <c r="D351" s="18"/>
      <c r="E351" s="18"/>
    </row>
    <row r="352">
      <c r="C352" s="18"/>
      <c r="D352" s="18"/>
      <c r="E352" s="18"/>
    </row>
    <row r="353">
      <c r="C353" s="18"/>
      <c r="D353" s="18"/>
      <c r="E353" s="18"/>
    </row>
    <row r="354">
      <c r="C354" s="18"/>
      <c r="D354" s="18"/>
      <c r="E354" s="18"/>
    </row>
    <row r="355">
      <c r="C355" s="18"/>
      <c r="D355" s="18"/>
      <c r="E355" s="18"/>
    </row>
    <row r="356">
      <c r="C356" s="18"/>
      <c r="D356" s="18"/>
      <c r="E356" s="18"/>
    </row>
    <row r="357">
      <c r="C357" s="18"/>
      <c r="D357" s="18"/>
      <c r="E357" s="18"/>
    </row>
    <row r="358">
      <c r="C358" s="18"/>
      <c r="D358" s="18"/>
      <c r="E358" s="18"/>
    </row>
    <row r="359">
      <c r="C359" s="18"/>
      <c r="D359" s="18"/>
      <c r="E359" s="18"/>
    </row>
    <row r="360">
      <c r="C360" s="18"/>
      <c r="D360" s="18"/>
      <c r="E360" s="18"/>
    </row>
    <row r="361">
      <c r="C361" s="18"/>
      <c r="D361" s="18"/>
      <c r="E361" s="18"/>
    </row>
    <row r="362">
      <c r="C362" s="18"/>
      <c r="D362" s="18"/>
      <c r="E362" s="18"/>
    </row>
    <row r="363">
      <c r="C363" s="18"/>
      <c r="D363" s="18"/>
      <c r="E363" s="18"/>
    </row>
    <row r="364">
      <c r="C364" s="18"/>
      <c r="D364" s="18"/>
      <c r="E364" s="18"/>
    </row>
    <row r="365">
      <c r="C365" s="18"/>
      <c r="D365" s="18"/>
      <c r="E365" s="18"/>
    </row>
    <row r="366">
      <c r="C366" s="18"/>
      <c r="D366" s="18"/>
      <c r="E366" s="18"/>
    </row>
    <row r="367">
      <c r="C367" s="18"/>
      <c r="D367" s="18"/>
      <c r="E367" s="18"/>
    </row>
    <row r="368">
      <c r="C368" s="18"/>
      <c r="D368" s="18"/>
      <c r="E368" s="18"/>
    </row>
    <row r="369">
      <c r="C369" s="18"/>
      <c r="D369" s="18"/>
      <c r="E369" s="18"/>
    </row>
    <row r="370">
      <c r="C370" s="18"/>
      <c r="D370" s="18"/>
      <c r="E370" s="18"/>
    </row>
    <row r="371">
      <c r="C371" s="18"/>
      <c r="D371" s="18"/>
      <c r="E371" s="18"/>
    </row>
    <row r="372">
      <c r="C372" s="18"/>
      <c r="D372" s="18"/>
      <c r="E372" s="18"/>
    </row>
    <row r="373">
      <c r="C373" s="18"/>
      <c r="D373" s="18"/>
      <c r="E373" s="18"/>
    </row>
    <row r="374">
      <c r="C374" s="18"/>
      <c r="D374" s="18"/>
      <c r="E374" s="18"/>
    </row>
    <row r="375">
      <c r="C375" s="18"/>
      <c r="D375" s="18"/>
      <c r="E375" s="18"/>
    </row>
    <row r="376">
      <c r="C376" s="18"/>
      <c r="D376" s="18"/>
      <c r="E376" s="18"/>
    </row>
    <row r="377">
      <c r="C377" s="18"/>
      <c r="D377" s="18"/>
      <c r="E377" s="18"/>
    </row>
    <row r="378">
      <c r="C378" s="18"/>
      <c r="D378" s="18"/>
      <c r="E378" s="18"/>
    </row>
    <row r="379">
      <c r="C379" s="18"/>
      <c r="D379" s="18"/>
      <c r="E379" s="18"/>
    </row>
    <row r="380">
      <c r="C380" s="18"/>
      <c r="D380" s="18"/>
      <c r="E380" s="18"/>
    </row>
    <row r="381">
      <c r="C381" s="18"/>
      <c r="D381" s="18"/>
      <c r="E381" s="18"/>
    </row>
    <row r="382">
      <c r="C382" s="18"/>
      <c r="D382" s="18"/>
      <c r="E382" s="18"/>
    </row>
    <row r="383">
      <c r="C383" s="18"/>
      <c r="D383" s="18"/>
      <c r="E383" s="18"/>
    </row>
    <row r="384">
      <c r="C384" s="18"/>
      <c r="D384" s="18"/>
      <c r="E384" s="18"/>
    </row>
    <row r="385">
      <c r="C385" s="18"/>
      <c r="D385" s="18"/>
      <c r="E385" s="18"/>
    </row>
    <row r="386">
      <c r="C386" s="18"/>
      <c r="D386" s="18"/>
      <c r="E386" s="18"/>
    </row>
    <row r="387">
      <c r="C387" s="18"/>
      <c r="D387" s="18"/>
      <c r="E387" s="18"/>
    </row>
    <row r="388">
      <c r="C388" s="18"/>
      <c r="D388" s="18"/>
      <c r="E388" s="18"/>
    </row>
    <row r="389">
      <c r="C389" s="18"/>
      <c r="D389" s="18"/>
      <c r="E389" s="18"/>
    </row>
    <row r="390">
      <c r="C390" s="18"/>
      <c r="D390" s="18"/>
      <c r="E390" s="18"/>
    </row>
    <row r="391">
      <c r="C391" s="18"/>
      <c r="D391" s="18"/>
      <c r="E391" s="18"/>
    </row>
    <row r="392">
      <c r="C392" s="18"/>
      <c r="D392" s="18"/>
      <c r="E392" s="18"/>
    </row>
    <row r="393">
      <c r="C393" s="18"/>
      <c r="D393" s="18"/>
      <c r="E393" s="18"/>
    </row>
    <row r="394">
      <c r="C394" s="18"/>
      <c r="D394" s="18"/>
      <c r="E394" s="18"/>
    </row>
    <row r="395">
      <c r="C395" s="18"/>
      <c r="D395" s="18"/>
      <c r="E395" s="18"/>
    </row>
    <row r="396">
      <c r="C396" s="18"/>
      <c r="D396" s="18"/>
      <c r="E396" s="18"/>
    </row>
    <row r="397">
      <c r="C397" s="18"/>
      <c r="D397" s="18"/>
      <c r="E397" s="18"/>
    </row>
    <row r="398">
      <c r="C398" s="18"/>
      <c r="D398" s="18"/>
      <c r="E398" s="18"/>
    </row>
    <row r="399">
      <c r="C399" s="18"/>
      <c r="D399" s="18"/>
      <c r="E399" s="18"/>
    </row>
    <row r="400">
      <c r="C400" s="18"/>
      <c r="D400" s="18"/>
      <c r="E400" s="18"/>
    </row>
    <row r="401">
      <c r="C401" s="18"/>
      <c r="D401" s="18"/>
      <c r="E401" s="18"/>
    </row>
    <row r="402">
      <c r="C402" s="18"/>
      <c r="D402" s="18"/>
      <c r="E402" s="18"/>
    </row>
    <row r="403">
      <c r="C403" s="18"/>
      <c r="D403" s="18"/>
      <c r="E403" s="18"/>
    </row>
    <row r="404">
      <c r="C404" s="18"/>
      <c r="D404" s="18"/>
      <c r="E404" s="18"/>
    </row>
    <row r="405">
      <c r="C405" s="18"/>
      <c r="D405" s="18"/>
      <c r="E405" s="18"/>
    </row>
    <row r="406">
      <c r="C406" s="18"/>
      <c r="D406" s="18"/>
      <c r="E406" s="18"/>
    </row>
    <row r="407">
      <c r="C407" s="18"/>
      <c r="D407" s="18"/>
      <c r="E407" s="18"/>
    </row>
    <row r="408">
      <c r="C408" s="18"/>
      <c r="D408" s="18"/>
      <c r="E408" s="18"/>
    </row>
    <row r="409">
      <c r="C409" s="18"/>
      <c r="D409" s="18"/>
      <c r="E409" s="18"/>
    </row>
    <row r="410">
      <c r="C410" s="18"/>
      <c r="D410" s="18"/>
      <c r="E410" s="18"/>
    </row>
    <row r="411">
      <c r="C411" s="18"/>
      <c r="D411" s="18"/>
      <c r="E411" s="18"/>
    </row>
    <row r="412">
      <c r="C412" s="18"/>
      <c r="D412" s="18"/>
      <c r="E412" s="18"/>
    </row>
    <row r="413">
      <c r="C413" s="18"/>
      <c r="D413" s="18"/>
      <c r="E413" s="18"/>
    </row>
    <row r="414">
      <c r="C414" s="18"/>
      <c r="D414" s="18"/>
      <c r="E414" s="18"/>
    </row>
    <row r="415">
      <c r="C415" s="18"/>
      <c r="D415" s="18"/>
      <c r="E415" s="18"/>
    </row>
    <row r="416">
      <c r="C416" s="18"/>
      <c r="D416" s="18"/>
      <c r="E416" s="18"/>
    </row>
    <row r="417">
      <c r="C417" s="18"/>
      <c r="D417" s="18"/>
      <c r="E417" s="18"/>
    </row>
    <row r="418">
      <c r="C418" s="18"/>
      <c r="D418" s="18"/>
      <c r="E418" s="18"/>
    </row>
    <row r="419">
      <c r="C419" s="18"/>
      <c r="D419" s="18"/>
      <c r="E419" s="18"/>
    </row>
    <row r="420">
      <c r="C420" s="18"/>
      <c r="D420" s="18"/>
      <c r="E420" s="18"/>
    </row>
    <row r="421">
      <c r="C421" s="18"/>
      <c r="D421" s="18"/>
      <c r="E421" s="18"/>
    </row>
    <row r="422">
      <c r="C422" s="18"/>
      <c r="D422" s="18"/>
      <c r="E422" s="18"/>
    </row>
    <row r="423">
      <c r="C423" s="18"/>
      <c r="D423" s="18"/>
      <c r="E423" s="18"/>
    </row>
    <row r="424">
      <c r="C424" s="18"/>
      <c r="D424" s="18"/>
      <c r="E424" s="18"/>
    </row>
    <row r="425">
      <c r="C425" s="18"/>
      <c r="D425" s="18"/>
      <c r="E425" s="18"/>
    </row>
    <row r="426">
      <c r="C426" s="18"/>
      <c r="D426" s="18"/>
      <c r="E426" s="18"/>
    </row>
    <row r="427">
      <c r="C427" s="18"/>
      <c r="D427" s="18"/>
      <c r="E427" s="18"/>
    </row>
    <row r="428">
      <c r="C428" s="18"/>
      <c r="D428" s="18"/>
      <c r="E428" s="18"/>
    </row>
    <row r="429">
      <c r="C429" s="18"/>
      <c r="D429" s="18"/>
      <c r="E429" s="18"/>
    </row>
    <row r="430">
      <c r="C430" s="18"/>
      <c r="D430" s="18"/>
      <c r="E430" s="18"/>
    </row>
    <row r="431">
      <c r="C431" s="18"/>
      <c r="D431" s="18"/>
      <c r="E431" s="18"/>
    </row>
    <row r="432">
      <c r="C432" s="18"/>
      <c r="D432" s="18"/>
      <c r="E432" s="18"/>
    </row>
    <row r="433">
      <c r="C433" s="18"/>
      <c r="D433" s="18"/>
      <c r="E433" s="18"/>
    </row>
    <row r="434">
      <c r="C434" s="18"/>
      <c r="D434" s="18"/>
      <c r="E434" s="18"/>
    </row>
    <row r="435">
      <c r="C435" s="18"/>
      <c r="D435" s="18"/>
      <c r="E435" s="18"/>
    </row>
    <row r="436">
      <c r="C436" s="18"/>
      <c r="D436" s="18"/>
      <c r="E436" s="18"/>
    </row>
    <row r="437">
      <c r="C437" s="18"/>
      <c r="D437" s="18"/>
      <c r="E437" s="18"/>
    </row>
    <row r="438">
      <c r="C438" s="18"/>
      <c r="D438" s="18"/>
      <c r="E438" s="18"/>
    </row>
    <row r="439">
      <c r="C439" s="18"/>
      <c r="D439" s="18"/>
      <c r="E439" s="18"/>
    </row>
    <row r="440">
      <c r="C440" s="18"/>
      <c r="D440" s="18"/>
      <c r="E440" s="18"/>
    </row>
    <row r="441">
      <c r="C441" s="18"/>
      <c r="D441" s="18"/>
      <c r="E441" s="18"/>
    </row>
    <row r="442">
      <c r="C442" s="18"/>
      <c r="D442" s="18"/>
      <c r="E442" s="18"/>
    </row>
    <row r="443">
      <c r="C443" s="18"/>
      <c r="D443" s="18"/>
      <c r="E443" s="18"/>
    </row>
    <row r="444">
      <c r="C444" s="18"/>
      <c r="D444" s="18"/>
      <c r="E444" s="18"/>
    </row>
    <row r="445">
      <c r="C445" s="18"/>
      <c r="D445" s="18"/>
      <c r="E445" s="18"/>
    </row>
    <row r="446">
      <c r="C446" s="18"/>
      <c r="D446" s="18"/>
      <c r="E446" s="18"/>
    </row>
    <row r="447">
      <c r="C447" s="18"/>
      <c r="D447" s="18"/>
      <c r="E447" s="18"/>
    </row>
    <row r="448">
      <c r="C448" s="18"/>
      <c r="D448" s="18"/>
      <c r="E448" s="18"/>
    </row>
    <row r="449">
      <c r="C449" s="18"/>
      <c r="D449" s="18"/>
      <c r="E449" s="18"/>
    </row>
    <row r="450">
      <c r="C450" s="18"/>
      <c r="D450" s="18"/>
      <c r="E450" s="18"/>
    </row>
    <row r="451">
      <c r="C451" s="18"/>
      <c r="D451" s="18"/>
      <c r="E451" s="18"/>
    </row>
    <row r="452">
      <c r="C452" s="18"/>
      <c r="D452" s="18"/>
      <c r="E452" s="18"/>
    </row>
    <row r="453">
      <c r="C453" s="18"/>
      <c r="D453" s="18"/>
      <c r="E453" s="18"/>
    </row>
    <row r="454">
      <c r="C454" s="18"/>
      <c r="D454" s="18"/>
      <c r="E454" s="18"/>
    </row>
    <row r="455">
      <c r="C455" s="18"/>
      <c r="D455" s="18"/>
      <c r="E455" s="18"/>
    </row>
    <row r="456">
      <c r="C456" s="18"/>
      <c r="D456" s="18"/>
      <c r="E456" s="18"/>
    </row>
    <row r="457">
      <c r="C457" s="18"/>
      <c r="D457" s="18"/>
      <c r="E457" s="18"/>
    </row>
    <row r="458">
      <c r="C458" s="18"/>
      <c r="D458" s="18"/>
      <c r="E458" s="18"/>
    </row>
    <row r="459">
      <c r="C459" s="18"/>
      <c r="D459" s="18"/>
      <c r="E459" s="18"/>
    </row>
    <row r="460">
      <c r="C460" s="18"/>
      <c r="D460" s="18"/>
      <c r="E460" s="18"/>
    </row>
    <row r="461">
      <c r="C461" s="18"/>
      <c r="D461" s="18"/>
      <c r="E461" s="18"/>
    </row>
    <row r="462">
      <c r="C462" s="18"/>
      <c r="D462" s="18"/>
      <c r="E462" s="18"/>
    </row>
    <row r="463">
      <c r="C463" s="18"/>
      <c r="D463" s="18"/>
      <c r="E463" s="18"/>
    </row>
    <row r="464">
      <c r="C464" s="18"/>
      <c r="D464" s="18"/>
      <c r="E464" s="18"/>
    </row>
    <row r="465">
      <c r="C465" s="18"/>
      <c r="D465" s="18"/>
      <c r="E465" s="18"/>
    </row>
    <row r="466">
      <c r="C466" s="18"/>
      <c r="D466" s="18"/>
      <c r="E466" s="18"/>
    </row>
    <row r="467">
      <c r="C467" s="18"/>
      <c r="D467" s="18"/>
      <c r="E467" s="18"/>
    </row>
    <row r="468">
      <c r="C468" s="18"/>
      <c r="D468" s="18"/>
      <c r="E468" s="18"/>
    </row>
    <row r="469">
      <c r="C469" s="18"/>
      <c r="D469" s="18"/>
      <c r="E469" s="18"/>
    </row>
    <row r="470">
      <c r="C470" s="18"/>
      <c r="D470" s="18"/>
      <c r="E470" s="18"/>
    </row>
    <row r="471">
      <c r="C471" s="18"/>
      <c r="D471" s="18"/>
      <c r="E471" s="18"/>
    </row>
    <row r="472">
      <c r="C472" s="18"/>
      <c r="D472" s="18"/>
      <c r="E472" s="18"/>
    </row>
    <row r="473">
      <c r="C473" s="18"/>
      <c r="D473" s="18"/>
      <c r="E473" s="18"/>
    </row>
    <row r="474">
      <c r="C474" s="18"/>
      <c r="D474" s="18"/>
      <c r="E474" s="18"/>
    </row>
    <row r="475">
      <c r="C475" s="18"/>
      <c r="D475" s="18"/>
      <c r="E475" s="18"/>
    </row>
    <row r="476">
      <c r="C476" s="18"/>
      <c r="D476" s="18"/>
      <c r="E476" s="18"/>
    </row>
    <row r="477">
      <c r="C477" s="18"/>
      <c r="D477" s="18"/>
      <c r="E477" s="18"/>
    </row>
    <row r="478">
      <c r="C478" s="18"/>
      <c r="D478" s="18"/>
      <c r="E478" s="18"/>
    </row>
    <row r="479">
      <c r="C479" s="18"/>
      <c r="D479" s="18"/>
      <c r="E479" s="18"/>
    </row>
    <row r="480">
      <c r="C480" s="18"/>
      <c r="D480" s="18"/>
      <c r="E480" s="18"/>
    </row>
    <row r="481">
      <c r="C481" s="18"/>
      <c r="D481" s="18"/>
      <c r="E481" s="18"/>
    </row>
    <row r="482">
      <c r="C482" s="18"/>
      <c r="D482" s="18"/>
      <c r="E482" s="18"/>
    </row>
    <row r="483">
      <c r="C483" s="18"/>
      <c r="D483" s="18"/>
      <c r="E483" s="18"/>
    </row>
    <row r="484">
      <c r="C484" s="18"/>
      <c r="D484" s="18"/>
      <c r="E484" s="18"/>
    </row>
    <row r="485">
      <c r="C485" s="18"/>
      <c r="D485" s="18"/>
      <c r="E485" s="18"/>
    </row>
    <row r="486">
      <c r="C486" s="18"/>
      <c r="D486" s="18"/>
      <c r="E486" s="18"/>
    </row>
    <row r="487">
      <c r="C487" s="18"/>
      <c r="D487" s="18"/>
      <c r="E487" s="18"/>
    </row>
    <row r="488">
      <c r="C488" s="18"/>
      <c r="D488" s="18"/>
      <c r="E488" s="18"/>
    </row>
    <row r="489">
      <c r="C489" s="18"/>
      <c r="D489" s="18"/>
      <c r="E489" s="18"/>
    </row>
    <row r="490">
      <c r="C490" s="18"/>
      <c r="D490" s="18"/>
      <c r="E490" s="18"/>
    </row>
    <row r="491">
      <c r="C491" s="18"/>
      <c r="D491" s="18"/>
      <c r="E491" s="18"/>
    </row>
    <row r="492">
      <c r="C492" s="18"/>
      <c r="D492" s="18"/>
      <c r="E492" s="18"/>
    </row>
    <row r="493">
      <c r="C493" s="18"/>
      <c r="D493" s="18"/>
      <c r="E493" s="18"/>
    </row>
    <row r="494">
      <c r="C494" s="18"/>
      <c r="D494" s="18"/>
      <c r="E494" s="18"/>
    </row>
    <row r="495">
      <c r="C495" s="18"/>
      <c r="D495" s="18"/>
      <c r="E495" s="18"/>
    </row>
    <row r="496">
      <c r="C496" s="18"/>
      <c r="D496" s="18"/>
      <c r="E496" s="18"/>
    </row>
    <row r="497">
      <c r="C497" s="18"/>
      <c r="D497" s="18"/>
      <c r="E497" s="18"/>
    </row>
    <row r="498">
      <c r="C498" s="18"/>
      <c r="D498" s="18"/>
      <c r="E498" s="18"/>
    </row>
    <row r="499">
      <c r="C499" s="18"/>
      <c r="D499" s="18"/>
      <c r="E499" s="18"/>
    </row>
    <row r="500">
      <c r="C500" s="18"/>
      <c r="D500" s="18"/>
      <c r="E500" s="18"/>
    </row>
    <row r="501">
      <c r="C501" s="18"/>
      <c r="D501" s="18"/>
      <c r="E501" s="18"/>
    </row>
    <row r="502">
      <c r="C502" s="18"/>
      <c r="D502" s="18"/>
      <c r="E502" s="18"/>
    </row>
    <row r="503">
      <c r="C503" s="18"/>
      <c r="D503" s="18"/>
      <c r="E503" s="18"/>
    </row>
    <row r="504">
      <c r="C504" s="18"/>
      <c r="D504" s="18"/>
      <c r="E504" s="18"/>
    </row>
    <row r="505">
      <c r="C505" s="18"/>
      <c r="D505" s="18"/>
      <c r="E505" s="18"/>
    </row>
    <row r="506">
      <c r="C506" s="18"/>
      <c r="D506" s="18"/>
      <c r="E506" s="18"/>
    </row>
    <row r="507">
      <c r="C507" s="18"/>
      <c r="D507" s="18"/>
      <c r="E507" s="18"/>
    </row>
    <row r="508">
      <c r="C508" s="18"/>
      <c r="D508" s="18"/>
      <c r="E508" s="18"/>
    </row>
    <row r="509">
      <c r="C509" s="18"/>
      <c r="D509" s="18"/>
      <c r="E509" s="18"/>
    </row>
    <row r="510">
      <c r="C510" s="18"/>
      <c r="D510" s="18"/>
      <c r="E510" s="18"/>
    </row>
    <row r="511">
      <c r="C511" s="18"/>
      <c r="D511" s="18"/>
      <c r="E511" s="18"/>
    </row>
    <row r="512">
      <c r="C512" s="18"/>
      <c r="D512" s="18"/>
      <c r="E512" s="18"/>
    </row>
    <row r="513">
      <c r="C513" s="18"/>
      <c r="D513" s="18"/>
      <c r="E513" s="18"/>
    </row>
    <row r="514">
      <c r="C514" s="18"/>
      <c r="D514" s="18"/>
      <c r="E514" s="18"/>
    </row>
    <row r="515">
      <c r="C515" s="18"/>
      <c r="D515" s="18"/>
      <c r="E515" s="18"/>
    </row>
    <row r="516">
      <c r="C516" s="18"/>
      <c r="D516" s="18"/>
      <c r="E516" s="18"/>
    </row>
    <row r="517">
      <c r="C517" s="18"/>
      <c r="D517" s="18"/>
      <c r="E517" s="18"/>
    </row>
    <row r="518">
      <c r="C518" s="18"/>
      <c r="D518" s="18"/>
      <c r="E518" s="18"/>
    </row>
    <row r="519">
      <c r="C519" s="18"/>
      <c r="D519" s="18"/>
      <c r="E519" s="18"/>
    </row>
    <row r="520">
      <c r="C520" s="18"/>
      <c r="D520" s="18"/>
      <c r="E520" s="18"/>
    </row>
    <row r="521">
      <c r="C521" s="18"/>
      <c r="D521" s="18"/>
      <c r="E521" s="18"/>
    </row>
    <row r="522">
      <c r="C522" s="18"/>
      <c r="D522" s="18"/>
      <c r="E522" s="18"/>
    </row>
    <row r="523">
      <c r="C523" s="18"/>
      <c r="D523" s="18"/>
      <c r="E523" s="18"/>
    </row>
    <row r="524">
      <c r="C524" s="18"/>
      <c r="D524" s="18"/>
      <c r="E524" s="18"/>
    </row>
    <row r="525">
      <c r="C525" s="18"/>
      <c r="D525" s="18"/>
      <c r="E525" s="18"/>
    </row>
    <row r="526">
      <c r="C526" s="18"/>
      <c r="D526" s="18"/>
      <c r="E526" s="18"/>
    </row>
    <row r="527">
      <c r="C527" s="18"/>
      <c r="D527" s="18"/>
      <c r="E527" s="18"/>
    </row>
    <row r="528">
      <c r="C528" s="18"/>
      <c r="D528" s="18"/>
      <c r="E528" s="18"/>
    </row>
    <row r="529">
      <c r="C529" s="18"/>
      <c r="D529" s="18"/>
      <c r="E529" s="18"/>
    </row>
    <row r="530">
      <c r="C530" s="18"/>
      <c r="D530" s="18"/>
      <c r="E530" s="18"/>
    </row>
    <row r="531">
      <c r="C531" s="18"/>
      <c r="D531" s="18"/>
      <c r="E531" s="18"/>
    </row>
    <row r="532">
      <c r="C532" s="18"/>
      <c r="D532" s="18"/>
      <c r="E532" s="18"/>
    </row>
    <row r="533">
      <c r="C533" s="18"/>
      <c r="D533" s="18"/>
      <c r="E533" s="18"/>
    </row>
    <row r="534">
      <c r="C534" s="18"/>
      <c r="D534" s="18"/>
      <c r="E534" s="18"/>
    </row>
    <row r="535">
      <c r="C535" s="18"/>
      <c r="D535" s="18"/>
      <c r="E535" s="18"/>
    </row>
    <row r="536">
      <c r="C536" s="18"/>
      <c r="D536" s="18"/>
      <c r="E536" s="18"/>
    </row>
    <row r="537">
      <c r="C537" s="18"/>
      <c r="D537" s="18"/>
      <c r="E537" s="18"/>
    </row>
    <row r="538">
      <c r="C538" s="18"/>
      <c r="D538" s="18"/>
      <c r="E538" s="18"/>
    </row>
    <row r="539">
      <c r="C539" s="18"/>
      <c r="D539" s="18"/>
      <c r="E539" s="18"/>
    </row>
    <row r="540">
      <c r="C540" s="18"/>
      <c r="D540" s="18"/>
      <c r="E540" s="18"/>
    </row>
    <row r="541">
      <c r="C541" s="18"/>
      <c r="D541" s="18"/>
      <c r="E541" s="18"/>
    </row>
    <row r="542">
      <c r="C542" s="18"/>
      <c r="D542" s="18"/>
      <c r="E542" s="18"/>
    </row>
    <row r="543">
      <c r="C543" s="18"/>
      <c r="D543" s="18"/>
      <c r="E543" s="18"/>
    </row>
    <row r="544">
      <c r="C544" s="18"/>
      <c r="D544" s="18"/>
      <c r="E544" s="18"/>
    </row>
    <row r="545">
      <c r="C545" s="18"/>
      <c r="D545" s="18"/>
      <c r="E545" s="18"/>
    </row>
    <row r="546">
      <c r="C546" s="18"/>
      <c r="D546" s="18"/>
      <c r="E546" s="18"/>
    </row>
    <row r="547">
      <c r="C547" s="18"/>
      <c r="D547" s="18"/>
      <c r="E547" s="18"/>
    </row>
    <row r="548">
      <c r="C548" s="18"/>
      <c r="D548" s="18"/>
      <c r="E548" s="18"/>
    </row>
    <row r="549">
      <c r="C549" s="18"/>
      <c r="D549" s="18"/>
      <c r="E549" s="18"/>
    </row>
    <row r="550">
      <c r="C550" s="18"/>
      <c r="D550" s="18"/>
      <c r="E550" s="18"/>
    </row>
    <row r="551">
      <c r="C551" s="18"/>
      <c r="D551" s="18"/>
      <c r="E551" s="18"/>
    </row>
    <row r="552">
      <c r="C552" s="18"/>
      <c r="D552" s="18"/>
      <c r="E552" s="18"/>
    </row>
    <row r="553">
      <c r="C553" s="18"/>
      <c r="D553" s="18"/>
      <c r="E553" s="18"/>
    </row>
    <row r="554">
      <c r="C554" s="18"/>
      <c r="D554" s="18"/>
      <c r="E554" s="18"/>
    </row>
    <row r="555">
      <c r="C555" s="18"/>
      <c r="D555" s="18"/>
      <c r="E555" s="18"/>
    </row>
    <row r="556">
      <c r="C556" s="18"/>
      <c r="D556" s="18"/>
      <c r="E556" s="18"/>
    </row>
    <row r="557">
      <c r="C557" s="18"/>
      <c r="D557" s="18"/>
      <c r="E557" s="18"/>
    </row>
    <row r="558">
      <c r="C558" s="18"/>
      <c r="D558" s="18"/>
      <c r="E558" s="18"/>
    </row>
    <row r="559">
      <c r="C559" s="18"/>
      <c r="D559" s="18"/>
      <c r="E559" s="18"/>
    </row>
    <row r="560">
      <c r="C560" s="18"/>
      <c r="D560" s="18"/>
      <c r="E560" s="18"/>
    </row>
    <row r="561">
      <c r="C561" s="18"/>
      <c r="D561" s="18"/>
      <c r="E561" s="18"/>
    </row>
    <row r="562">
      <c r="C562" s="18"/>
      <c r="D562" s="18"/>
      <c r="E562" s="18"/>
    </row>
    <row r="563">
      <c r="C563" s="18"/>
      <c r="D563" s="18"/>
      <c r="E563" s="18"/>
    </row>
    <row r="564">
      <c r="C564" s="18"/>
      <c r="D564" s="18"/>
      <c r="E564" s="18"/>
    </row>
    <row r="565">
      <c r="C565" s="18"/>
      <c r="D565" s="18"/>
      <c r="E565" s="18"/>
    </row>
    <row r="566">
      <c r="C566" s="18"/>
      <c r="D566" s="18"/>
      <c r="E566" s="18"/>
    </row>
    <row r="567">
      <c r="C567" s="18"/>
      <c r="D567" s="18"/>
      <c r="E567" s="18"/>
    </row>
    <row r="568">
      <c r="C568" s="18"/>
      <c r="D568" s="18"/>
      <c r="E568" s="18"/>
    </row>
    <row r="569">
      <c r="C569" s="18"/>
      <c r="D569" s="18"/>
      <c r="E569" s="18"/>
    </row>
    <row r="570">
      <c r="C570" s="18"/>
      <c r="D570" s="18"/>
      <c r="E570" s="18"/>
    </row>
    <row r="571">
      <c r="C571" s="18"/>
      <c r="D571" s="18"/>
      <c r="E571" s="18"/>
    </row>
    <row r="572">
      <c r="C572" s="18"/>
      <c r="D572" s="18"/>
      <c r="E572" s="18"/>
    </row>
    <row r="573">
      <c r="C573" s="18"/>
      <c r="D573" s="18"/>
      <c r="E573" s="18"/>
    </row>
    <row r="574">
      <c r="C574" s="18"/>
      <c r="D574" s="18"/>
      <c r="E574" s="18"/>
    </row>
    <row r="575">
      <c r="C575" s="18"/>
      <c r="D575" s="18"/>
      <c r="E575" s="18"/>
    </row>
    <row r="576">
      <c r="C576" s="18"/>
      <c r="D576" s="18"/>
      <c r="E576" s="18"/>
    </row>
    <row r="577">
      <c r="C577" s="18"/>
      <c r="D577" s="18"/>
      <c r="E577" s="18"/>
    </row>
    <row r="578">
      <c r="C578" s="18"/>
      <c r="D578" s="18"/>
      <c r="E578" s="18"/>
    </row>
    <row r="579">
      <c r="C579" s="18"/>
      <c r="D579" s="18"/>
      <c r="E579" s="18"/>
    </row>
    <row r="580">
      <c r="C580" s="18"/>
      <c r="D580" s="18"/>
      <c r="E580" s="18"/>
    </row>
    <row r="581">
      <c r="C581" s="18"/>
      <c r="D581" s="18"/>
      <c r="E581" s="18"/>
    </row>
    <row r="582">
      <c r="C582" s="18"/>
      <c r="D582" s="18"/>
      <c r="E582" s="18"/>
    </row>
    <row r="583">
      <c r="C583" s="18"/>
      <c r="D583" s="18"/>
      <c r="E583" s="18"/>
    </row>
    <row r="584">
      <c r="C584" s="18"/>
      <c r="D584" s="18"/>
      <c r="E584" s="18"/>
    </row>
    <row r="585">
      <c r="C585" s="18"/>
      <c r="D585" s="18"/>
      <c r="E585" s="18"/>
    </row>
    <row r="586">
      <c r="C586" s="18"/>
      <c r="D586" s="18"/>
      <c r="E586" s="18"/>
    </row>
    <row r="587">
      <c r="C587" s="18"/>
      <c r="D587" s="18"/>
      <c r="E587" s="18"/>
    </row>
    <row r="588">
      <c r="C588" s="18"/>
      <c r="D588" s="18"/>
      <c r="E588" s="18"/>
    </row>
    <row r="589">
      <c r="C589" s="18"/>
      <c r="D589" s="18"/>
      <c r="E589" s="18"/>
    </row>
    <row r="590">
      <c r="C590" s="18"/>
      <c r="D590" s="18"/>
      <c r="E590" s="18"/>
    </row>
    <row r="591">
      <c r="C591" s="18"/>
      <c r="D591" s="18"/>
      <c r="E591" s="18"/>
    </row>
    <row r="592">
      <c r="C592" s="18"/>
      <c r="D592" s="18"/>
      <c r="E592" s="18"/>
    </row>
    <row r="593">
      <c r="C593" s="18"/>
      <c r="D593" s="18"/>
      <c r="E593" s="18"/>
    </row>
    <row r="594">
      <c r="C594" s="18"/>
      <c r="D594" s="18"/>
      <c r="E594" s="18"/>
    </row>
    <row r="595">
      <c r="C595" s="18"/>
      <c r="D595" s="18"/>
      <c r="E595" s="18"/>
    </row>
    <row r="596">
      <c r="C596" s="18"/>
      <c r="D596" s="18"/>
      <c r="E596" s="18"/>
    </row>
    <row r="597">
      <c r="C597" s="18"/>
      <c r="D597" s="18"/>
      <c r="E597" s="18"/>
    </row>
    <row r="598">
      <c r="C598" s="18"/>
      <c r="D598" s="18"/>
      <c r="E598" s="18"/>
    </row>
    <row r="599">
      <c r="C599" s="18"/>
      <c r="D599" s="18"/>
      <c r="E599" s="18"/>
    </row>
    <row r="600">
      <c r="C600" s="18"/>
      <c r="D600" s="18"/>
      <c r="E600" s="18"/>
    </row>
    <row r="601">
      <c r="C601" s="18"/>
      <c r="D601" s="18"/>
      <c r="E601" s="18"/>
    </row>
    <row r="602">
      <c r="C602" s="18"/>
      <c r="D602" s="18"/>
      <c r="E602" s="18"/>
    </row>
    <row r="603">
      <c r="C603" s="18"/>
      <c r="D603" s="18"/>
      <c r="E603" s="18"/>
    </row>
    <row r="604">
      <c r="C604" s="18"/>
      <c r="D604" s="18"/>
      <c r="E604" s="18"/>
    </row>
    <row r="605">
      <c r="C605" s="18"/>
      <c r="D605" s="18"/>
      <c r="E605" s="18"/>
    </row>
    <row r="606">
      <c r="C606" s="18"/>
      <c r="D606" s="18"/>
      <c r="E606" s="18"/>
    </row>
    <row r="607">
      <c r="C607" s="18"/>
      <c r="D607" s="18"/>
      <c r="E607" s="18"/>
    </row>
    <row r="608">
      <c r="C608" s="18"/>
      <c r="D608" s="18"/>
      <c r="E608" s="18"/>
    </row>
    <row r="609">
      <c r="C609" s="18"/>
      <c r="D609" s="18"/>
      <c r="E609" s="18"/>
    </row>
    <row r="610">
      <c r="C610" s="18"/>
      <c r="D610" s="18"/>
      <c r="E610" s="18"/>
    </row>
    <row r="611">
      <c r="C611" s="18"/>
      <c r="D611" s="18"/>
      <c r="E611" s="18"/>
    </row>
    <row r="612">
      <c r="C612" s="18"/>
      <c r="D612" s="18"/>
      <c r="E612" s="18"/>
    </row>
    <row r="613">
      <c r="C613" s="18"/>
      <c r="D613" s="18"/>
      <c r="E613" s="18"/>
    </row>
    <row r="614">
      <c r="C614" s="18"/>
      <c r="D614" s="18"/>
      <c r="E614" s="18"/>
    </row>
    <row r="615">
      <c r="C615" s="18"/>
      <c r="D615" s="18"/>
      <c r="E615" s="18"/>
    </row>
    <row r="616">
      <c r="C616" s="18"/>
      <c r="D616" s="18"/>
      <c r="E616" s="18"/>
    </row>
    <row r="617">
      <c r="C617" s="18"/>
      <c r="D617" s="18"/>
      <c r="E617" s="18"/>
    </row>
    <row r="618">
      <c r="C618" s="18"/>
      <c r="D618" s="18"/>
      <c r="E618" s="18"/>
    </row>
    <row r="619">
      <c r="C619" s="18"/>
      <c r="D619" s="18"/>
      <c r="E619" s="18"/>
    </row>
    <row r="620">
      <c r="C620" s="18"/>
      <c r="D620" s="18"/>
      <c r="E620" s="18"/>
    </row>
    <row r="621">
      <c r="C621" s="18"/>
      <c r="D621" s="18"/>
      <c r="E621" s="18"/>
    </row>
    <row r="622">
      <c r="C622" s="18"/>
      <c r="D622" s="18"/>
      <c r="E622" s="18"/>
    </row>
    <row r="623">
      <c r="C623" s="18"/>
      <c r="D623" s="18"/>
      <c r="E623" s="18"/>
    </row>
    <row r="624">
      <c r="C624" s="18"/>
      <c r="D624" s="18"/>
      <c r="E624" s="18"/>
    </row>
    <row r="625">
      <c r="C625" s="18"/>
      <c r="D625" s="18"/>
      <c r="E625" s="18"/>
    </row>
    <row r="626">
      <c r="C626" s="18"/>
      <c r="D626" s="18"/>
      <c r="E626" s="18"/>
    </row>
    <row r="627">
      <c r="C627" s="18"/>
      <c r="D627" s="18"/>
      <c r="E627" s="18"/>
    </row>
    <row r="628">
      <c r="C628" s="18"/>
      <c r="D628" s="18"/>
      <c r="E628" s="18"/>
    </row>
    <row r="629">
      <c r="C629" s="18"/>
      <c r="D629" s="18"/>
      <c r="E629" s="18"/>
    </row>
    <row r="630">
      <c r="C630" s="18"/>
      <c r="D630" s="18"/>
      <c r="E630" s="18"/>
    </row>
    <row r="631">
      <c r="C631" s="18"/>
      <c r="D631" s="18"/>
      <c r="E631" s="18"/>
    </row>
    <row r="632">
      <c r="C632" s="18"/>
      <c r="D632" s="18"/>
      <c r="E632" s="18"/>
    </row>
    <row r="633">
      <c r="C633" s="18"/>
      <c r="D633" s="18"/>
      <c r="E633" s="18"/>
    </row>
    <row r="634">
      <c r="C634" s="18"/>
      <c r="D634" s="18"/>
      <c r="E634" s="18"/>
    </row>
    <row r="635">
      <c r="C635" s="18"/>
      <c r="D635" s="18"/>
      <c r="E635" s="18"/>
    </row>
    <row r="636">
      <c r="C636" s="18"/>
      <c r="D636" s="18"/>
      <c r="E636" s="18"/>
    </row>
    <row r="637">
      <c r="C637" s="18"/>
      <c r="D637" s="18"/>
      <c r="E637" s="18"/>
    </row>
    <row r="638">
      <c r="C638" s="18"/>
      <c r="D638" s="18"/>
      <c r="E638" s="18"/>
    </row>
    <row r="639">
      <c r="C639" s="18"/>
      <c r="D639" s="18"/>
      <c r="E639" s="18"/>
    </row>
    <row r="640">
      <c r="C640" s="18"/>
      <c r="D640" s="18"/>
      <c r="E640" s="18"/>
    </row>
    <row r="641">
      <c r="C641" s="18"/>
      <c r="D641" s="18"/>
      <c r="E641" s="18"/>
    </row>
    <row r="642">
      <c r="C642" s="18"/>
      <c r="D642" s="18"/>
      <c r="E642" s="18"/>
    </row>
    <row r="643">
      <c r="C643" s="18"/>
      <c r="D643" s="18"/>
      <c r="E643" s="18"/>
    </row>
    <row r="644">
      <c r="C644" s="18"/>
      <c r="D644" s="18"/>
      <c r="E644" s="18"/>
    </row>
    <row r="645">
      <c r="C645" s="18"/>
      <c r="D645" s="18"/>
      <c r="E645" s="18"/>
    </row>
    <row r="646">
      <c r="C646" s="18"/>
      <c r="D646" s="18"/>
      <c r="E646" s="18"/>
    </row>
    <row r="647">
      <c r="C647" s="18"/>
      <c r="D647" s="18"/>
      <c r="E647" s="18"/>
    </row>
    <row r="648">
      <c r="C648" s="18"/>
      <c r="D648" s="18"/>
      <c r="E648" s="18"/>
    </row>
    <row r="649">
      <c r="C649" s="18"/>
      <c r="D649" s="18"/>
      <c r="E649" s="18"/>
    </row>
    <row r="650">
      <c r="C650" s="18"/>
      <c r="D650" s="18"/>
      <c r="E650" s="18"/>
    </row>
    <row r="651">
      <c r="C651" s="18"/>
      <c r="D651" s="18"/>
      <c r="E651" s="18"/>
    </row>
    <row r="652">
      <c r="C652" s="18"/>
      <c r="D652" s="18"/>
      <c r="E652" s="18"/>
    </row>
    <row r="653">
      <c r="C653" s="18"/>
      <c r="D653" s="18"/>
      <c r="E653" s="18"/>
    </row>
    <row r="654">
      <c r="C654" s="18"/>
      <c r="D654" s="18"/>
      <c r="E654" s="18"/>
    </row>
    <row r="655">
      <c r="C655" s="18"/>
      <c r="D655" s="18"/>
      <c r="E655" s="18"/>
    </row>
    <row r="656">
      <c r="C656" s="18"/>
      <c r="D656" s="18"/>
      <c r="E656" s="18"/>
    </row>
    <row r="657">
      <c r="C657" s="18"/>
      <c r="D657" s="18"/>
      <c r="E657" s="18"/>
    </row>
    <row r="658">
      <c r="C658" s="18"/>
      <c r="D658" s="18"/>
      <c r="E658" s="18"/>
    </row>
    <row r="659">
      <c r="C659" s="18"/>
      <c r="D659" s="18"/>
      <c r="E659" s="18"/>
    </row>
    <row r="660">
      <c r="C660" s="18"/>
      <c r="D660" s="18"/>
      <c r="E660" s="18"/>
    </row>
    <row r="661">
      <c r="C661" s="18"/>
      <c r="D661" s="18"/>
      <c r="E661" s="18"/>
    </row>
    <row r="662">
      <c r="C662" s="18"/>
      <c r="D662" s="18"/>
      <c r="E662" s="18"/>
    </row>
    <row r="663">
      <c r="C663" s="18"/>
      <c r="D663" s="18"/>
      <c r="E663" s="18"/>
    </row>
    <row r="664">
      <c r="C664" s="18"/>
      <c r="D664" s="18"/>
      <c r="E664" s="18"/>
    </row>
    <row r="665">
      <c r="C665" s="18"/>
      <c r="D665" s="18"/>
      <c r="E665" s="18"/>
    </row>
    <row r="666">
      <c r="C666" s="18"/>
      <c r="D666" s="18"/>
      <c r="E666" s="18"/>
    </row>
    <row r="667">
      <c r="C667" s="18"/>
      <c r="D667" s="18"/>
      <c r="E667" s="18"/>
    </row>
    <row r="668">
      <c r="C668" s="18"/>
      <c r="D668" s="18"/>
      <c r="E668" s="18"/>
    </row>
    <row r="669">
      <c r="C669" s="18"/>
      <c r="D669" s="18"/>
      <c r="E669" s="18"/>
    </row>
    <row r="670">
      <c r="C670" s="18"/>
      <c r="D670" s="18"/>
      <c r="E670" s="18"/>
    </row>
    <row r="671">
      <c r="C671" s="18"/>
      <c r="D671" s="18"/>
      <c r="E671" s="18"/>
    </row>
    <row r="672">
      <c r="C672" s="18"/>
      <c r="D672" s="18"/>
      <c r="E672" s="18"/>
    </row>
    <row r="673">
      <c r="C673" s="18"/>
      <c r="D673" s="18"/>
      <c r="E673" s="18"/>
    </row>
    <row r="674">
      <c r="C674" s="18"/>
      <c r="D674" s="18"/>
      <c r="E674" s="18"/>
    </row>
    <row r="675">
      <c r="C675" s="18"/>
      <c r="D675" s="18"/>
      <c r="E675" s="18"/>
    </row>
    <row r="676">
      <c r="C676" s="18"/>
      <c r="D676" s="18"/>
      <c r="E676" s="18"/>
    </row>
    <row r="677">
      <c r="C677" s="18"/>
      <c r="D677" s="18"/>
      <c r="E677" s="18"/>
    </row>
    <row r="678">
      <c r="C678" s="18"/>
      <c r="D678" s="18"/>
      <c r="E678" s="18"/>
    </row>
    <row r="679">
      <c r="C679" s="18"/>
      <c r="D679" s="18"/>
      <c r="E679" s="18"/>
    </row>
    <row r="680">
      <c r="C680" s="18"/>
      <c r="D680" s="18"/>
      <c r="E680" s="18"/>
    </row>
    <row r="681">
      <c r="C681" s="18"/>
      <c r="D681" s="18"/>
      <c r="E681" s="18"/>
    </row>
    <row r="682">
      <c r="C682" s="18"/>
      <c r="D682" s="18"/>
      <c r="E682" s="18"/>
    </row>
    <row r="683">
      <c r="C683" s="18"/>
      <c r="D683" s="18"/>
      <c r="E683" s="18"/>
    </row>
    <row r="684">
      <c r="C684" s="18"/>
      <c r="D684" s="18"/>
      <c r="E684" s="18"/>
    </row>
    <row r="685">
      <c r="C685" s="18"/>
      <c r="D685" s="18"/>
      <c r="E685" s="18"/>
    </row>
    <row r="686">
      <c r="C686" s="18"/>
      <c r="D686" s="18"/>
      <c r="E686" s="18"/>
    </row>
    <row r="687">
      <c r="C687" s="18"/>
      <c r="D687" s="18"/>
      <c r="E687" s="18"/>
    </row>
    <row r="688">
      <c r="C688" s="18"/>
      <c r="D688" s="18"/>
      <c r="E688" s="18"/>
    </row>
    <row r="689">
      <c r="C689" s="18"/>
      <c r="D689" s="18"/>
      <c r="E689" s="18"/>
    </row>
    <row r="690">
      <c r="C690" s="18"/>
      <c r="D690" s="18"/>
      <c r="E690" s="18"/>
    </row>
    <row r="691">
      <c r="C691" s="18"/>
      <c r="D691" s="18"/>
      <c r="E691" s="18"/>
    </row>
    <row r="692">
      <c r="C692" s="18"/>
      <c r="D692" s="18"/>
      <c r="E692" s="18"/>
    </row>
    <row r="693">
      <c r="C693" s="18"/>
      <c r="D693" s="18"/>
      <c r="E693" s="18"/>
    </row>
    <row r="694">
      <c r="C694" s="18"/>
      <c r="D694" s="18"/>
      <c r="E694" s="18"/>
    </row>
    <row r="695">
      <c r="C695" s="18"/>
      <c r="D695" s="18"/>
      <c r="E695" s="18"/>
    </row>
    <row r="696">
      <c r="C696" s="18"/>
      <c r="D696" s="18"/>
      <c r="E696" s="18"/>
    </row>
    <row r="697">
      <c r="C697" s="18"/>
      <c r="D697" s="18"/>
      <c r="E697" s="18"/>
    </row>
    <row r="698">
      <c r="C698" s="18"/>
      <c r="D698" s="18"/>
      <c r="E698" s="18"/>
    </row>
    <row r="699">
      <c r="C699" s="18"/>
      <c r="D699" s="18"/>
      <c r="E699" s="18"/>
    </row>
    <row r="700">
      <c r="C700" s="18"/>
      <c r="D700" s="18"/>
      <c r="E700" s="18"/>
    </row>
    <row r="701">
      <c r="C701" s="18"/>
      <c r="D701" s="18"/>
      <c r="E701" s="18"/>
    </row>
    <row r="702">
      <c r="C702" s="18"/>
      <c r="D702" s="18"/>
      <c r="E702" s="18"/>
    </row>
    <row r="703">
      <c r="C703" s="18"/>
      <c r="D703" s="18"/>
      <c r="E703" s="18"/>
    </row>
    <row r="704">
      <c r="C704" s="18"/>
      <c r="D704" s="18"/>
      <c r="E704" s="18"/>
    </row>
    <row r="705">
      <c r="C705" s="18"/>
      <c r="D705" s="18"/>
      <c r="E705" s="18"/>
    </row>
    <row r="706">
      <c r="C706" s="18"/>
      <c r="D706" s="18"/>
      <c r="E706" s="18"/>
    </row>
    <row r="707">
      <c r="C707" s="18"/>
      <c r="D707" s="18"/>
      <c r="E707" s="18"/>
    </row>
    <row r="708">
      <c r="C708" s="18"/>
      <c r="D708" s="18"/>
      <c r="E708" s="18"/>
    </row>
    <row r="709">
      <c r="C709" s="18"/>
      <c r="D709" s="18"/>
      <c r="E709" s="18"/>
    </row>
    <row r="710">
      <c r="C710" s="18"/>
      <c r="D710" s="18"/>
      <c r="E710" s="18"/>
    </row>
    <row r="711">
      <c r="C711" s="18"/>
      <c r="D711" s="18"/>
      <c r="E711" s="18"/>
    </row>
    <row r="712">
      <c r="C712" s="18"/>
      <c r="D712" s="18"/>
      <c r="E712" s="18"/>
    </row>
    <row r="713">
      <c r="C713" s="18"/>
      <c r="D713" s="18"/>
      <c r="E713" s="18"/>
    </row>
    <row r="714">
      <c r="C714" s="18"/>
      <c r="D714" s="18"/>
      <c r="E714" s="18"/>
    </row>
    <row r="715">
      <c r="C715" s="18"/>
      <c r="D715" s="18"/>
      <c r="E715" s="18"/>
    </row>
    <row r="716">
      <c r="C716" s="18"/>
      <c r="D716" s="18"/>
      <c r="E716" s="18"/>
    </row>
    <row r="717">
      <c r="C717" s="18"/>
      <c r="D717" s="18"/>
      <c r="E717" s="18"/>
    </row>
    <row r="718">
      <c r="C718" s="18"/>
      <c r="D718" s="18"/>
      <c r="E718" s="18"/>
    </row>
    <row r="719">
      <c r="C719" s="18"/>
      <c r="D719" s="18"/>
      <c r="E719" s="18"/>
    </row>
    <row r="720">
      <c r="C720" s="18"/>
      <c r="D720" s="18"/>
      <c r="E720" s="18"/>
    </row>
    <row r="721">
      <c r="C721" s="18"/>
      <c r="D721" s="18"/>
      <c r="E721" s="18"/>
    </row>
    <row r="722">
      <c r="C722" s="18"/>
      <c r="D722" s="18"/>
      <c r="E722" s="18"/>
    </row>
    <row r="723">
      <c r="C723" s="18"/>
      <c r="D723" s="18"/>
      <c r="E723" s="18"/>
    </row>
    <row r="724">
      <c r="C724" s="18"/>
      <c r="D724" s="18"/>
      <c r="E724" s="18"/>
    </row>
    <row r="725">
      <c r="C725" s="18"/>
      <c r="D725" s="18"/>
      <c r="E725" s="18"/>
    </row>
    <row r="726">
      <c r="C726" s="18"/>
      <c r="D726" s="18"/>
      <c r="E726" s="18"/>
    </row>
    <row r="727">
      <c r="C727" s="18"/>
      <c r="D727" s="18"/>
      <c r="E727" s="18"/>
    </row>
    <row r="728">
      <c r="C728" s="18"/>
      <c r="D728" s="18"/>
      <c r="E728" s="18"/>
    </row>
    <row r="729">
      <c r="C729" s="18"/>
      <c r="D729" s="18"/>
      <c r="E729" s="18"/>
    </row>
    <row r="730">
      <c r="C730" s="18"/>
      <c r="D730" s="18"/>
      <c r="E730" s="18"/>
    </row>
    <row r="731">
      <c r="C731" s="18"/>
      <c r="D731" s="18"/>
      <c r="E731" s="18"/>
    </row>
    <row r="732">
      <c r="C732" s="18"/>
      <c r="D732" s="18"/>
      <c r="E732" s="18"/>
    </row>
    <row r="733">
      <c r="C733" s="18"/>
      <c r="D733" s="18"/>
      <c r="E733" s="18"/>
    </row>
    <row r="734">
      <c r="C734" s="18"/>
      <c r="D734" s="18"/>
      <c r="E734" s="18"/>
    </row>
    <row r="735">
      <c r="C735" s="18"/>
      <c r="D735" s="18"/>
      <c r="E735" s="18"/>
    </row>
    <row r="736">
      <c r="C736" s="18"/>
      <c r="D736" s="18"/>
      <c r="E736" s="18"/>
    </row>
    <row r="737">
      <c r="C737" s="18"/>
      <c r="D737" s="18"/>
      <c r="E737" s="18"/>
    </row>
    <row r="738">
      <c r="C738" s="18"/>
      <c r="D738" s="18"/>
      <c r="E738" s="18"/>
    </row>
    <row r="739">
      <c r="C739" s="18"/>
      <c r="D739" s="18"/>
      <c r="E739" s="18"/>
    </row>
    <row r="740">
      <c r="C740" s="18"/>
      <c r="D740" s="18"/>
      <c r="E740" s="18"/>
    </row>
    <row r="741">
      <c r="C741" s="18"/>
      <c r="D741" s="18"/>
      <c r="E741" s="18"/>
    </row>
    <row r="742">
      <c r="C742" s="18"/>
      <c r="D742" s="18"/>
      <c r="E742" s="18"/>
    </row>
    <row r="743">
      <c r="C743" s="18"/>
      <c r="D743" s="18"/>
      <c r="E743" s="18"/>
    </row>
    <row r="744">
      <c r="C744" s="18"/>
      <c r="D744" s="18"/>
      <c r="E744" s="18"/>
    </row>
    <row r="745">
      <c r="C745" s="18"/>
      <c r="D745" s="18"/>
      <c r="E745" s="18"/>
    </row>
    <row r="746">
      <c r="C746" s="18"/>
      <c r="D746" s="18"/>
      <c r="E746" s="18"/>
    </row>
    <row r="747">
      <c r="C747" s="18"/>
      <c r="D747" s="18"/>
      <c r="E747" s="18"/>
    </row>
    <row r="748">
      <c r="C748" s="18"/>
      <c r="D748" s="18"/>
      <c r="E748" s="18"/>
    </row>
    <row r="749">
      <c r="C749" s="18"/>
      <c r="D749" s="18"/>
      <c r="E749" s="18"/>
    </row>
    <row r="750">
      <c r="C750" s="18"/>
      <c r="D750" s="18"/>
      <c r="E750" s="18"/>
    </row>
    <row r="751">
      <c r="C751" s="18"/>
      <c r="D751" s="18"/>
      <c r="E751" s="18"/>
    </row>
    <row r="752">
      <c r="C752" s="18"/>
      <c r="D752" s="18"/>
      <c r="E752" s="18"/>
    </row>
    <row r="753">
      <c r="C753" s="18"/>
      <c r="D753" s="18"/>
      <c r="E753" s="18"/>
    </row>
    <row r="754">
      <c r="C754" s="18"/>
      <c r="D754" s="18"/>
      <c r="E754" s="18"/>
    </row>
    <row r="755">
      <c r="C755" s="18"/>
      <c r="D755" s="18"/>
      <c r="E755" s="18"/>
    </row>
    <row r="756">
      <c r="C756" s="18"/>
      <c r="D756" s="18"/>
      <c r="E756" s="18"/>
    </row>
    <row r="757">
      <c r="C757" s="18"/>
      <c r="D757" s="18"/>
      <c r="E757" s="18"/>
    </row>
    <row r="758">
      <c r="C758" s="18"/>
      <c r="D758" s="18"/>
      <c r="E758" s="18"/>
    </row>
    <row r="759">
      <c r="C759" s="18"/>
      <c r="D759" s="18"/>
      <c r="E759" s="18"/>
    </row>
    <row r="760">
      <c r="C760" s="18"/>
      <c r="D760" s="18"/>
      <c r="E760" s="18"/>
    </row>
    <row r="761">
      <c r="C761" s="18"/>
      <c r="D761" s="18"/>
      <c r="E761" s="18"/>
    </row>
    <row r="762">
      <c r="C762" s="18"/>
      <c r="D762" s="18"/>
      <c r="E762" s="18"/>
    </row>
    <row r="763">
      <c r="C763" s="18"/>
      <c r="D763" s="18"/>
      <c r="E763" s="18"/>
    </row>
    <row r="764">
      <c r="C764" s="18"/>
      <c r="D764" s="18"/>
      <c r="E764" s="18"/>
    </row>
    <row r="765">
      <c r="C765" s="18"/>
      <c r="D765" s="18"/>
      <c r="E765" s="18"/>
    </row>
    <row r="766">
      <c r="C766" s="18"/>
      <c r="D766" s="18"/>
      <c r="E766" s="18"/>
    </row>
    <row r="767">
      <c r="C767" s="18"/>
      <c r="D767" s="18"/>
      <c r="E767" s="18"/>
    </row>
    <row r="768">
      <c r="C768" s="18"/>
      <c r="D768" s="18"/>
      <c r="E768" s="18"/>
    </row>
    <row r="769">
      <c r="C769" s="18"/>
      <c r="D769" s="18"/>
      <c r="E769" s="18"/>
    </row>
    <row r="770">
      <c r="C770" s="18"/>
      <c r="D770" s="18"/>
      <c r="E770" s="18"/>
    </row>
    <row r="771">
      <c r="C771" s="18"/>
      <c r="D771" s="18"/>
      <c r="E771" s="18"/>
    </row>
    <row r="772">
      <c r="C772" s="18"/>
      <c r="D772" s="18"/>
      <c r="E772" s="18"/>
    </row>
    <row r="773">
      <c r="C773" s="18"/>
      <c r="D773" s="18"/>
      <c r="E773" s="18"/>
    </row>
    <row r="774">
      <c r="C774" s="18"/>
      <c r="D774" s="18"/>
      <c r="E774" s="18"/>
    </row>
    <row r="775">
      <c r="C775" s="18"/>
      <c r="D775" s="18"/>
      <c r="E775" s="18"/>
    </row>
    <row r="776">
      <c r="C776" s="18"/>
      <c r="D776" s="18"/>
      <c r="E776" s="18"/>
    </row>
    <row r="777">
      <c r="C777" s="18"/>
      <c r="D777" s="18"/>
      <c r="E777" s="18"/>
    </row>
    <row r="778">
      <c r="C778" s="18"/>
      <c r="D778" s="18"/>
      <c r="E778" s="18"/>
    </row>
    <row r="779">
      <c r="C779" s="18"/>
      <c r="D779" s="18"/>
      <c r="E779" s="18"/>
    </row>
    <row r="780">
      <c r="C780" s="18"/>
      <c r="D780" s="18"/>
      <c r="E780" s="18"/>
    </row>
    <row r="781">
      <c r="C781" s="18"/>
      <c r="D781" s="18"/>
      <c r="E781" s="18"/>
    </row>
    <row r="782">
      <c r="C782" s="18"/>
      <c r="D782" s="18"/>
      <c r="E782" s="18"/>
    </row>
    <row r="783">
      <c r="C783" s="18"/>
      <c r="D783" s="18"/>
      <c r="E783" s="18"/>
    </row>
    <row r="784">
      <c r="C784" s="18"/>
      <c r="D784" s="18"/>
      <c r="E784" s="18"/>
    </row>
    <row r="785">
      <c r="C785" s="18"/>
      <c r="D785" s="18"/>
      <c r="E785" s="18"/>
    </row>
    <row r="786">
      <c r="C786" s="18"/>
      <c r="D786" s="18"/>
      <c r="E786" s="18"/>
    </row>
    <row r="787">
      <c r="C787" s="18"/>
      <c r="D787" s="18"/>
      <c r="E787" s="18"/>
    </row>
    <row r="788">
      <c r="C788" s="18"/>
      <c r="D788" s="18"/>
      <c r="E788" s="18"/>
    </row>
    <row r="789">
      <c r="C789" s="18"/>
      <c r="D789" s="18"/>
      <c r="E789" s="18"/>
    </row>
    <row r="790">
      <c r="C790" s="18"/>
      <c r="D790" s="18"/>
      <c r="E790" s="18"/>
    </row>
    <row r="791">
      <c r="C791" s="18"/>
      <c r="D791" s="18"/>
      <c r="E791" s="18"/>
    </row>
    <row r="792">
      <c r="C792" s="18"/>
      <c r="D792" s="18"/>
      <c r="E792" s="18"/>
    </row>
    <row r="793">
      <c r="C793" s="18"/>
      <c r="D793" s="18"/>
      <c r="E793" s="18"/>
    </row>
    <row r="794">
      <c r="C794" s="18"/>
      <c r="D794" s="18"/>
      <c r="E794" s="18"/>
    </row>
    <row r="795">
      <c r="C795" s="18"/>
      <c r="D795" s="18"/>
      <c r="E795" s="18"/>
    </row>
    <row r="796">
      <c r="C796" s="18"/>
      <c r="D796" s="18"/>
      <c r="E796" s="18"/>
    </row>
    <row r="797">
      <c r="C797" s="18"/>
      <c r="D797" s="18"/>
      <c r="E797" s="18"/>
    </row>
    <row r="798">
      <c r="C798" s="18"/>
      <c r="D798" s="18"/>
      <c r="E798" s="18"/>
    </row>
    <row r="799">
      <c r="C799" s="18"/>
      <c r="D799" s="18"/>
      <c r="E799" s="18"/>
    </row>
    <row r="800">
      <c r="C800" s="18"/>
      <c r="D800" s="18"/>
      <c r="E800" s="18"/>
    </row>
    <row r="801">
      <c r="C801" s="18"/>
      <c r="D801" s="18"/>
      <c r="E801" s="18"/>
    </row>
    <row r="802">
      <c r="C802" s="18"/>
      <c r="D802" s="18"/>
      <c r="E802" s="18"/>
    </row>
    <row r="803">
      <c r="C803" s="18"/>
      <c r="D803" s="18"/>
      <c r="E803" s="18"/>
    </row>
    <row r="804">
      <c r="C804" s="18"/>
      <c r="D804" s="18"/>
      <c r="E804" s="18"/>
    </row>
    <row r="805">
      <c r="C805" s="18"/>
      <c r="D805" s="18"/>
      <c r="E805" s="18"/>
    </row>
    <row r="806">
      <c r="C806" s="18"/>
      <c r="D806" s="18"/>
      <c r="E806" s="18"/>
    </row>
    <row r="807">
      <c r="C807" s="18"/>
      <c r="D807" s="18"/>
      <c r="E807" s="18"/>
    </row>
    <row r="808">
      <c r="C808" s="18"/>
      <c r="D808" s="18"/>
      <c r="E808" s="18"/>
    </row>
    <row r="809">
      <c r="C809" s="18"/>
      <c r="D809" s="18"/>
      <c r="E809" s="18"/>
    </row>
    <row r="810">
      <c r="C810" s="18"/>
      <c r="D810" s="18"/>
      <c r="E810" s="18"/>
    </row>
    <row r="811">
      <c r="C811" s="18"/>
      <c r="D811" s="18"/>
      <c r="E811" s="18"/>
    </row>
    <row r="812">
      <c r="C812" s="18"/>
      <c r="D812" s="18"/>
      <c r="E812" s="18"/>
    </row>
    <row r="813">
      <c r="C813" s="18"/>
      <c r="D813" s="18"/>
      <c r="E813" s="18"/>
    </row>
    <row r="814">
      <c r="C814" s="18"/>
      <c r="D814" s="18"/>
      <c r="E814" s="18"/>
    </row>
    <row r="815">
      <c r="C815" s="18"/>
      <c r="D815" s="18"/>
      <c r="E815" s="18"/>
    </row>
    <row r="816">
      <c r="C816" s="18"/>
      <c r="D816" s="18"/>
      <c r="E816" s="18"/>
    </row>
    <row r="817">
      <c r="C817" s="18"/>
      <c r="D817" s="18"/>
      <c r="E817" s="18"/>
    </row>
    <row r="818">
      <c r="C818" s="18"/>
      <c r="D818" s="18"/>
      <c r="E818" s="18"/>
    </row>
    <row r="819">
      <c r="C819" s="18"/>
      <c r="D819" s="18"/>
      <c r="E819" s="18"/>
    </row>
    <row r="820">
      <c r="C820" s="18"/>
      <c r="D820" s="18"/>
      <c r="E820" s="18"/>
    </row>
    <row r="821">
      <c r="C821" s="18"/>
      <c r="D821" s="18"/>
      <c r="E821" s="18"/>
    </row>
    <row r="822">
      <c r="C822" s="18"/>
      <c r="D822" s="18"/>
      <c r="E822" s="18"/>
    </row>
    <row r="823">
      <c r="C823" s="18"/>
      <c r="D823" s="18"/>
      <c r="E823" s="18"/>
    </row>
    <row r="824">
      <c r="C824" s="18"/>
      <c r="D824" s="18"/>
      <c r="E824" s="18"/>
    </row>
    <row r="825">
      <c r="C825" s="18"/>
      <c r="D825" s="18"/>
      <c r="E825" s="18"/>
    </row>
    <row r="826">
      <c r="C826" s="18"/>
      <c r="D826" s="18"/>
      <c r="E826" s="18"/>
    </row>
    <row r="827">
      <c r="C827" s="18"/>
      <c r="D827" s="18"/>
      <c r="E827" s="18"/>
    </row>
    <row r="828">
      <c r="C828" s="18"/>
      <c r="D828" s="18"/>
      <c r="E828" s="18"/>
    </row>
    <row r="829">
      <c r="C829" s="18"/>
      <c r="D829" s="18"/>
      <c r="E829" s="18"/>
    </row>
    <row r="830">
      <c r="C830" s="18"/>
      <c r="D830" s="18"/>
      <c r="E830" s="18"/>
    </row>
    <row r="831">
      <c r="C831" s="18"/>
      <c r="D831" s="18"/>
      <c r="E831" s="18"/>
    </row>
    <row r="832">
      <c r="C832" s="18"/>
      <c r="D832" s="18"/>
      <c r="E832" s="18"/>
    </row>
    <row r="833">
      <c r="C833" s="18"/>
      <c r="D833" s="18"/>
      <c r="E833" s="18"/>
    </row>
    <row r="834">
      <c r="C834" s="18"/>
      <c r="D834" s="18"/>
      <c r="E834" s="18"/>
    </row>
    <row r="835">
      <c r="C835" s="18"/>
      <c r="D835" s="18"/>
      <c r="E835" s="18"/>
    </row>
    <row r="836">
      <c r="C836" s="18"/>
      <c r="D836" s="18"/>
      <c r="E836" s="18"/>
    </row>
    <row r="837">
      <c r="C837" s="18"/>
      <c r="D837" s="18"/>
      <c r="E837" s="18"/>
    </row>
    <row r="838">
      <c r="C838" s="18"/>
      <c r="D838" s="18"/>
      <c r="E838" s="18"/>
    </row>
    <row r="839">
      <c r="C839" s="18"/>
      <c r="D839" s="18"/>
      <c r="E839" s="18"/>
    </row>
    <row r="840">
      <c r="C840" s="18"/>
      <c r="D840" s="18"/>
      <c r="E840" s="18"/>
    </row>
    <row r="841">
      <c r="C841" s="18"/>
      <c r="D841" s="18"/>
      <c r="E841" s="18"/>
    </row>
    <row r="842">
      <c r="C842" s="18"/>
      <c r="D842" s="18"/>
      <c r="E842" s="18"/>
    </row>
    <row r="843">
      <c r="C843" s="18"/>
      <c r="D843" s="18"/>
      <c r="E843" s="18"/>
    </row>
    <row r="844">
      <c r="C844" s="18"/>
      <c r="D844" s="18"/>
      <c r="E844" s="18"/>
    </row>
    <row r="845">
      <c r="C845" s="18"/>
      <c r="D845" s="18"/>
      <c r="E845" s="18"/>
    </row>
    <row r="846">
      <c r="C846" s="18"/>
      <c r="D846" s="18"/>
      <c r="E846" s="18"/>
    </row>
    <row r="847">
      <c r="C847" s="18"/>
      <c r="D847" s="18"/>
      <c r="E847" s="18"/>
    </row>
    <row r="848">
      <c r="C848" s="18"/>
      <c r="D848" s="18"/>
      <c r="E848" s="18"/>
    </row>
    <row r="849">
      <c r="C849" s="18"/>
      <c r="D849" s="18"/>
      <c r="E849" s="18"/>
    </row>
    <row r="850">
      <c r="C850" s="18"/>
      <c r="D850" s="18"/>
      <c r="E850" s="18"/>
    </row>
    <row r="851">
      <c r="C851" s="18"/>
      <c r="D851" s="18"/>
      <c r="E851" s="18"/>
    </row>
    <row r="852">
      <c r="C852" s="18"/>
      <c r="D852" s="18"/>
      <c r="E852" s="18"/>
    </row>
    <row r="853">
      <c r="C853" s="18"/>
      <c r="D853" s="18"/>
      <c r="E853" s="18"/>
    </row>
    <row r="854">
      <c r="C854" s="18"/>
      <c r="D854" s="18"/>
      <c r="E854" s="18"/>
    </row>
    <row r="855">
      <c r="C855" s="18"/>
      <c r="D855" s="18"/>
      <c r="E855" s="18"/>
    </row>
    <row r="856">
      <c r="C856" s="18"/>
      <c r="D856" s="18"/>
      <c r="E856" s="18"/>
    </row>
    <row r="857">
      <c r="C857" s="18"/>
      <c r="D857" s="18"/>
      <c r="E857" s="18"/>
    </row>
    <row r="858">
      <c r="C858" s="18"/>
      <c r="D858" s="18"/>
      <c r="E858" s="18"/>
    </row>
    <row r="859">
      <c r="C859" s="18"/>
      <c r="D859" s="18"/>
      <c r="E859" s="18"/>
    </row>
    <row r="860">
      <c r="C860" s="18"/>
      <c r="D860" s="18"/>
      <c r="E860" s="18"/>
    </row>
    <row r="861">
      <c r="C861" s="18"/>
      <c r="D861" s="18"/>
      <c r="E861" s="18"/>
    </row>
    <row r="862">
      <c r="C862" s="18"/>
      <c r="D862" s="18"/>
      <c r="E862" s="18"/>
    </row>
    <row r="863">
      <c r="C863" s="18"/>
      <c r="D863" s="18"/>
      <c r="E863" s="18"/>
    </row>
    <row r="864">
      <c r="C864" s="18"/>
      <c r="D864" s="18"/>
      <c r="E864" s="18"/>
    </row>
    <row r="865">
      <c r="C865" s="18"/>
      <c r="D865" s="18"/>
      <c r="E865" s="18"/>
    </row>
    <row r="866">
      <c r="C866" s="18"/>
      <c r="D866" s="18"/>
      <c r="E866" s="18"/>
    </row>
    <row r="867">
      <c r="C867" s="18"/>
      <c r="D867" s="18"/>
      <c r="E867" s="18"/>
    </row>
    <row r="868">
      <c r="C868" s="18"/>
      <c r="D868" s="18"/>
      <c r="E868" s="18"/>
    </row>
    <row r="869">
      <c r="C869" s="18"/>
      <c r="D869" s="18"/>
      <c r="E869" s="18"/>
    </row>
    <row r="870">
      <c r="C870" s="18"/>
      <c r="D870" s="18"/>
      <c r="E870" s="18"/>
    </row>
    <row r="871">
      <c r="C871" s="18"/>
      <c r="D871" s="18"/>
      <c r="E871" s="18"/>
    </row>
    <row r="872">
      <c r="C872" s="18"/>
      <c r="D872" s="18"/>
      <c r="E872" s="18"/>
    </row>
    <row r="873">
      <c r="C873" s="18"/>
      <c r="D873" s="18"/>
      <c r="E873" s="18"/>
    </row>
    <row r="874">
      <c r="C874" s="18"/>
      <c r="D874" s="18"/>
      <c r="E874" s="18"/>
    </row>
    <row r="875">
      <c r="C875" s="18"/>
      <c r="D875" s="18"/>
      <c r="E875" s="18"/>
    </row>
    <row r="876">
      <c r="C876" s="18"/>
      <c r="D876" s="18"/>
      <c r="E876" s="18"/>
    </row>
    <row r="877">
      <c r="C877" s="18"/>
      <c r="D877" s="18"/>
      <c r="E877" s="18"/>
    </row>
    <row r="878">
      <c r="C878" s="18"/>
      <c r="D878" s="18"/>
      <c r="E878" s="18"/>
    </row>
    <row r="879">
      <c r="C879" s="18"/>
      <c r="D879" s="18"/>
      <c r="E879" s="18"/>
    </row>
    <row r="880">
      <c r="C880" s="18"/>
      <c r="D880" s="18"/>
      <c r="E880" s="18"/>
    </row>
    <row r="881">
      <c r="C881" s="18"/>
      <c r="D881" s="18"/>
      <c r="E881" s="18"/>
    </row>
    <row r="882">
      <c r="C882" s="18"/>
      <c r="D882" s="18"/>
      <c r="E882" s="18"/>
    </row>
    <row r="883">
      <c r="C883" s="18"/>
      <c r="D883" s="18"/>
      <c r="E883" s="18"/>
    </row>
    <row r="884">
      <c r="C884" s="18"/>
      <c r="D884" s="18"/>
      <c r="E884" s="18"/>
    </row>
    <row r="885">
      <c r="C885" s="18"/>
      <c r="D885" s="18"/>
      <c r="E885" s="18"/>
    </row>
    <row r="886">
      <c r="C886" s="18"/>
      <c r="D886" s="18"/>
      <c r="E886" s="18"/>
    </row>
    <row r="887">
      <c r="C887" s="18"/>
      <c r="D887" s="18"/>
      <c r="E887" s="18"/>
    </row>
    <row r="888">
      <c r="C888" s="18"/>
      <c r="D888" s="18"/>
      <c r="E888" s="18"/>
    </row>
    <row r="889">
      <c r="C889" s="18"/>
      <c r="D889" s="18"/>
      <c r="E889" s="18"/>
    </row>
    <row r="890">
      <c r="C890" s="18"/>
      <c r="D890" s="18"/>
      <c r="E890" s="18"/>
    </row>
    <row r="891">
      <c r="C891" s="18"/>
      <c r="D891" s="18"/>
      <c r="E891" s="18"/>
    </row>
    <row r="892">
      <c r="C892" s="18"/>
      <c r="D892" s="18"/>
      <c r="E892" s="18"/>
    </row>
    <row r="893">
      <c r="C893" s="18"/>
      <c r="D893" s="18"/>
      <c r="E893" s="18"/>
    </row>
    <row r="894">
      <c r="C894" s="18"/>
      <c r="D894" s="18"/>
      <c r="E894" s="18"/>
    </row>
    <row r="895">
      <c r="C895" s="18"/>
      <c r="D895" s="18"/>
      <c r="E895" s="18"/>
    </row>
    <row r="896">
      <c r="C896" s="18"/>
      <c r="D896" s="18"/>
      <c r="E896" s="18"/>
    </row>
    <row r="897">
      <c r="C897" s="18"/>
      <c r="D897" s="18"/>
      <c r="E897" s="18"/>
    </row>
    <row r="898">
      <c r="C898" s="18"/>
      <c r="D898" s="18"/>
      <c r="E898" s="18"/>
    </row>
    <row r="899">
      <c r="C899" s="18"/>
      <c r="D899" s="18"/>
      <c r="E899" s="18"/>
    </row>
    <row r="900">
      <c r="C900" s="18"/>
      <c r="D900" s="18"/>
      <c r="E900" s="18"/>
    </row>
    <row r="901">
      <c r="C901" s="18"/>
      <c r="D901" s="18"/>
      <c r="E901" s="18"/>
    </row>
    <row r="902">
      <c r="C902" s="18"/>
      <c r="D902" s="18"/>
      <c r="E902" s="18"/>
    </row>
    <row r="903">
      <c r="C903" s="18"/>
      <c r="D903" s="18"/>
      <c r="E903" s="18"/>
    </row>
    <row r="904">
      <c r="C904" s="18"/>
      <c r="D904" s="18"/>
      <c r="E904" s="18"/>
    </row>
    <row r="905">
      <c r="C905" s="18"/>
      <c r="D905" s="18"/>
      <c r="E905" s="18"/>
    </row>
    <row r="906">
      <c r="C906" s="18"/>
      <c r="D906" s="18"/>
      <c r="E906" s="18"/>
    </row>
    <row r="907">
      <c r="C907" s="18"/>
      <c r="D907" s="18"/>
      <c r="E907" s="18"/>
    </row>
    <row r="908">
      <c r="C908" s="18"/>
      <c r="D908" s="18"/>
      <c r="E908" s="18"/>
    </row>
    <row r="909">
      <c r="C909" s="18"/>
      <c r="D909" s="18"/>
      <c r="E909" s="18"/>
    </row>
    <row r="910">
      <c r="C910" s="18"/>
      <c r="D910" s="18"/>
      <c r="E910" s="18"/>
    </row>
    <row r="911">
      <c r="C911" s="18"/>
      <c r="D911" s="18"/>
      <c r="E911" s="18"/>
    </row>
    <row r="912">
      <c r="C912" s="18"/>
      <c r="D912" s="18"/>
      <c r="E912" s="18"/>
    </row>
    <row r="913">
      <c r="C913" s="18"/>
      <c r="D913" s="18"/>
      <c r="E913" s="18"/>
    </row>
    <row r="914">
      <c r="C914" s="18"/>
      <c r="D914" s="18"/>
      <c r="E914" s="18"/>
    </row>
    <row r="915">
      <c r="C915" s="18"/>
      <c r="D915" s="18"/>
      <c r="E915" s="18"/>
    </row>
    <row r="916">
      <c r="C916" s="18"/>
      <c r="D916" s="18"/>
      <c r="E916" s="18"/>
    </row>
    <row r="917">
      <c r="C917" s="18"/>
      <c r="D917" s="18"/>
      <c r="E917" s="18"/>
    </row>
    <row r="918">
      <c r="C918" s="18"/>
      <c r="D918" s="18"/>
      <c r="E918" s="18"/>
    </row>
    <row r="919">
      <c r="C919" s="18"/>
      <c r="D919" s="18"/>
      <c r="E919" s="18"/>
    </row>
    <row r="920">
      <c r="C920" s="18"/>
      <c r="D920" s="18"/>
      <c r="E920" s="18"/>
    </row>
    <row r="921">
      <c r="C921" s="18"/>
      <c r="D921" s="18"/>
      <c r="E921" s="18"/>
    </row>
    <row r="922">
      <c r="C922" s="18"/>
      <c r="D922" s="18"/>
      <c r="E922" s="18"/>
    </row>
    <row r="923">
      <c r="C923" s="18"/>
      <c r="D923" s="18"/>
      <c r="E923" s="18"/>
    </row>
    <row r="924">
      <c r="C924" s="18"/>
      <c r="D924" s="18"/>
      <c r="E924" s="18"/>
    </row>
    <row r="925">
      <c r="C925" s="18"/>
      <c r="D925" s="18"/>
      <c r="E925" s="18"/>
    </row>
    <row r="926">
      <c r="C926" s="18"/>
      <c r="D926" s="18"/>
      <c r="E926" s="18"/>
    </row>
    <row r="927">
      <c r="C927" s="18"/>
      <c r="D927" s="18"/>
      <c r="E927" s="18"/>
    </row>
    <row r="928">
      <c r="C928" s="18"/>
      <c r="D928" s="18"/>
      <c r="E928" s="18"/>
    </row>
    <row r="929">
      <c r="C929" s="18"/>
      <c r="D929" s="18"/>
      <c r="E929" s="18"/>
    </row>
    <row r="930">
      <c r="C930" s="18"/>
      <c r="D930" s="18"/>
      <c r="E930" s="18"/>
    </row>
    <row r="931">
      <c r="C931" s="18"/>
      <c r="D931" s="18"/>
      <c r="E931" s="18"/>
    </row>
    <row r="932">
      <c r="C932" s="18"/>
      <c r="D932" s="18"/>
      <c r="E932" s="18"/>
    </row>
    <row r="933">
      <c r="C933" s="18"/>
      <c r="D933" s="18"/>
      <c r="E933" s="18"/>
    </row>
    <row r="934">
      <c r="C934" s="18"/>
      <c r="D934" s="18"/>
      <c r="E934" s="18"/>
    </row>
    <row r="935">
      <c r="C935" s="18"/>
      <c r="D935" s="18"/>
      <c r="E935" s="18"/>
    </row>
    <row r="936">
      <c r="C936" s="18"/>
      <c r="D936" s="18"/>
      <c r="E936" s="18"/>
    </row>
    <row r="937">
      <c r="C937" s="18"/>
      <c r="D937" s="18"/>
      <c r="E937" s="18"/>
    </row>
    <row r="938">
      <c r="C938" s="18"/>
      <c r="D938" s="18"/>
      <c r="E938" s="18"/>
    </row>
    <row r="939">
      <c r="C939" s="18"/>
      <c r="D939" s="18"/>
      <c r="E939" s="18"/>
    </row>
    <row r="940">
      <c r="C940" s="18"/>
      <c r="D940" s="18"/>
      <c r="E940" s="18"/>
    </row>
    <row r="941">
      <c r="C941" s="18"/>
      <c r="D941" s="18"/>
      <c r="E941" s="18"/>
    </row>
    <row r="942">
      <c r="C942" s="18"/>
      <c r="D942" s="18"/>
      <c r="E942" s="18"/>
    </row>
    <row r="943">
      <c r="C943" s="18"/>
      <c r="D943" s="18"/>
      <c r="E943" s="18"/>
    </row>
    <row r="944">
      <c r="C944" s="18"/>
      <c r="D944" s="18"/>
      <c r="E944" s="18"/>
    </row>
    <row r="945">
      <c r="C945" s="18"/>
      <c r="D945" s="18"/>
      <c r="E945" s="18"/>
    </row>
    <row r="946">
      <c r="C946" s="18"/>
      <c r="D946" s="18"/>
      <c r="E946" s="18"/>
    </row>
    <row r="947">
      <c r="C947" s="18"/>
      <c r="D947" s="18"/>
      <c r="E947" s="18"/>
    </row>
    <row r="948">
      <c r="C948" s="18"/>
      <c r="D948" s="18"/>
      <c r="E948" s="18"/>
    </row>
    <row r="949">
      <c r="C949" s="18"/>
      <c r="D949" s="18"/>
      <c r="E949" s="18"/>
    </row>
    <row r="950">
      <c r="C950" s="18"/>
      <c r="D950" s="18"/>
      <c r="E950" s="18"/>
    </row>
    <row r="951">
      <c r="C951" s="18"/>
      <c r="D951" s="18"/>
      <c r="E951" s="18"/>
    </row>
    <row r="952">
      <c r="C952" s="18"/>
      <c r="D952" s="18"/>
      <c r="E952" s="18"/>
    </row>
    <row r="953">
      <c r="C953" s="18"/>
      <c r="D953" s="18"/>
      <c r="E953" s="18"/>
    </row>
    <row r="954">
      <c r="C954" s="18"/>
      <c r="D954" s="18"/>
      <c r="E954" s="18"/>
    </row>
    <row r="955">
      <c r="C955" s="18"/>
      <c r="D955" s="18"/>
      <c r="E955" s="18"/>
    </row>
    <row r="956">
      <c r="C956" s="18"/>
      <c r="D956" s="18"/>
      <c r="E956" s="18"/>
    </row>
    <row r="957">
      <c r="C957" s="18"/>
      <c r="D957" s="18"/>
      <c r="E957" s="18"/>
    </row>
    <row r="958">
      <c r="C958" s="18"/>
      <c r="D958" s="18"/>
      <c r="E958" s="18"/>
    </row>
    <row r="959">
      <c r="C959" s="18"/>
      <c r="D959" s="18"/>
      <c r="E959" s="18"/>
    </row>
    <row r="960">
      <c r="C960" s="18"/>
      <c r="D960" s="18"/>
      <c r="E960" s="18"/>
    </row>
    <row r="961">
      <c r="C961" s="18"/>
      <c r="D961" s="18"/>
      <c r="E961" s="18"/>
    </row>
    <row r="962">
      <c r="C962" s="18"/>
      <c r="D962" s="18"/>
      <c r="E962" s="18"/>
    </row>
    <row r="963">
      <c r="C963" s="18"/>
      <c r="D963" s="18"/>
      <c r="E963" s="18"/>
    </row>
    <row r="964">
      <c r="C964" s="18"/>
      <c r="D964" s="18"/>
      <c r="E964" s="18"/>
    </row>
    <row r="965">
      <c r="C965" s="18"/>
      <c r="D965" s="18"/>
      <c r="E965" s="18"/>
    </row>
    <row r="966">
      <c r="C966" s="18"/>
      <c r="D966" s="18"/>
      <c r="E966" s="18"/>
    </row>
    <row r="967">
      <c r="C967" s="18"/>
      <c r="D967" s="18"/>
      <c r="E967" s="18"/>
    </row>
    <row r="968">
      <c r="C968" s="18"/>
      <c r="D968" s="18"/>
      <c r="E968" s="18"/>
    </row>
    <row r="969">
      <c r="C969" s="18"/>
      <c r="D969" s="18"/>
      <c r="E969" s="18"/>
    </row>
    <row r="970">
      <c r="C970" s="18"/>
      <c r="D970" s="18"/>
      <c r="E970" s="18"/>
    </row>
    <row r="971">
      <c r="C971" s="18"/>
      <c r="D971" s="18"/>
      <c r="E971" s="18"/>
    </row>
    <row r="972">
      <c r="C972" s="18"/>
      <c r="D972" s="18"/>
      <c r="E972" s="18"/>
    </row>
    <row r="973">
      <c r="C973" s="18"/>
      <c r="D973" s="18"/>
      <c r="E973" s="18"/>
    </row>
    <row r="974">
      <c r="C974" s="18"/>
      <c r="D974" s="18"/>
      <c r="E974" s="18"/>
    </row>
    <row r="975">
      <c r="C975" s="18"/>
      <c r="D975" s="18"/>
      <c r="E975" s="18"/>
    </row>
    <row r="976">
      <c r="C976" s="18"/>
      <c r="D976" s="18"/>
      <c r="E976" s="18"/>
    </row>
    <row r="977">
      <c r="C977" s="18"/>
      <c r="D977" s="18"/>
      <c r="E977" s="18"/>
    </row>
    <row r="978">
      <c r="C978" s="18"/>
      <c r="D978" s="18"/>
      <c r="E978" s="18"/>
    </row>
    <row r="979">
      <c r="C979" s="18"/>
      <c r="D979" s="18"/>
      <c r="E979" s="18"/>
    </row>
    <row r="980">
      <c r="C980" s="18"/>
      <c r="D980" s="18"/>
      <c r="E980" s="18"/>
    </row>
    <row r="981">
      <c r="C981" s="18"/>
      <c r="D981" s="18"/>
      <c r="E981" s="18"/>
    </row>
    <row r="982">
      <c r="C982" s="18"/>
      <c r="D982" s="18"/>
      <c r="E982" s="18"/>
    </row>
    <row r="983">
      <c r="C983" s="18"/>
      <c r="D983" s="18"/>
      <c r="E983" s="18"/>
    </row>
    <row r="984">
      <c r="C984" s="18"/>
      <c r="D984" s="18"/>
      <c r="E984" s="18"/>
    </row>
    <row r="985">
      <c r="C985" s="18"/>
      <c r="D985" s="18"/>
      <c r="E985" s="18"/>
    </row>
    <row r="986">
      <c r="C986" s="18"/>
      <c r="D986" s="18"/>
      <c r="E986" s="18"/>
    </row>
    <row r="987">
      <c r="C987" s="18"/>
      <c r="D987" s="18"/>
      <c r="E987" s="18"/>
    </row>
    <row r="988">
      <c r="C988" s="18"/>
      <c r="D988" s="18"/>
      <c r="E988" s="18"/>
    </row>
    <row r="989">
      <c r="C989" s="18"/>
      <c r="D989" s="18"/>
      <c r="E989" s="18"/>
    </row>
    <row r="990">
      <c r="C990" s="18"/>
      <c r="D990" s="18"/>
      <c r="E990" s="18"/>
    </row>
    <row r="991">
      <c r="C991" s="18"/>
      <c r="D991" s="18"/>
      <c r="E991" s="18"/>
    </row>
    <row r="992">
      <c r="C992" s="18"/>
      <c r="D992" s="18"/>
      <c r="E992" s="18"/>
    </row>
    <row r="993">
      <c r="C993" s="18"/>
      <c r="D993" s="18"/>
      <c r="E993" s="18"/>
    </row>
    <row r="994">
      <c r="C994" s="18"/>
      <c r="D994" s="18"/>
      <c r="E994" s="18"/>
    </row>
    <row r="995">
      <c r="C995" s="18"/>
      <c r="D995" s="18"/>
      <c r="E995" s="18"/>
    </row>
    <row r="996">
      <c r="C996" s="18"/>
      <c r="D996" s="18"/>
      <c r="E996" s="18"/>
    </row>
    <row r="997">
      <c r="C997" s="18"/>
      <c r="D997" s="18"/>
      <c r="E997" s="18"/>
    </row>
    <row r="998">
      <c r="C998" s="18"/>
      <c r="D998" s="18"/>
      <c r="E998" s="18"/>
    </row>
    <row r="999">
      <c r="C999" s="18"/>
      <c r="D999" s="18"/>
      <c r="E999" s="18"/>
    </row>
    <row r="1000">
      <c r="C1000" s="18"/>
      <c r="D1000" s="18"/>
      <c r="E1000" s="18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C47" s="18"/>
      <c r="D47" s="18"/>
      <c r="E47" s="18"/>
    </row>
    <row r="48">
      <c r="C48" s="18"/>
      <c r="D48" s="18"/>
      <c r="E48" s="18"/>
    </row>
    <row r="49">
      <c r="C49" s="18"/>
      <c r="D49" s="18"/>
      <c r="E49" s="18"/>
    </row>
    <row r="50">
      <c r="C50" s="18"/>
      <c r="D50" s="18"/>
      <c r="E50" s="18"/>
    </row>
    <row r="51">
      <c r="C51" s="18"/>
      <c r="D51" s="18"/>
      <c r="E51" s="18"/>
    </row>
    <row r="52">
      <c r="C52" s="18"/>
      <c r="D52" s="18"/>
      <c r="E52" s="18"/>
    </row>
    <row r="53">
      <c r="C53" s="18"/>
      <c r="D53" s="18"/>
      <c r="E53" s="18"/>
    </row>
    <row r="54">
      <c r="C54" s="18"/>
      <c r="D54" s="18"/>
      <c r="E54" s="18"/>
    </row>
    <row r="55">
      <c r="C55" s="18"/>
      <c r="D55" s="18"/>
      <c r="E55" s="18"/>
    </row>
    <row r="56">
      <c r="C56" s="18"/>
      <c r="D56" s="18"/>
      <c r="E56" s="18"/>
    </row>
    <row r="57">
      <c r="C57" s="18"/>
      <c r="D57" s="18"/>
      <c r="E57" s="18"/>
    </row>
    <row r="58">
      <c r="C58" s="18"/>
      <c r="D58" s="18"/>
      <c r="E58" s="18"/>
    </row>
    <row r="59">
      <c r="C59" s="18"/>
      <c r="D59" s="18"/>
      <c r="E59" s="18"/>
    </row>
    <row r="60">
      <c r="C60" s="18"/>
      <c r="D60" s="18"/>
      <c r="E60" s="18"/>
    </row>
    <row r="61">
      <c r="C61" s="18"/>
      <c r="D61" s="18"/>
      <c r="E61" s="18"/>
    </row>
    <row r="62">
      <c r="C62" s="18"/>
      <c r="D62" s="18"/>
      <c r="E62" s="18"/>
    </row>
    <row r="63">
      <c r="C63" s="18"/>
      <c r="D63" s="18"/>
      <c r="E63" s="18"/>
    </row>
    <row r="64">
      <c r="C64" s="18"/>
      <c r="D64" s="18"/>
      <c r="E64" s="18"/>
    </row>
    <row r="65">
      <c r="C65" s="18"/>
      <c r="D65" s="18"/>
      <c r="E65" s="18"/>
    </row>
    <row r="66">
      <c r="C66" s="18"/>
      <c r="D66" s="18"/>
      <c r="E66" s="18"/>
    </row>
    <row r="67">
      <c r="C67" s="18"/>
      <c r="D67" s="18"/>
      <c r="E67" s="18"/>
    </row>
    <row r="68">
      <c r="C68" s="18"/>
      <c r="D68" s="18"/>
      <c r="E68" s="18"/>
    </row>
    <row r="69">
      <c r="C69" s="18"/>
      <c r="D69" s="18"/>
      <c r="E69" s="18"/>
    </row>
    <row r="70">
      <c r="C70" s="18"/>
      <c r="D70" s="18"/>
      <c r="E70" s="18"/>
    </row>
    <row r="71">
      <c r="C71" s="18"/>
      <c r="D71" s="18"/>
      <c r="E71" s="18"/>
    </row>
    <row r="72">
      <c r="C72" s="18"/>
      <c r="D72" s="18"/>
      <c r="E72" s="18"/>
    </row>
    <row r="73">
      <c r="C73" s="18"/>
      <c r="D73" s="18"/>
      <c r="E73" s="18"/>
    </row>
    <row r="74">
      <c r="C74" s="18"/>
      <c r="D74" s="18"/>
      <c r="E74" s="18"/>
    </row>
    <row r="75">
      <c r="C75" s="18"/>
      <c r="D75" s="18"/>
      <c r="E75" s="18"/>
    </row>
    <row r="76">
      <c r="C76" s="18"/>
      <c r="D76" s="18"/>
      <c r="E76" s="18"/>
    </row>
    <row r="77">
      <c r="C77" s="18"/>
      <c r="D77" s="18"/>
      <c r="E77" s="18"/>
    </row>
    <row r="78">
      <c r="C78" s="18"/>
      <c r="D78" s="18"/>
      <c r="E78" s="18"/>
    </row>
    <row r="79">
      <c r="C79" s="18"/>
      <c r="D79" s="18"/>
      <c r="E79" s="18"/>
    </row>
    <row r="80">
      <c r="C80" s="18"/>
      <c r="D80" s="18"/>
      <c r="E80" s="18"/>
    </row>
    <row r="81">
      <c r="C81" s="18"/>
      <c r="D81" s="18"/>
      <c r="E81" s="18"/>
    </row>
    <row r="82">
      <c r="C82" s="18"/>
      <c r="D82" s="18"/>
      <c r="E82" s="18"/>
    </row>
    <row r="83">
      <c r="C83" s="18"/>
      <c r="D83" s="18"/>
      <c r="E83" s="18"/>
    </row>
    <row r="84">
      <c r="C84" s="18"/>
      <c r="D84" s="18"/>
      <c r="E84" s="18"/>
    </row>
    <row r="85">
      <c r="C85" s="18"/>
      <c r="D85" s="18"/>
      <c r="E85" s="18"/>
    </row>
    <row r="86">
      <c r="C86" s="18"/>
      <c r="D86" s="18"/>
      <c r="E86" s="18"/>
    </row>
    <row r="87">
      <c r="C87" s="18"/>
      <c r="D87" s="18"/>
      <c r="E87" s="18"/>
    </row>
    <row r="88">
      <c r="C88" s="18"/>
      <c r="D88" s="18"/>
      <c r="E88" s="18"/>
    </row>
    <row r="89">
      <c r="C89" s="18"/>
      <c r="D89" s="18"/>
      <c r="E89" s="18"/>
    </row>
    <row r="90">
      <c r="C90" s="18"/>
      <c r="D90" s="18"/>
      <c r="E90" s="18"/>
    </row>
    <row r="91">
      <c r="C91" s="18"/>
      <c r="D91" s="18"/>
      <c r="E91" s="18"/>
    </row>
    <row r="92">
      <c r="C92" s="18"/>
      <c r="D92" s="18"/>
      <c r="E92" s="18"/>
    </row>
    <row r="93">
      <c r="C93" s="18"/>
      <c r="D93" s="18"/>
      <c r="E93" s="18"/>
    </row>
    <row r="94">
      <c r="C94" s="18"/>
      <c r="D94" s="18"/>
      <c r="E94" s="18"/>
    </row>
    <row r="95">
      <c r="C95" s="18"/>
      <c r="D95" s="18"/>
      <c r="E95" s="18"/>
    </row>
    <row r="96">
      <c r="C96" s="18"/>
      <c r="D96" s="18"/>
      <c r="E96" s="18"/>
    </row>
    <row r="97">
      <c r="C97" s="18"/>
      <c r="D97" s="18"/>
      <c r="E97" s="18"/>
    </row>
    <row r="98">
      <c r="C98" s="18"/>
      <c r="D98" s="18"/>
      <c r="E98" s="18"/>
    </row>
    <row r="99">
      <c r="C99" s="18"/>
      <c r="D99" s="18"/>
      <c r="E99" s="18"/>
    </row>
    <row r="100">
      <c r="C100" s="18"/>
      <c r="D100" s="18"/>
      <c r="E100" s="18"/>
    </row>
    <row r="101">
      <c r="C101" s="18"/>
      <c r="D101" s="18"/>
      <c r="E101" s="18"/>
    </row>
    <row r="102">
      <c r="C102" s="18"/>
      <c r="D102" s="18"/>
      <c r="E102" s="18"/>
    </row>
    <row r="103">
      <c r="C103" s="18"/>
      <c r="D103" s="18"/>
      <c r="E103" s="18"/>
    </row>
    <row r="104">
      <c r="C104" s="18"/>
      <c r="D104" s="18"/>
      <c r="E104" s="18"/>
    </row>
    <row r="105">
      <c r="C105" s="18"/>
      <c r="D105" s="18"/>
      <c r="E105" s="18"/>
    </row>
    <row r="106">
      <c r="C106" s="18"/>
      <c r="D106" s="18"/>
      <c r="E106" s="18"/>
    </row>
    <row r="107">
      <c r="C107" s="18"/>
      <c r="D107" s="18"/>
      <c r="E107" s="18"/>
    </row>
    <row r="108">
      <c r="C108" s="18"/>
      <c r="D108" s="18"/>
      <c r="E108" s="18"/>
    </row>
    <row r="109">
      <c r="C109" s="18"/>
      <c r="D109" s="18"/>
      <c r="E109" s="18"/>
    </row>
    <row r="110">
      <c r="C110" s="18"/>
      <c r="D110" s="18"/>
      <c r="E110" s="18"/>
    </row>
    <row r="111">
      <c r="C111" s="18"/>
      <c r="D111" s="18"/>
      <c r="E111" s="18"/>
    </row>
    <row r="112">
      <c r="C112" s="18"/>
      <c r="D112" s="18"/>
      <c r="E112" s="18"/>
    </row>
    <row r="113">
      <c r="C113" s="18"/>
      <c r="D113" s="18"/>
      <c r="E113" s="18"/>
    </row>
    <row r="114">
      <c r="C114" s="18"/>
      <c r="D114" s="18"/>
      <c r="E114" s="18"/>
    </row>
    <row r="115">
      <c r="C115" s="18"/>
      <c r="D115" s="18"/>
      <c r="E115" s="18"/>
    </row>
    <row r="116">
      <c r="C116" s="18"/>
      <c r="D116" s="18"/>
      <c r="E116" s="18"/>
    </row>
    <row r="117">
      <c r="C117" s="18"/>
      <c r="D117" s="18"/>
      <c r="E117" s="18"/>
    </row>
    <row r="118">
      <c r="C118" s="18"/>
      <c r="D118" s="18"/>
      <c r="E118" s="18"/>
    </row>
    <row r="119">
      <c r="C119" s="18"/>
      <c r="D119" s="18"/>
      <c r="E119" s="18"/>
    </row>
    <row r="120">
      <c r="C120" s="18"/>
      <c r="D120" s="18"/>
      <c r="E120" s="18"/>
    </row>
    <row r="121">
      <c r="C121" s="18"/>
      <c r="D121" s="18"/>
      <c r="E121" s="18"/>
    </row>
    <row r="122">
      <c r="C122" s="18"/>
      <c r="D122" s="18"/>
      <c r="E122" s="18"/>
    </row>
    <row r="123">
      <c r="C123" s="18"/>
      <c r="D123" s="18"/>
      <c r="E123" s="18"/>
    </row>
    <row r="124">
      <c r="C124" s="18"/>
      <c r="D124" s="18"/>
      <c r="E124" s="18"/>
    </row>
    <row r="125">
      <c r="C125" s="18"/>
      <c r="D125" s="18"/>
      <c r="E125" s="18"/>
    </row>
    <row r="126">
      <c r="C126" s="18"/>
      <c r="D126" s="18"/>
      <c r="E126" s="18"/>
    </row>
    <row r="127">
      <c r="C127" s="18"/>
      <c r="D127" s="18"/>
      <c r="E127" s="18"/>
    </row>
    <row r="128">
      <c r="C128" s="18"/>
      <c r="D128" s="18"/>
      <c r="E128" s="18"/>
    </row>
    <row r="129">
      <c r="C129" s="18"/>
      <c r="D129" s="18"/>
      <c r="E129" s="18"/>
    </row>
    <row r="130">
      <c r="C130" s="18"/>
      <c r="D130" s="18"/>
      <c r="E130" s="18"/>
    </row>
    <row r="131">
      <c r="C131" s="18"/>
      <c r="D131" s="18"/>
      <c r="E131" s="18"/>
    </row>
    <row r="132">
      <c r="C132" s="18"/>
      <c r="D132" s="18"/>
      <c r="E132" s="18"/>
    </row>
    <row r="133">
      <c r="C133" s="18"/>
      <c r="D133" s="18"/>
      <c r="E133" s="18"/>
    </row>
    <row r="134">
      <c r="C134" s="18"/>
      <c r="D134" s="18"/>
      <c r="E134" s="18"/>
    </row>
    <row r="135">
      <c r="C135" s="18"/>
      <c r="D135" s="18"/>
      <c r="E135" s="18"/>
    </row>
    <row r="136">
      <c r="C136" s="18"/>
      <c r="D136" s="18"/>
      <c r="E136" s="18"/>
    </row>
    <row r="137">
      <c r="C137" s="18"/>
      <c r="D137" s="18"/>
      <c r="E137" s="18"/>
    </row>
    <row r="138">
      <c r="C138" s="18"/>
      <c r="D138" s="18"/>
      <c r="E138" s="18"/>
    </row>
    <row r="139">
      <c r="C139" s="18"/>
      <c r="D139" s="18"/>
      <c r="E139" s="18"/>
    </row>
    <row r="140">
      <c r="C140" s="18"/>
      <c r="D140" s="18"/>
      <c r="E140" s="18"/>
    </row>
    <row r="141">
      <c r="C141" s="18"/>
      <c r="D141" s="18"/>
      <c r="E141" s="18"/>
    </row>
    <row r="142">
      <c r="C142" s="18"/>
      <c r="D142" s="18"/>
      <c r="E142" s="18"/>
    </row>
    <row r="143">
      <c r="C143" s="18"/>
      <c r="D143" s="18"/>
      <c r="E143" s="18"/>
    </row>
    <row r="144">
      <c r="C144" s="18"/>
      <c r="D144" s="18"/>
      <c r="E144" s="18"/>
    </row>
    <row r="145">
      <c r="C145" s="18"/>
      <c r="D145" s="18"/>
      <c r="E145" s="18"/>
    </row>
    <row r="146">
      <c r="C146" s="18"/>
      <c r="D146" s="18"/>
      <c r="E146" s="18"/>
    </row>
    <row r="147">
      <c r="C147" s="18"/>
      <c r="D147" s="18"/>
      <c r="E147" s="18"/>
    </row>
    <row r="148">
      <c r="C148" s="18"/>
      <c r="D148" s="18"/>
      <c r="E148" s="18"/>
    </row>
    <row r="149">
      <c r="C149" s="18"/>
      <c r="D149" s="18"/>
      <c r="E149" s="18"/>
    </row>
    <row r="150">
      <c r="C150" s="18"/>
      <c r="D150" s="18"/>
      <c r="E150" s="18"/>
    </row>
    <row r="151">
      <c r="C151" s="18"/>
      <c r="D151" s="18"/>
      <c r="E151" s="18"/>
    </row>
    <row r="152">
      <c r="C152" s="18"/>
      <c r="D152" s="18"/>
      <c r="E152" s="18"/>
    </row>
    <row r="153">
      <c r="C153" s="18"/>
      <c r="D153" s="18"/>
      <c r="E153" s="18"/>
    </row>
    <row r="154">
      <c r="C154" s="18"/>
      <c r="D154" s="18"/>
      <c r="E154" s="18"/>
    </row>
    <row r="155">
      <c r="C155" s="18"/>
      <c r="D155" s="18"/>
      <c r="E155" s="18"/>
    </row>
    <row r="156">
      <c r="C156" s="18"/>
      <c r="D156" s="18"/>
      <c r="E156" s="18"/>
    </row>
    <row r="157">
      <c r="C157" s="18"/>
      <c r="D157" s="18"/>
      <c r="E157" s="18"/>
    </row>
    <row r="158">
      <c r="C158" s="18"/>
      <c r="D158" s="18"/>
      <c r="E158" s="18"/>
    </row>
    <row r="159">
      <c r="C159" s="18"/>
      <c r="D159" s="18"/>
      <c r="E159" s="18"/>
    </row>
    <row r="160">
      <c r="C160" s="18"/>
      <c r="D160" s="18"/>
      <c r="E160" s="18"/>
    </row>
    <row r="161">
      <c r="C161" s="18"/>
      <c r="D161" s="18"/>
      <c r="E161" s="18"/>
    </row>
    <row r="162">
      <c r="C162" s="18"/>
      <c r="D162" s="18"/>
      <c r="E162" s="18"/>
    </row>
    <row r="163">
      <c r="C163" s="18"/>
      <c r="D163" s="18"/>
      <c r="E163" s="18"/>
    </row>
    <row r="164">
      <c r="C164" s="18"/>
      <c r="D164" s="18"/>
      <c r="E164" s="18"/>
    </row>
    <row r="165">
      <c r="C165" s="18"/>
      <c r="D165" s="18"/>
      <c r="E165" s="18"/>
    </row>
    <row r="166">
      <c r="C166" s="18"/>
      <c r="D166" s="18"/>
      <c r="E166" s="18"/>
    </row>
    <row r="167">
      <c r="C167" s="18"/>
      <c r="D167" s="18"/>
      <c r="E167" s="18"/>
    </row>
    <row r="168">
      <c r="C168" s="18"/>
      <c r="D168" s="18"/>
      <c r="E168" s="18"/>
    </row>
    <row r="169">
      <c r="C169" s="18"/>
      <c r="D169" s="18"/>
      <c r="E169" s="18"/>
    </row>
    <row r="170">
      <c r="C170" s="18"/>
      <c r="D170" s="18"/>
      <c r="E170" s="18"/>
    </row>
    <row r="171">
      <c r="C171" s="18"/>
      <c r="D171" s="18"/>
      <c r="E171" s="18"/>
    </row>
    <row r="172">
      <c r="C172" s="18"/>
      <c r="D172" s="18"/>
      <c r="E172" s="18"/>
    </row>
    <row r="173">
      <c r="C173" s="18"/>
      <c r="D173" s="18"/>
      <c r="E173" s="18"/>
    </row>
    <row r="174">
      <c r="C174" s="18"/>
      <c r="D174" s="18"/>
      <c r="E174" s="18"/>
    </row>
    <row r="175">
      <c r="C175" s="18"/>
      <c r="D175" s="18"/>
      <c r="E175" s="18"/>
    </row>
    <row r="176">
      <c r="C176" s="18"/>
      <c r="D176" s="18"/>
      <c r="E176" s="18"/>
    </row>
    <row r="177">
      <c r="C177" s="18"/>
      <c r="D177" s="18"/>
      <c r="E177" s="18"/>
    </row>
    <row r="178">
      <c r="C178" s="18"/>
      <c r="D178" s="18"/>
      <c r="E178" s="18"/>
    </row>
    <row r="179">
      <c r="C179" s="18"/>
      <c r="D179" s="18"/>
      <c r="E179" s="18"/>
    </row>
    <row r="180">
      <c r="C180" s="18"/>
      <c r="D180" s="18"/>
      <c r="E180" s="18"/>
    </row>
    <row r="181">
      <c r="C181" s="18"/>
      <c r="D181" s="18"/>
      <c r="E181" s="18"/>
    </row>
    <row r="182">
      <c r="C182" s="18"/>
      <c r="D182" s="18"/>
      <c r="E182" s="18"/>
    </row>
    <row r="183">
      <c r="C183" s="18"/>
      <c r="D183" s="18"/>
      <c r="E183" s="18"/>
    </row>
    <row r="184">
      <c r="C184" s="18"/>
      <c r="D184" s="18"/>
      <c r="E184" s="18"/>
    </row>
    <row r="185">
      <c r="C185" s="18"/>
      <c r="D185" s="18"/>
      <c r="E185" s="18"/>
    </row>
    <row r="186">
      <c r="C186" s="18"/>
      <c r="D186" s="18"/>
      <c r="E186" s="18"/>
    </row>
    <row r="187">
      <c r="C187" s="18"/>
      <c r="D187" s="18"/>
      <c r="E187" s="18"/>
    </row>
    <row r="188">
      <c r="C188" s="18"/>
      <c r="D188" s="18"/>
      <c r="E188" s="18"/>
    </row>
    <row r="189">
      <c r="C189" s="18"/>
      <c r="D189" s="18"/>
      <c r="E189" s="18"/>
    </row>
    <row r="190">
      <c r="C190" s="18"/>
      <c r="D190" s="18"/>
      <c r="E190" s="18"/>
    </row>
    <row r="191">
      <c r="C191" s="18"/>
      <c r="D191" s="18"/>
      <c r="E191" s="18"/>
    </row>
    <row r="192">
      <c r="C192" s="18"/>
      <c r="D192" s="18"/>
      <c r="E192" s="18"/>
    </row>
    <row r="193">
      <c r="C193" s="18"/>
      <c r="D193" s="18"/>
      <c r="E193" s="18"/>
    </row>
    <row r="194">
      <c r="C194" s="18"/>
      <c r="D194" s="18"/>
      <c r="E194" s="18"/>
    </row>
    <row r="195">
      <c r="C195" s="18"/>
      <c r="D195" s="18"/>
      <c r="E195" s="18"/>
    </row>
    <row r="196">
      <c r="C196" s="18"/>
      <c r="D196" s="18"/>
      <c r="E196" s="18"/>
    </row>
    <row r="197">
      <c r="C197" s="18"/>
      <c r="D197" s="18"/>
      <c r="E197" s="18"/>
    </row>
    <row r="198">
      <c r="C198" s="18"/>
      <c r="D198" s="18"/>
      <c r="E198" s="18"/>
    </row>
    <row r="199">
      <c r="C199" s="18"/>
      <c r="D199" s="18"/>
      <c r="E199" s="18"/>
    </row>
    <row r="200">
      <c r="C200" s="18"/>
      <c r="D200" s="18"/>
      <c r="E200" s="18"/>
    </row>
    <row r="201">
      <c r="C201" s="18"/>
      <c r="D201" s="18"/>
      <c r="E201" s="18"/>
    </row>
    <row r="202">
      <c r="C202" s="18"/>
      <c r="D202" s="18"/>
      <c r="E202" s="18"/>
    </row>
    <row r="203">
      <c r="C203" s="18"/>
      <c r="D203" s="18"/>
      <c r="E203" s="18"/>
    </row>
    <row r="204">
      <c r="C204" s="18"/>
      <c r="D204" s="18"/>
      <c r="E204" s="18"/>
    </row>
    <row r="205">
      <c r="C205" s="18"/>
      <c r="D205" s="18"/>
      <c r="E205" s="18"/>
    </row>
    <row r="206">
      <c r="C206" s="18"/>
      <c r="D206" s="18"/>
      <c r="E206" s="18"/>
    </row>
    <row r="207">
      <c r="C207" s="18"/>
      <c r="D207" s="18"/>
      <c r="E207" s="18"/>
    </row>
    <row r="208">
      <c r="C208" s="18"/>
      <c r="D208" s="18"/>
      <c r="E208" s="18"/>
    </row>
    <row r="209">
      <c r="C209" s="18"/>
      <c r="D209" s="18"/>
      <c r="E209" s="18"/>
    </row>
    <row r="210">
      <c r="C210" s="18"/>
      <c r="D210" s="18"/>
      <c r="E210" s="18"/>
    </row>
    <row r="211">
      <c r="C211" s="18"/>
      <c r="D211" s="18"/>
      <c r="E211" s="18"/>
    </row>
    <row r="212">
      <c r="C212" s="18"/>
      <c r="D212" s="18"/>
      <c r="E212" s="18"/>
    </row>
    <row r="213">
      <c r="C213" s="18"/>
      <c r="D213" s="18"/>
      <c r="E213" s="18"/>
    </row>
    <row r="214">
      <c r="C214" s="18"/>
      <c r="D214" s="18"/>
      <c r="E214" s="18"/>
    </row>
    <row r="215">
      <c r="C215" s="18"/>
      <c r="D215" s="18"/>
      <c r="E215" s="18"/>
    </row>
    <row r="216">
      <c r="C216" s="18"/>
      <c r="D216" s="18"/>
      <c r="E216" s="18"/>
    </row>
    <row r="217">
      <c r="C217" s="18"/>
      <c r="D217" s="18"/>
      <c r="E217" s="18"/>
    </row>
    <row r="218">
      <c r="C218" s="18"/>
      <c r="D218" s="18"/>
      <c r="E218" s="18"/>
    </row>
    <row r="219">
      <c r="C219" s="18"/>
      <c r="D219" s="18"/>
      <c r="E219" s="18"/>
    </row>
    <row r="220">
      <c r="C220" s="18"/>
      <c r="D220" s="18"/>
      <c r="E220" s="18"/>
    </row>
    <row r="221">
      <c r="C221" s="18"/>
      <c r="D221" s="18"/>
      <c r="E221" s="18"/>
    </row>
    <row r="222">
      <c r="C222" s="18"/>
      <c r="D222" s="18"/>
      <c r="E222" s="18"/>
    </row>
    <row r="223">
      <c r="C223" s="18"/>
      <c r="D223" s="18"/>
      <c r="E223" s="18"/>
    </row>
    <row r="224">
      <c r="C224" s="18"/>
      <c r="D224" s="18"/>
      <c r="E224" s="18"/>
    </row>
    <row r="225">
      <c r="C225" s="18"/>
      <c r="D225" s="18"/>
      <c r="E225" s="18"/>
    </row>
    <row r="226">
      <c r="C226" s="18"/>
      <c r="D226" s="18"/>
      <c r="E226" s="18"/>
    </row>
    <row r="227">
      <c r="C227" s="18"/>
      <c r="D227" s="18"/>
      <c r="E227" s="18"/>
    </row>
    <row r="228">
      <c r="C228" s="18"/>
      <c r="D228" s="18"/>
      <c r="E228" s="18"/>
    </row>
    <row r="229">
      <c r="C229" s="18"/>
      <c r="D229" s="18"/>
      <c r="E229" s="18"/>
    </row>
    <row r="230">
      <c r="C230" s="18"/>
      <c r="D230" s="18"/>
      <c r="E230" s="18"/>
    </row>
    <row r="231">
      <c r="C231" s="18"/>
      <c r="D231" s="18"/>
      <c r="E231" s="18"/>
    </row>
    <row r="232">
      <c r="C232" s="18"/>
      <c r="D232" s="18"/>
      <c r="E232" s="18"/>
    </row>
    <row r="233">
      <c r="C233" s="18"/>
      <c r="D233" s="18"/>
      <c r="E233" s="18"/>
    </row>
    <row r="234">
      <c r="C234" s="18"/>
      <c r="D234" s="18"/>
      <c r="E234" s="18"/>
    </row>
    <row r="235">
      <c r="C235" s="18"/>
      <c r="D235" s="18"/>
      <c r="E235" s="18"/>
    </row>
    <row r="236">
      <c r="C236" s="18"/>
      <c r="D236" s="18"/>
      <c r="E236" s="18"/>
    </row>
    <row r="237">
      <c r="C237" s="18"/>
      <c r="D237" s="18"/>
      <c r="E237" s="18"/>
    </row>
    <row r="238">
      <c r="C238" s="18"/>
      <c r="D238" s="18"/>
      <c r="E238" s="18"/>
    </row>
    <row r="239">
      <c r="C239" s="18"/>
      <c r="D239" s="18"/>
      <c r="E239" s="18"/>
    </row>
    <row r="240">
      <c r="C240" s="18"/>
      <c r="D240" s="18"/>
      <c r="E240" s="18"/>
    </row>
    <row r="241">
      <c r="C241" s="18"/>
      <c r="D241" s="18"/>
      <c r="E241" s="18"/>
    </row>
    <row r="242">
      <c r="C242" s="18"/>
      <c r="D242" s="18"/>
      <c r="E242" s="18"/>
    </row>
    <row r="243">
      <c r="C243" s="18"/>
      <c r="D243" s="18"/>
      <c r="E243" s="18"/>
    </row>
    <row r="244">
      <c r="C244" s="18"/>
      <c r="D244" s="18"/>
      <c r="E244" s="18"/>
    </row>
    <row r="245">
      <c r="C245" s="18"/>
      <c r="D245" s="18"/>
      <c r="E245" s="18"/>
    </row>
    <row r="246">
      <c r="C246" s="18"/>
      <c r="D246" s="18"/>
      <c r="E246" s="18"/>
    </row>
    <row r="247">
      <c r="C247" s="18"/>
      <c r="D247" s="18"/>
      <c r="E247" s="18"/>
    </row>
    <row r="248">
      <c r="C248" s="18"/>
      <c r="D248" s="18"/>
      <c r="E248" s="18"/>
    </row>
    <row r="249">
      <c r="C249" s="18"/>
      <c r="D249" s="18"/>
      <c r="E249" s="18"/>
    </row>
    <row r="250">
      <c r="C250" s="18"/>
      <c r="D250" s="18"/>
      <c r="E250" s="18"/>
    </row>
    <row r="251">
      <c r="C251" s="18"/>
      <c r="D251" s="18"/>
      <c r="E251" s="18"/>
    </row>
    <row r="252">
      <c r="C252" s="18"/>
      <c r="D252" s="18"/>
      <c r="E252" s="18"/>
    </row>
    <row r="253">
      <c r="C253" s="18"/>
      <c r="D253" s="18"/>
      <c r="E253" s="18"/>
    </row>
    <row r="254">
      <c r="C254" s="18"/>
      <c r="D254" s="18"/>
      <c r="E254" s="18"/>
    </row>
    <row r="255">
      <c r="C255" s="18"/>
      <c r="D255" s="18"/>
      <c r="E255" s="18"/>
    </row>
    <row r="256">
      <c r="C256" s="18"/>
      <c r="D256" s="18"/>
      <c r="E256" s="18"/>
    </row>
    <row r="257">
      <c r="C257" s="18"/>
      <c r="D257" s="18"/>
      <c r="E257" s="18"/>
    </row>
    <row r="258">
      <c r="C258" s="18"/>
      <c r="D258" s="18"/>
      <c r="E258" s="18"/>
    </row>
    <row r="259">
      <c r="C259" s="18"/>
      <c r="D259" s="18"/>
      <c r="E259" s="18"/>
    </row>
    <row r="260">
      <c r="C260" s="18"/>
      <c r="D260" s="18"/>
      <c r="E260" s="18"/>
    </row>
    <row r="261">
      <c r="C261" s="18"/>
      <c r="D261" s="18"/>
      <c r="E261" s="18"/>
    </row>
    <row r="262">
      <c r="C262" s="18"/>
      <c r="D262" s="18"/>
      <c r="E262" s="18"/>
    </row>
    <row r="263">
      <c r="C263" s="18"/>
      <c r="D263" s="18"/>
      <c r="E263" s="18"/>
    </row>
    <row r="264">
      <c r="C264" s="18"/>
      <c r="D264" s="18"/>
      <c r="E264" s="18"/>
    </row>
    <row r="265">
      <c r="C265" s="18"/>
      <c r="D265" s="18"/>
      <c r="E265" s="18"/>
    </row>
    <row r="266">
      <c r="C266" s="18"/>
      <c r="D266" s="18"/>
      <c r="E266" s="18"/>
    </row>
    <row r="267">
      <c r="C267" s="18"/>
      <c r="D267" s="18"/>
      <c r="E267" s="18"/>
    </row>
    <row r="268">
      <c r="C268" s="18"/>
      <c r="D268" s="18"/>
      <c r="E268" s="18"/>
    </row>
    <row r="269">
      <c r="C269" s="18"/>
      <c r="D269" s="18"/>
      <c r="E269" s="18"/>
    </row>
    <row r="270">
      <c r="C270" s="18"/>
      <c r="D270" s="18"/>
      <c r="E270" s="18"/>
    </row>
    <row r="271">
      <c r="C271" s="18"/>
      <c r="D271" s="18"/>
      <c r="E271" s="18"/>
    </row>
    <row r="272">
      <c r="C272" s="18"/>
      <c r="D272" s="18"/>
      <c r="E272" s="18"/>
    </row>
    <row r="273">
      <c r="C273" s="18"/>
      <c r="D273" s="18"/>
      <c r="E273" s="18"/>
    </row>
    <row r="274">
      <c r="C274" s="18"/>
      <c r="D274" s="18"/>
      <c r="E274" s="18"/>
    </row>
    <row r="275">
      <c r="C275" s="18"/>
      <c r="D275" s="18"/>
      <c r="E275" s="18"/>
    </row>
    <row r="276">
      <c r="C276" s="18"/>
      <c r="D276" s="18"/>
      <c r="E276" s="18"/>
    </row>
    <row r="277">
      <c r="C277" s="18"/>
      <c r="D277" s="18"/>
      <c r="E277" s="18"/>
    </row>
    <row r="278">
      <c r="C278" s="18"/>
      <c r="D278" s="18"/>
      <c r="E278" s="18"/>
    </row>
    <row r="279">
      <c r="C279" s="18"/>
      <c r="D279" s="18"/>
      <c r="E279" s="18"/>
    </row>
    <row r="280">
      <c r="C280" s="18"/>
      <c r="D280" s="18"/>
      <c r="E280" s="18"/>
    </row>
    <row r="281">
      <c r="C281" s="18"/>
      <c r="D281" s="18"/>
      <c r="E281" s="18"/>
    </row>
    <row r="282">
      <c r="C282" s="18"/>
      <c r="D282" s="18"/>
      <c r="E282" s="18"/>
    </row>
    <row r="283">
      <c r="C283" s="18"/>
      <c r="D283" s="18"/>
      <c r="E283" s="18"/>
    </row>
    <row r="284">
      <c r="C284" s="18"/>
      <c r="D284" s="18"/>
      <c r="E284" s="18"/>
    </row>
    <row r="285">
      <c r="C285" s="18"/>
      <c r="D285" s="18"/>
      <c r="E285" s="18"/>
    </row>
    <row r="286">
      <c r="C286" s="18"/>
      <c r="D286" s="18"/>
      <c r="E286" s="18"/>
    </row>
    <row r="287">
      <c r="C287" s="18"/>
      <c r="D287" s="18"/>
      <c r="E287" s="18"/>
    </row>
    <row r="288">
      <c r="C288" s="18"/>
      <c r="D288" s="18"/>
      <c r="E288" s="18"/>
    </row>
    <row r="289">
      <c r="C289" s="18"/>
      <c r="D289" s="18"/>
      <c r="E289" s="18"/>
    </row>
    <row r="290">
      <c r="C290" s="18"/>
      <c r="D290" s="18"/>
      <c r="E290" s="18"/>
    </row>
    <row r="291">
      <c r="C291" s="18"/>
      <c r="D291" s="18"/>
      <c r="E291" s="18"/>
    </row>
    <row r="292">
      <c r="C292" s="18"/>
      <c r="D292" s="18"/>
      <c r="E292" s="18"/>
    </row>
    <row r="293">
      <c r="C293" s="18"/>
      <c r="D293" s="18"/>
      <c r="E293" s="18"/>
    </row>
    <row r="294">
      <c r="C294" s="18"/>
      <c r="D294" s="18"/>
      <c r="E294" s="18"/>
    </row>
    <row r="295">
      <c r="C295" s="18"/>
      <c r="D295" s="18"/>
      <c r="E295" s="18"/>
    </row>
    <row r="296">
      <c r="C296" s="18"/>
      <c r="D296" s="18"/>
      <c r="E296" s="18"/>
    </row>
    <row r="297">
      <c r="C297" s="18"/>
      <c r="D297" s="18"/>
      <c r="E297" s="18"/>
    </row>
    <row r="298">
      <c r="C298" s="18"/>
      <c r="D298" s="18"/>
      <c r="E298" s="18"/>
    </row>
    <row r="299">
      <c r="C299" s="18"/>
      <c r="D299" s="18"/>
      <c r="E299" s="18"/>
    </row>
    <row r="300">
      <c r="C300" s="18"/>
      <c r="D300" s="18"/>
      <c r="E300" s="18"/>
    </row>
    <row r="301">
      <c r="C301" s="18"/>
      <c r="D301" s="18"/>
      <c r="E301" s="18"/>
    </row>
    <row r="302">
      <c r="C302" s="18"/>
      <c r="D302" s="18"/>
      <c r="E302" s="18"/>
    </row>
    <row r="303">
      <c r="C303" s="18"/>
      <c r="D303" s="18"/>
      <c r="E303" s="18"/>
    </row>
    <row r="304">
      <c r="C304" s="18"/>
      <c r="D304" s="18"/>
      <c r="E304" s="18"/>
    </row>
    <row r="305">
      <c r="C305" s="18"/>
      <c r="D305" s="18"/>
      <c r="E305" s="18"/>
    </row>
    <row r="306">
      <c r="C306" s="18"/>
      <c r="D306" s="18"/>
      <c r="E306" s="18"/>
    </row>
    <row r="307">
      <c r="C307" s="18"/>
      <c r="D307" s="18"/>
      <c r="E307" s="18"/>
    </row>
    <row r="308">
      <c r="C308" s="18"/>
      <c r="D308" s="18"/>
      <c r="E308" s="18"/>
    </row>
    <row r="309">
      <c r="C309" s="18"/>
      <c r="D309" s="18"/>
      <c r="E309" s="18"/>
    </row>
    <row r="310">
      <c r="C310" s="18"/>
      <c r="D310" s="18"/>
      <c r="E310" s="18"/>
    </row>
    <row r="311">
      <c r="C311" s="18"/>
      <c r="D311" s="18"/>
      <c r="E311" s="18"/>
    </row>
    <row r="312">
      <c r="C312" s="18"/>
      <c r="D312" s="18"/>
      <c r="E312" s="18"/>
    </row>
    <row r="313">
      <c r="C313" s="18"/>
      <c r="D313" s="18"/>
      <c r="E313" s="18"/>
    </row>
    <row r="314">
      <c r="C314" s="18"/>
      <c r="D314" s="18"/>
      <c r="E314" s="18"/>
    </row>
    <row r="315">
      <c r="C315" s="18"/>
      <c r="D315" s="18"/>
      <c r="E315" s="18"/>
    </row>
    <row r="316">
      <c r="C316" s="18"/>
      <c r="D316" s="18"/>
      <c r="E316" s="18"/>
    </row>
    <row r="317">
      <c r="C317" s="18"/>
      <c r="D317" s="18"/>
      <c r="E317" s="18"/>
    </row>
    <row r="318">
      <c r="C318" s="18"/>
      <c r="D318" s="18"/>
      <c r="E318" s="18"/>
    </row>
    <row r="319">
      <c r="C319" s="18"/>
      <c r="D319" s="18"/>
      <c r="E319" s="18"/>
    </row>
    <row r="320">
      <c r="C320" s="18"/>
      <c r="D320" s="18"/>
      <c r="E320" s="18"/>
    </row>
    <row r="321">
      <c r="C321" s="18"/>
      <c r="D321" s="18"/>
      <c r="E321" s="18"/>
    </row>
    <row r="322">
      <c r="C322" s="18"/>
      <c r="D322" s="18"/>
      <c r="E322" s="18"/>
    </row>
    <row r="323">
      <c r="C323" s="18"/>
      <c r="D323" s="18"/>
      <c r="E323" s="18"/>
    </row>
    <row r="324">
      <c r="C324" s="18"/>
      <c r="D324" s="18"/>
      <c r="E324" s="18"/>
    </row>
    <row r="325">
      <c r="C325" s="18"/>
      <c r="D325" s="18"/>
      <c r="E325" s="18"/>
    </row>
    <row r="326">
      <c r="C326" s="18"/>
      <c r="D326" s="18"/>
      <c r="E326" s="18"/>
    </row>
    <row r="327">
      <c r="C327" s="18"/>
      <c r="D327" s="18"/>
      <c r="E327" s="18"/>
    </row>
    <row r="328">
      <c r="C328" s="18"/>
      <c r="D328" s="18"/>
      <c r="E328" s="18"/>
    </row>
    <row r="329">
      <c r="C329" s="18"/>
      <c r="D329" s="18"/>
      <c r="E329" s="18"/>
    </row>
    <row r="330">
      <c r="C330" s="18"/>
      <c r="D330" s="18"/>
      <c r="E330" s="18"/>
    </row>
    <row r="331">
      <c r="C331" s="18"/>
      <c r="D331" s="18"/>
      <c r="E331" s="18"/>
    </row>
    <row r="332">
      <c r="C332" s="18"/>
      <c r="D332" s="18"/>
      <c r="E332" s="18"/>
    </row>
    <row r="333">
      <c r="C333" s="18"/>
      <c r="D333" s="18"/>
      <c r="E333" s="18"/>
    </row>
    <row r="334">
      <c r="C334" s="18"/>
      <c r="D334" s="18"/>
      <c r="E334" s="18"/>
    </row>
    <row r="335">
      <c r="C335" s="18"/>
      <c r="D335" s="18"/>
      <c r="E335" s="18"/>
    </row>
    <row r="336">
      <c r="C336" s="18"/>
      <c r="D336" s="18"/>
      <c r="E336" s="18"/>
    </row>
    <row r="337">
      <c r="C337" s="18"/>
      <c r="D337" s="18"/>
      <c r="E337" s="18"/>
    </row>
    <row r="338">
      <c r="C338" s="18"/>
      <c r="D338" s="18"/>
      <c r="E338" s="18"/>
    </row>
    <row r="339">
      <c r="C339" s="18"/>
      <c r="D339" s="18"/>
      <c r="E339" s="18"/>
    </row>
    <row r="340">
      <c r="C340" s="18"/>
      <c r="D340" s="18"/>
      <c r="E340" s="18"/>
    </row>
    <row r="341">
      <c r="C341" s="18"/>
      <c r="D341" s="18"/>
      <c r="E341" s="18"/>
    </row>
    <row r="342">
      <c r="C342" s="18"/>
      <c r="D342" s="18"/>
      <c r="E342" s="18"/>
    </row>
    <row r="343">
      <c r="C343" s="18"/>
      <c r="D343" s="18"/>
      <c r="E343" s="18"/>
    </row>
    <row r="344">
      <c r="C344" s="18"/>
      <c r="D344" s="18"/>
      <c r="E344" s="18"/>
    </row>
    <row r="345">
      <c r="C345" s="18"/>
      <c r="D345" s="18"/>
      <c r="E345" s="18"/>
    </row>
    <row r="346">
      <c r="C346" s="18"/>
      <c r="D346" s="18"/>
      <c r="E346" s="18"/>
    </row>
    <row r="347">
      <c r="C347" s="18"/>
      <c r="D347" s="18"/>
      <c r="E347" s="18"/>
    </row>
    <row r="348">
      <c r="C348" s="18"/>
      <c r="D348" s="18"/>
      <c r="E348" s="18"/>
    </row>
    <row r="349">
      <c r="C349" s="18"/>
      <c r="D349" s="18"/>
      <c r="E349" s="18"/>
    </row>
    <row r="350">
      <c r="C350" s="18"/>
      <c r="D350" s="18"/>
      <c r="E350" s="18"/>
    </row>
    <row r="351">
      <c r="C351" s="18"/>
      <c r="D351" s="18"/>
      <c r="E351" s="18"/>
    </row>
    <row r="352">
      <c r="C352" s="18"/>
      <c r="D352" s="18"/>
      <c r="E352" s="18"/>
    </row>
    <row r="353">
      <c r="C353" s="18"/>
      <c r="D353" s="18"/>
      <c r="E353" s="18"/>
    </row>
    <row r="354">
      <c r="C354" s="18"/>
      <c r="D354" s="18"/>
      <c r="E354" s="18"/>
    </row>
    <row r="355">
      <c r="C355" s="18"/>
      <c r="D355" s="18"/>
      <c r="E355" s="18"/>
    </row>
    <row r="356">
      <c r="C356" s="18"/>
      <c r="D356" s="18"/>
      <c r="E356" s="18"/>
    </row>
    <row r="357">
      <c r="C357" s="18"/>
      <c r="D357" s="18"/>
      <c r="E357" s="18"/>
    </row>
    <row r="358">
      <c r="C358" s="18"/>
      <c r="D358" s="18"/>
      <c r="E358" s="18"/>
    </row>
    <row r="359">
      <c r="C359" s="18"/>
      <c r="D359" s="18"/>
      <c r="E359" s="18"/>
    </row>
    <row r="360">
      <c r="C360" s="18"/>
      <c r="D360" s="18"/>
      <c r="E360" s="18"/>
    </row>
    <row r="361">
      <c r="C361" s="18"/>
      <c r="D361" s="18"/>
      <c r="E361" s="18"/>
    </row>
    <row r="362">
      <c r="C362" s="18"/>
      <c r="D362" s="18"/>
      <c r="E362" s="18"/>
    </row>
    <row r="363">
      <c r="C363" s="18"/>
      <c r="D363" s="18"/>
      <c r="E363" s="18"/>
    </row>
    <row r="364">
      <c r="C364" s="18"/>
      <c r="D364" s="18"/>
      <c r="E364" s="18"/>
    </row>
    <row r="365">
      <c r="C365" s="18"/>
      <c r="D365" s="18"/>
      <c r="E365" s="18"/>
    </row>
    <row r="366">
      <c r="C366" s="18"/>
      <c r="D366" s="18"/>
      <c r="E366" s="18"/>
    </row>
    <row r="367">
      <c r="C367" s="18"/>
      <c r="D367" s="18"/>
      <c r="E367" s="18"/>
    </row>
    <row r="368">
      <c r="C368" s="18"/>
      <c r="D368" s="18"/>
      <c r="E368" s="18"/>
    </row>
    <row r="369">
      <c r="C369" s="18"/>
      <c r="D369" s="18"/>
      <c r="E369" s="18"/>
    </row>
    <row r="370">
      <c r="C370" s="18"/>
      <c r="D370" s="18"/>
      <c r="E370" s="18"/>
    </row>
    <row r="371">
      <c r="C371" s="18"/>
      <c r="D371" s="18"/>
      <c r="E371" s="18"/>
    </row>
    <row r="372">
      <c r="C372" s="18"/>
      <c r="D372" s="18"/>
      <c r="E372" s="18"/>
    </row>
    <row r="373">
      <c r="C373" s="18"/>
      <c r="D373" s="18"/>
      <c r="E373" s="18"/>
    </row>
    <row r="374">
      <c r="C374" s="18"/>
      <c r="D374" s="18"/>
      <c r="E374" s="18"/>
    </row>
    <row r="375">
      <c r="C375" s="18"/>
      <c r="D375" s="18"/>
      <c r="E375" s="18"/>
    </row>
    <row r="376">
      <c r="C376" s="18"/>
      <c r="D376" s="18"/>
      <c r="E376" s="18"/>
    </row>
    <row r="377">
      <c r="C377" s="18"/>
      <c r="D377" s="18"/>
      <c r="E377" s="18"/>
    </row>
    <row r="378">
      <c r="C378" s="18"/>
      <c r="D378" s="18"/>
      <c r="E378" s="18"/>
    </row>
    <row r="379">
      <c r="C379" s="18"/>
      <c r="D379" s="18"/>
      <c r="E379" s="18"/>
    </row>
    <row r="380">
      <c r="C380" s="18"/>
      <c r="D380" s="18"/>
      <c r="E380" s="18"/>
    </row>
    <row r="381">
      <c r="C381" s="18"/>
      <c r="D381" s="18"/>
      <c r="E381" s="18"/>
    </row>
    <row r="382">
      <c r="C382" s="18"/>
      <c r="D382" s="18"/>
      <c r="E382" s="18"/>
    </row>
    <row r="383">
      <c r="C383" s="18"/>
      <c r="D383" s="18"/>
      <c r="E383" s="18"/>
    </row>
    <row r="384">
      <c r="C384" s="18"/>
      <c r="D384" s="18"/>
      <c r="E384" s="18"/>
    </row>
    <row r="385">
      <c r="C385" s="18"/>
      <c r="D385" s="18"/>
      <c r="E385" s="18"/>
    </row>
    <row r="386">
      <c r="C386" s="18"/>
      <c r="D386" s="18"/>
      <c r="E386" s="18"/>
    </row>
    <row r="387">
      <c r="C387" s="18"/>
      <c r="D387" s="18"/>
      <c r="E387" s="18"/>
    </row>
    <row r="388">
      <c r="C388" s="18"/>
      <c r="D388" s="18"/>
      <c r="E388" s="18"/>
    </row>
    <row r="389">
      <c r="C389" s="18"/>
      <c r="D389" s="18"/>
      <c r="E389" s="18"/>
    </row>
    <row r="390">
      <c r="C390" s="18"/>
      <c r="D390" s="18"/>
      <c r="E390" s="18"/>
    </row>
    <row r="391">
      <c r="C391" s="18"/>
      <c r="D391" s="18"/>
      <c r="E391" s="18"/>
    </row>
    <row r="392">
      <c r="C392" s="18"/>
      <c r="D392" s="18"/>
      <c r="E392" s="18"/>
    </row>
    <row r="393">
      <c r="C393" s="18"/>
      <c r="D393" s="18"/>
      <c r="E393" s="18"/>
    </row>
    <row r="394">
      <c r="C394" s="18"/>
      <c r="D394" s="18"/>
      <c r="E394" s="18"/>
    </row>
    <row r="395">
      <c r="C395" s="18"/>
      <c r="D395" s="18"/>
      <c r="E395" s="18"/>
    </row>
    <row r="396">
      <c r="C396" s="18"/>
      <c r="D396" s="18"/>
      <c r="E396" s="18"/>
    </row>
    <row r="397">
      <c r="C397" s="18"/>
      <c r="D397" s="18"/>
      <c r="E397" s="18"/>
    </row>
    <row r="398">
      <c r="C398" s="18"/>
      <c r="D398" s="18"/>
      <c r="E398" s="18"/>
    </row>
    <row r="399">
      <c r="C399" s="18"/>
      <c r="D399" s="18"/>
      <c r="E399" s="18"/>
    </row>
    <row r="400">
      <c r="C400" s="18"/>
      <c r="D400" s="18"/>
      <c r="E400" s="18"/>
    </row>
    <row r="401">
      <c r="C401" s="18"/>
      <c r="D401" s="18"/>
      <c r="E401" s="18"/>
    </row>
    <row r="402">
      <c r="C402" s="18"/>
      <c r="D402" s="18"/>
      <c r="E402" s="18"/>
    </row>
    <row r="403">
      <c r="C403" s="18"/>
      <c r="D403" s="18"/>
      <c r="E403" s="18"/>
    </row>
    <row r="404">
      <c r="C404" s="18"/>
      <c r="D404" s="18"/>
      <c r="E404" s="18"/>
    </row>
    <row r="405">
      <c r="C405" s="18"/>
      <c r="D405" s="18"/>
      <c r="E405" s="18"/>
    </row>
    <row r="406">
      <c r="C406" s="18"/>
      <c r="D406" s="18"/>
      <c r="E406" s="18"/>
    </row>
    <row r="407">
      <c r="C407" s="18"/>
      <c r="D407" s="18"/>
      <c r="E407" s="18"/>
    </row>
    <row r="408">
      <c r="C408" s="18"/>
      <c r="D408" s="18"/>
      <c r="E408" s="18"/>
    </row>
    <row r="409">
      <c r="C409" s="18"/>
      <c r="D409" s="18"/>
      <c r="E409" s="18"/>
    </row>
    <row r="410">
      <c r="C410" s="18"/>
      <c r="D410" s="18"/>
      <c r="E410" s="18"/>
    </row>
    <row r="411">
      <c r="C411" s="18"/>
      <c r="D411" s="18"/>
      <c r="E411" s="18"/>
    </row>
    <row r="412">
      <c r="C412" s="18"/>
      <c r="D412" s="18"/>
      <c r="E412" s="18"/>
    </row>
    <row r="413">
      <c r="C413" s="18"/>
      <c r="D413" s="18"/>
      <c r="E413" s="18"/>
    </row>
    <row r="414">
      <c r="C414" s="18"/>
      <c r="D414" s="18"/>
      <c r="E414" s="18"/>
    </row>
    <row r="415">
      <c r="C415" s="18"/>
      <c r="D415" s="18"/>
      <c r="E415" s="18"/>
    </row>
    <row r="416">
      <c r="C416" s="18"/>
      <c r="D416" s="18"/>
      <c r="E416" s="18"/>
    </row>
    <row r="417">
      <c r="C417" s="18"/>
      <c r="D417" s="18"/>
      <c r="E417" s="18"/>
    </row>
    <row r="418">
      <c r="C418" s="18"/>
      <c r="D418" s="18"/>
      <c r="E418" s="18"/>
    </row>
    <row r="419">
      <c r="C419" s="18"/>
      <c r="D419" s="18"/>
      <c r="E419" s="18"/>
    </row>
    <row r="420">
      <c r="C420" s="18"/>
      <c r="D420" s="18"/>
      <c r="E420" s="18"/>
    </row>
    <row r="421">
      <c r="C421" s="18"/>
      <c r="D421" s="18"/>
      <c r="E421" s="18"/>
    </row>
    <row r="422">
      <c r="C422" s="18"/>
      <c r="D422" s="18"/>
      <c r="E422" s="18"/>
    </row>
    <row r="423">
      <c r="C423" s="18"/>
      <c r="D423" s="18"/>
      <c r="E423" s="18"/>
    </row>
    <row r="424">
      <c r="C424" s="18"/>
      <c r="D424" s="18"/>
      <c r="E424" s="18"/>
    </row>
    <row r="425">
      <c r="C425" s="18"/>
      <c r="D425" s="18"/>
      <c r="E425" s="18"/>
    </row>
    <row r="426">
      <c r="C426" s="18"/>
      <c r="D426" s="18"/>
      <c r="E426" s="18"/>
    </row>
    <row r="427">
      <c r="C427" s="18"/>
      <c r="D427" s="18"/>
      <c r="E427" s="18"/>
    </row>
    <row r="428">
      <c r="C428" s="18"/>
      <c r="D428" s="18"/>
      <c r="E428" s="18"/>
    </row>
    <row r="429">
      <c r="C429" s="18"/>
      <c r="D429" s="18"/>
      <c r="E429" s="18"/>
    </row>
    <row r="430">
      <c r="C430" s="18"/>
      <c r="D430" s="18"/>
      <c r="E430" s="18"/>
    </row>
    <row r="431">
      <c r="C431" s="18"/>
      <c r="D431" s="18"/>
      <c r="E431" s="18"/>
    </row>
    <row r="432">
      <c r="C432" s="18"/>
      <c r="D432" s="18"/>
      <c r="E432" s="18"/>
    </row>
    <row r="433">
      <c r="C433" s="18"/>
      <c r="D433" s="18"/>
      <c r="E433" s="18"/>
    </row>
    <row r="434">
      <c r="C434" s="18"/>
      <c r="D434" s="18"/>
      <c r="E434" s="18"/>
    </row>
    <row r="435">
      <c r="C435" s="18"/>
      <c r="D435" s="18"/>
      <c r="E435" s="18"/>
    </row>
    <row r="436">
      <c r="C436" s="18"/>
      <c r="D436" s="18"/>
      <c r="E436" s="18"/>
    </row>
    <row r="437">
      <c r="C437" s="18"/>
      <c r="D437" s="18"/>
      <c r="E437" s="18"/>
    </row>
    <row r="438">
      <c r="C438" s="18"/>
      <c r="D438" s="18"/>
      <c r="E438" s="18"/>
    </row>
    <row r="439">
      <c r="C439" s="18"/>
      <c r="D439" s="18"/>
      <c r="E439" s="18"/>
    </row>
    <row r="440">
      <c r="C440" s="18"/>
      <c r="D440" s="18"/>
      <c r="E440" s="18"/>
    </row>
    <row r="441">
      <c r="C441" s="18"/>
      <c r="D441" s="18"/>
      <c r="E441" s="18"/>
    </row>
    <row r="442">
      <c r="C442" s="18"/>
      <c r="D442" s="18"/>
      <c r="E442" s="18"/>
    </row>
    <row r="443">
      <c r="C443" s="18"/>
      <c r="D443" s="18"/>
      <c r="E443" s="18"/>
    </row>
    <row r="444">
      <c r="C444" s="18"/>
      <c r="D444" s="18"/>
      <c r="E444" s="18"/>
    </row>
    <row r="445">
      <c r="C445" s="18"/>
      <c r="D445" s="18"/>
      <c r="E445" s="18"/>
    </row>
    <row r="446">
      <c r="C446" s="18"/>
      <c r="D446" s="18"/>
      <c r="E446" s="18"/>
    </row>
    <row r="447">
      <c r="C447" s="18"/>
      <c r="D447" s="18"/>
      <c r="E447" s="18"/>
    </row>
    <row r="448">
      <c r="C448" s="18"/>
      <c r="D448" s="18"/>
      <c r="E448" s="18"/>
    </row>
    <row r="449">
      <c r="C449" s="18"/>
      <c r="D449" s="18"/>
      <c r="E449" s="18"/>
    </row>
    <row r="450">
      <c r="C450" s="18"/>
      <c r="D450" s="18"/>
      <c r="E450" s="18"/>
    </row>
    <row r="451">
      <c r="C451" s="18"/>
      <c r="D451" s="18"/>
      <c r="E451" s="18"/>
    </row>
    <row r="452">
      <c r="C452" s="18"/>
      <c r="D452" s="18"/>
      <c r="E452" s="18"/>
    </row>
    <row r="453">
      <c r="C453" s="18"/>
      <c r="D453" s="18"/>
      <c r="E453" s="18"/>
    </row>
    <row r="454">
      <c r="C454" s="18"/>
      <c r="D454" s="18"/>
      <c r="E454" s="18"/>
    </row>
    <row r="455">
      <c r="C455" s="18"/>
      <c r="D455" s="18"/>
      <c r="E455" s="18"/>
    </row>
    <row r="456">
      <c r="C456" s="18"/>
      <c r="D456" s="18"/>
      <c r="E456" s="18"/>
    </row>
    <row r="457">
      <c r="C457" s="18"/>
      <c r="D457" s="18"/>
      <c r="E457" s="18"/>
    </row>
    <row r="458">
      <c r="C458" s="18"/>
      <c r="D458" s="18"/>
      <c r="E458" s="18"/>
    </row>
    <row r="459">
      <c r="C459" s="18"/>
      <c r="D459" s="18"/>
      <c r="E459" s="18"/>
    </row>
    <row r="460">
      <c r="C460" s="18"/>
      <c r="D460" s="18"/>
      <c r="E460" s="18"/>
    </row>
    <row r="461">
      <c r="C461" s="18"/>
      <c r="D461" s="18"/>
      <c r="E461" s="18"/>
    </row>
    <row r="462">
      <c r="C462" s="18"/>
      <c r="D462" s="18"/>
      <c r="E462" s="18"/>
    </row>
    <row r="463">
      <c r="C463" s="18"/>
      <c r="D463" s="18"/>
      <c r="E463" s="18"/>
    </row>
    <row r="464">
      <c r="C464" s="18"/>
      <c r="D464" s="18"/>
      <c r="E464" s="18"/>
    </row>
    <row r="465">
      <c r="C465" s="18"/>
      <c r="D465" s="18"/>
      <c r="E465" s="18"/>
    </row>
    <row r="466">
      <c r="C466" s="18"/>
      <c r="D466" s="18"/>
      <c r="E466" s="18"/>
    </row>
    <row r="467">
      <c r="C467" s="18"/>
      <c r="D467" s="18"/>
      <c r="E467" s="18"/>
    </row>
    <row r="468">
      <c r="C468" s="18"/>
      <c r="D468" s="18"/>
      <c r="E468" s="18"/>
    </row>
    <row r="469">
      <c r="C469" s="18"/>
      <c r="D469" s="18"/>
      <c r="E469" s="18"/>
    </row>
    <row r="470">
      <c r="C470" s="18"/>
      <c r="D470" s="18"/>
      <c r="E470" s="18"/>
    </row>
    <row r="471">
      <c r="C471" s="18"/>
      <c r="D471" s="18"/>
      <c r="E471" s="18"/>
    </row>
    <row r="472">
      <c r="C472" s="18"/>
      <c r="D472" s="18"/>
      <c r="E472" s="18"/>
    </row>
    <row r="473">
      <c r="C473" s="18"/>
      <c r="D473" s="18"/>
      <c r="E473" s="18"/>
    </row>
    <row r="474">
      <c r="C474" s="18"/>
      <c r="D474" s="18"/>
      <c r="E474" s="18"/>
    </row>
    <row r="475">
      <c r="C475" s="18"/>
      <c r="D475" s="18"/>
      <c r="E475" s="18"/>
    </row>
    <row r="476">
      <c r="C476" s="18"/>
      <c r="D476" s="18"/>
      <c r="E476" s="18"/>
    </row>
    <row r="477">
      <c r="C477" s="18"/>
      <c r="D477" s="18"/>
      <c r="E477" s="18"/>
    </row>
    <row r="478">
      <c r="C478" s="18"/>
      <c r="D478" s="18"/>
      <c r="E478" s="18"/>
    </row>
    <row r="479">
      <c r="C479" s="18"/>
      <c r="D479" s="18"/>
      <c r="E479" s="18"/>
    </row>
    <row r="480">
      <c r="C480" s="18"/>
      <c r="D480" s="18"/>
      <c r="E480" s="18"/>
    </row>
    <row r="481">
      <c r="C481" s="18"/>
      <c r="D481" s="18"/>
      <c r="E481" s="18"/>
    </row>
    <row r="482">
      <c r="C482" s="18"/>
      <c r="D482" s="18"/>
      <c r="E482" s="18"/>
    </row>
    <row r="483">
      <c r="C483" s="18"/>
      <c r="D483" s="18"/>
      <c r="E483" s="18"/>
    </row>
    <row r="484">
      <c r="C484" s="18"/>
      <c r="D484" s="18"/>
      <c r="E484" s="18"/>
    </row>
    <row r="485">
      <c r="C485" s="18"/>
      <c r="D485" s="18"/>
      <c r="E485" s="18"/>
    </row>
    <row r="486">
      <c r="C486" s="18"/>
      <c r="D486" s="18"/>
      <c r="E486" s="18"/>
    </row>
    <row r="487">
      <c r="C487" s="18"/>
      <c r="D487" s="18"/>
      <c r="E487" s="18"/>
    </row>
    <row r="488">
      <c r="C488" s="18"/>
      <c r="D488" s="18"/>
      <c r="E488" s="18"/>
    </row>
    <row r="489">
      <c r="C489" s="18"/>
      <c r="D489" s="18"/>
      <c r="E489" s="18"/>
    </row>
    <row r="490">
      <c r="C490" s="18"/>
      <c r="D490" s="18"/>
      <c r="E490" s="18"/>
    </row>
    <row r="491">
      <c r="C491" s="18"/>
      <c r="D491" s="18"/>
      <c r="E491" s="18"/>
    </row>
    <row r="492">
      <c r="C492" s="18"/>
      <c r="D492" s="18"/>
      <c r="E492" s="18"/>
    </row>
    <row r="493">
      <c r="C493" s="18"/>
      <c r="D493" s="18"/>
      <c r="E493" s="18"/>
    </row>
    <row r="494">
      <c r="C494" s="18"/>
      <c r="D494" s="18"/>
      <c r="E494" s="18"/>
    </row>
    <row r="495">
      <c r="C495" s="18"/>
      <c r="D495" s="18"/>
      <c r="E495" s="18"/>
    </row>
    <row r="496">
      <c r="C496" s="18"/>
      <c r="D496" s="18"/>
      <c r="E496" s="18"/>
    </row>
    <row r="497">
      <c r="C497" s="18"/>
      <c r="D497" s="18"/>
      <c r="E497" s="18"/>
    </row>
    <row r="498">
      <c r="C498" s="18"/>
      <c r="D498" s="18"/>
      <c r="E498" s="18"/>
    </row>
    <row r="499">
      <c r="C499" s="18"/>
      <c r="D499" s="18"/>
      <c r="E499" s="18"/>
    </row>
    <row r="500">
      <c r="C500" s="18"/>
      <c r="D500" s="18"/>
      <c r="E500" s="18"/>
    </row>
    <row r="501">
      <c r="C501" s="18"/>
      <c r="D501" s="18"/>
      <c r="E501" s="18"/>
    </row>
    <row r="502">
      <c r="C502" s="18"/>
      <c r="D502" s="18"/>
      <c r="E502" s="18"/>
    </row>
    <row r="503">
      <c r="C503" s="18"/>
      <c r="D503" s="18"/>
      <c r="E503" s="18"/>
    </row>
    <row r="504">
      <c r="C504" s="18"/>
      <c r="D504" s="18"/>
      <c r="E504" s="18"/>
    </row>
    <row r="505">
      <c r="C505" s="18"/>
      <c r="D505" s="18"/>
      <c r="E505" s="18"/>
    </row>
    <row r="506">
      <c r="C506" s="18"/>
      <c r="D506" s="18"/>
      <c r="E506" s="18"/>
    </row>
    <row r="507">
      <c r="C507" s="18"/>
      <c r="D507" s="18"/>
      <c r="E507" s="18"/>
    </row>
    <row r="508">
      <c r="C508" s="18"/>
      <c r="D508" s="18"/>
      <c r="E508" s="18"/>
    </row>
    <row r="509">
      <c r="C509" s="18"/>
      <c r="D509" s="18"/>
      <c r="E509" s="18"/>
    </row>
    <row r="510">
      <c r="C510" s="18"/>
      <c r="D510" s="18"/>
      <c r="E510" s="18"/>
    </row>
    <row r="511">
      <c r="C511" s="18"/>
      <c r="D511" s="18"/>
      <c r="E511" s="18"/>
    </row>
    <row r="512">
      <c r="C512" s="18"/>
      <c r="D512" s="18"/>
      <c r="E512" s="18"/>
    </row>
    <row r="513">
      <c r="C513" s="18"/>
      <c r="D513" s="18"/>
      <c r="E513" s="18"/>
    </row>
    <row r="514">
      <c r="C514" s="18"/>
      <c r="D514" s="18"/>
      <c r="E514" s="18"/>
    </row>
    <row r="515">
      <c r="C515" s="18"/>
      <c r="D515" s="18"/>
      <c r="E515" s="18"/>
    </row>
    <row r="516">
      <c r="C516" s="18"/>
      <c r="D516" s="18"/>
      <c r="E516" s="18"/>
    </row>
    <row r="517">
      <c r="C517" s="18"/>
      <c r="D517" s="18"/>
      <c r="E517" s="18"/>
    </row>
    <row r="518">
      <c r="C518" s="18"/>
      <c r="D518" s="18"/>
      <c r="E518" s="18"/>
    </row>
    <row r="519">
      <c r="C519" s="18"/>
      <c r="D519" s="18"/>
      <c r="E519" s="18"/>
    </row>
    <row r="520">
      <c r="C520" s="18"/>
      <c r="D520" s="18"/>
      <c r="E520" s="18"/>
    </row>
    <row r="521">
      <c r="C521" s="18"/>
      <c r="D521" s="18"/>
      <c r="E521" s="18"/>
    </row>
    <row r="522">
      <c r="C522" s="18"/>
      <c r="D522" s="18"/>
      <c r="E522" s="18"/>
    </row>
    <row r="523">
      <c r="C523" s="18"/>
      <c r="D523" s="18"/>
      <c r="E523" s="18"/>
    </row>
    <row r="524">
      <c r="C524" s="18"/>
      <c r="D524" s="18"/>
      <c r="E524" s="18"/>
    </row>
    <row r="525">
      <c r="C525" s="18"/>
      <c r="D525" s="18"/>
      <c r="E525" s="18"/>
    </row>
    <row r="526">
      <c r="C526" s="18"/>
      <c r="D526" s="18"/>
      <c r="E526" s="18"/>
    </row>
    <row r="527">
      <c r="C527" s="18"/>
      <c r="D527" s="18"/>
      <c r="E527" s="18"/>
    </row>
    <row r="528">
      <c r="C528" s="18"/>
      <c r="D528" s="18"/>
      <c r="E528" s="18"/>
    </row>
    <row r="529">
      <c r="C529" s="18"/>
      <c r="D529" s="18"/>
      <c r="E529" s="18"/>
    </row>
    <row r="530">
      <c r="C530" s="18"/>
      <c r="D530" s="18"/>
      <c r="E530" s="18"/>
    </row>
    <row r="531">
      <c r="C531" s="18"/>
      <c r="D531" s="18"/>
      <c r="E531" s="18"/>
    </row>
    <row r="532">
      <c r="C532" s="18"/>
      <c r="D532" s="18"/>
      <c r="E532" s="18"/>
    </row>
    <row r="533">
      <c r="C533" s="18"/>
      <c r="D533" s="18"/>
      <c r="E533" s="18"/>
    </row>
    <row r="534">
      <c r="C534" s="18"/>
      <c r="D534" s="18"/>
      <c r="E534" s="18"/>
    </row>
    <row r="535">
      <c r="C535" s="18"/>
      <c r="D535" s="18"/>
      <c r="E535" s="18"/>
    </row>
    <row r="536">
      <c r="C536" s="18"/>
      <c r="D536" s="18"/>
      <c r="E536" s="18"/>
    </row>
    <row r="537">
      <c r="C537" s="18"/>
      <c r="D537" s="18"/>
      <c r="E537" s="18"/>
    </row>
    <row r="538">
      <c r="C538" s="18"/>
      <c r="D538" s="18"/>
      <c r="E538" s="18"/>
    </row>
    <row r="539">
      <c r="C539" s="18"/>
      <c r="D539" s="18"/>
      <c r="E539" s="18"/>
    </row>
    <row r="540">
      <c r="C540" s="18"/>
      <c r="D540" s="18"/>
      <c r="E540" s="18"/>
    </row>
    <row r="541">
      <c r="C541" s="18"/>
      <c r="D541" s="18"/>
      <c r="E541" s="18"/>
    </row>
    <row r="542">
      <c r="C542" s="18"/>
      <c r="D542" s="18"/>
      <c r="E542" s="18"/>
    </row>
    <row r="543">
      <c r="C543" s="18"/>
      <c r="D543" s="18"/>
      <c r="E543" s="18"/>
    </row>
    <row r="544">
      <c r="C544" s="18"/>
      <c r="D544" s="18"/>
      <c r="E544" s="18"/>
    </row>
    <row r="545">
      <c r="C545" s="18"/>
      <c r="D545" s="18"/>
      <c r="E545" s="18"/>
    </row>
    <row r="546">
      <c r="C546" s="18"/>
      <c r="D546" s="18"/>
      <c r="E546" s="18"/>
    </row>
    <row r="547">
      <c r="C547" s="18"/>
      <c r="D547" s="18"/>
      <c r="E547" s="18"/>
    </row>
    <row r="548">
      <c r="C548" s="18"/>
      <c r="D548" s="18"/>
      <c r="E548" s="18"/>
    </row>
    <row r="549">
      <c r="C549" s="18"/>
      <c r="D549" s="18"/>
      <c r="E549" s="18"/>
    </row>
    <row r="550">
      <c r="C550" s="18"/>
      <c r="D550" s="18"/>
      <c r="E550" s="18"/>
    </row>
    <row r="551">
      <c r="C551" s="18"/>
      <c r="D551" s="18"/>
      <c r="E551" s="18"/>
    </row>
    <row r="552">
      <c r="C552" s="18"/>
      <c r="D552" s="18"/>
      <c r="E552" s="18"/>
    </row>
    <row r="553">
      <c r="C553" s="18"/>
      <c r="D553" s="18"/>
      <c r="E553" s="18"/>
    </row>
    <row r="554">
      <c r="C554" s="18"/>
      <c r="D554" s="18"/>
      <c r="E554" s="18"/>
    </row>
    <row r="555">
      <c r="C555" s="18"/>
      <c r="D555" s="18"/>
      <c r="E555" s="18"/>
    </row>
    <row r="556">
      <c r="C556" s="18"/>
      <c r="D556" s="18"/>
      <c r="E556" s="18"/>
    </row>
    <row r="557">
      <c r="C557" s="18"/>
      <c r="D557" s="18"/>
      <c r="E557" s="18"/>
    </row>
    <row r="558">
      <c r="C558" s="18"/>
      <c r="D558" s="18"/>
      <c r="E558" s="18"/>
    </row>
    <row r="559">
      <c r="C559" s="18"/>
      <c r="D559" s="18"/>
      <c r="E559" s="18"/>
    </row>
    <row r="560">
      <c r="C560" s="18"/>
      <c r="D560" s="18"/>
      <c r="E560" s="18"/>
    </row>
    <row r="561">
      <c r="C561" s="18"/>
      <c r="D561" s="18"/>
      <c r="E561" s="18"/>
    </row>
    <row r="562">
      <c r="C562" s="18"/>
      <c r="D562" s="18"/>
      <c r="E562" s="18"/>
    </row>
    <row r="563">
      <c r="C563" s="18"/>
      <c r="D563" s="18"/>
      <c r="E563" s="18"/>
    </row>
    <row r="564">
      <c r="C564" s="18"/>
      <c r="D564" s="18"/>
      <c r="E564" s="18"/>
    </row>
    <row r="565">
      <c r="C565" s="18"/>
      <c r="D565" s="18"/>
      <c r="E565" s="18"/>
    </row>
    <row r="566">
      <c r="C566" s="18"/>
      <c r="D566" s="18"/>
      <c r="E566" s="18"/>
    </row>
    <row r="567">
      <c r="C567" s="18"/>
      <c r="D567" s="18"/>
      <c r="E567" s="18"/>
    </row>
    <row r="568">
      <c r="C568" s="18"/>
      <c r="D568" s="18"/>
      <c r="E568" s="18"/>
    </row>
    <row r="569">
      <c r="C569" s="18"/>
      <c r="D569" s="18"/>
      <c r="E569" s="18"/>
    </row>
    <row r="570">
      <c r="C570" s="18"/>
      <c r="D570" s="18"/>
      <c r="E570" s="18"/>
    </row>
    <row r="571">
      <c r="C571" s="18"/>
      <c r="D571" s="18"/>
      <c r="E571" s="18"/>
    </row>
    <row r="572">
      <c r="C572" s="18"/>
      <c r="D572" s="18"/>
      <c r="E572" s="18"/>
    </row>
    <row r="573">
      <c r="C573" s="18"/>
      <c r="D573" s="18"/>
      <c r="E573" s="18"/>
    </row>
    <row r="574">
      <c r="C574" s="18"/>
      <c r="D574" s="18"/>
      <c r="E574" s="18"/>
    </row>
    <row r="575">
      <c r="C575" s="18"/>
      <c r="D575" s="18"/>
      <c r="E575" s="18"/>
    </row>
    <row r="576">
      <c r="C576" s="18"/>
      <c r="D576" s="18"/>
      <c r="E576" s="18"/>
    </row>
    <row r="577">
      <c r="C577" s="18"/>
      <c r="D577" s="18"/>
      <c r="E577" s="18"/>
    </row>
    <row r="578">
      <c r="C578" s="18"/>
      <c r="D578" s="18"/>
      <c r="E578" s="18"/>
    </row>
    <row r="579">
      <c r="C579" s="18"/>
      <c r="D579" s="18"/>
      <c r="E579" s="18"/>
    </row>
    <row r="580">
      <c r="C580" s="18"/>
      <c r="D580" s="18"/>
      <c r="E580" s="18"/>
    </row>
    <row r="581">
      <c r="C581" s="18"/>
      <c r="D581" s="18"/>
      <c r="E581" s="18"/>
    </row>
    <row r="582">
      <c r="C582" s="18"/>
      <c r="D582" s="18"/>
      <c r="E582" s="18"/>
    </row>
    <row r="583">
      <c r="C583" s="18"/>
      <c r="D583" s="18"/>
      <c r="E583" s="18"/>
    </row>
    <row r="584">
      <c r="C584" s="18"/>
      <c r="D584" s="18"/>
      <c r="E584" s="18"/>
    </row>
    <row r="585">
      <c r="C585" s="18"/>
      <c r="D585" s="18"/>
      <c r="E585" s="18"/>
    </row>
    <row r="586">
      <c r="C586" s="18"/>
      <c r="D586" s="18"/>
      <c r="E586" s="18"/>
    </row>
    <row r="587">
      <c r="C587" s="18"/>
      <c r="D587" s="18"/>
      <c r="E587" s="18"/>
    </row>
    <row r="588">
      <c r="C588" s="18"/>
      <c r="D588" s="18"/>
      <c r="E588" s="18"/>
    </row>
    <row r="589">
      <c r="C589" s="18"/>
      <c r="D589" s="18"/>
      <c r="E589" s="18"/>
    </row>
    <row r="590">
      <c r="C590" s="18"/>
      <c r="D590" s="18"/>
      <c r="E590" s="18"/>
    </row>
    <row r="591">
      <c r="C591" s="18"/>
      <c r="D591" s="18"/>
      <c r="E591" s="18"/>
    </row>
    <row r="592">
      <c r="C592" s="18"/>
      <c r="D592" s="18"/>
      <c r="E592" s="18"/>
    </row>
    <row r="593">
      <c r="C593" s="18"/>
      <c r="D593" s="18"/>
      <c r="E593" s="18"/>
    </row>
    <row r="594">
      <c r="C594" s="18"/>
      <c r="D594" s="18"/>
      <c r="E594" s="18"/>
    </row>
    <row r="595">
      <c r="C595" s="18"/>
      <c r="D595" s="18"/>
      <c r="E595" s="18"/>
    </row>
    <row r="596">
      <c r="C596" s="18"/>
      <c r="D596" s="18"/>
      <c r="E596" s="18"/>
    </row>
    <row r="597">
      <c r="C597" s="18"/>
      <c r="D597" s="18"/>
      <c r="E597" s="18"/>
    </row>
    <row r="598">
      <c r="C598" s="18"/>
      <c r="D598" s="18"/>
      <c r="E598" s="18"/>
    </row>
    <row r="599">
      <c r="C599" s="18"/>
      <c r="D599" s="18"/>
      <c r="E599" s="18"/>
    </row>
    <row r="600">
      <c r="C600" s="18"/>
      <c r="D600" s="18"/>
      <c r="E600" s="18"/>
    </row>
    <row r="601">
      <c r="C601" s="18"/>
      <c r="D601" s="18"/>
      <c r="E601" s="18"/>
    </row>
    <row r="602">
      <c r="C602" s="18"/>
      <c r="D602" s="18"/>
      <c r="E602" s="18"/>
    </row>
    <row r="603">
      <c r="C603" s="18"/>
      <c r="D603" s="18"/>
      <c r="E603" s="18"/>
    </row>
    <row r="604">
      <c r="C604" s="18"/>
      <c r="D604" s="18"/>
      <c r="E604" s="18"/>
    </row>
    <row r="605">
      <c r="C605" s="18"/>
      <c r="D605" s="18"/>
      <c r="E605" s="18"/>
    </row>
    <row r="606">
      <c r="C606" s="18"/>
      <c r="D606" s="18"/>
      <c r="E606" s="18"/>
    </row>
    <row r="607">
      <c r="C607" s="18"/>
      <c r="D607" s="18"/>
      <c r="E607" s="18"/>
    </row>
    <row r="608">
      <c r="C608" s="18"/>
      <c r="D608" s="18"/>
      <c r="E608" s="18"/>
    </row>
    <row r="609">
      <c r="C609" s="18"/>
      <c r="D609" s="18"/>
      <c r="E609" s="18"/>
    </row>
    <row r="610">
      <c r="C610" s="18"/>
      <c r="D610" s="18"/>
      <c r="E610" s="18"/>
    </row>
    <row r="611">
      <c r="C611" s="18"/>
      <c r="D611" s="18"/>
      <c r="E611" s="18"/>
    </row>
    <row r="612">
      <c r="C612" s="18"/>
      <c r="D612" s="18"/>
      <c r="E612" s="18"/>
    </row>
    <row r="613">
      <c r="C613" s="18"/>
      <c r="D613" s="18"/>
      <c r="E613" s="18"/>
    </row>
    <row r="614">
      <c r="C614" s="18"/>
      <c r="D614" s="18"/>
      <c r="E614" s="18"/>
    </row>
    <row r="615">
      <c r="C615" s="18"/>
      <c r="D615" s="18"/>
      <c r="E615" s="18"/>
    </row>
    <row r="616">
      <c r="C616" s="18"/>
      <c r="D616" s="18"/>
      <c r="E616" s="18"/>
    </row>
    <row r="617">
      <c r="C617" s="18"/>
      <c r="D617" s="18"/>
      <c r="E617" s="18"/>
    </row>
    <row r="618">
      <c r="C618" s="18"/>
      <c r="D618" s="18"/>
      <c r="E618" s="18"/>
    </row>
    <row r="619">
      <c r="C619" s="18"/>
      <c r="D619" s="18"/>
      <c r="E619" s="18"/>
    </row>
    <row r="620">
      <c r="C620" s="18"/>
      <c r="D620" s="18"/>
      <c r="E620" s="18"/>
    </row>
    <row r="621">
      <c r="C621" s="18"/>
      <c r="D621" s="18"/>
      <c r="E621" s="18"/>
    </row>
    <row r="622">
      <c r="C622" s="18"/>
      <c r="D622" s="18"/>
      <c r="E622" s="18"/>
    </row>
    <row r="623">
      <c r="C623" s="18"/>
      <c r="D623" s="18"/>
      <c r="E623" s="18"/>
    </row>
    <row r="624">
      <c r="C624" s="18"/>
      <c r="D624" s="18"/>
      <c r="E624" s="18"/>
    </row>
    <row r="625">
      <c r="C625" s="18"/>
      <c r="D625" s="18"/>
      <c r="E625" s="18"/>
    </row>
    <row r="626">
      <c r="C626" s="18"/>
      <c r="D626" s="18"/>
      <c r="E626" s="18"/>
    </row>
    <row r="627">
      <c r="C627" s="18"/>
      <c r="D627" s="18"/>
      <c r="E627" s="18"/>
    </row>
    <row r="628">
      <c r="C628" s="18"/>
      <c r="D628" s="18"/>
      <c r="E628" s="18"/>
    </row>
    <row r="629">
      <c r="C629" s="18"/>
      <c r="D629" s="18"/>
      <c r="E629" s="18"/>
    </row>
    <row r="630">
      <c r="C630" s="18"/>
      <c r="D630" s="18"/>
      <c r="E630" s="18"/>
    </row>
    <row r="631">
      <c r="C631" s="18"/>
      <c r="D631" s="18"/>
      <c r="E631" s="18"/>
    </row>
    <row r="632">
      <c r="C632" s="18"/>
      <c r="D632" s="18"/>
      <c r="E632" s="18"/>
    </row>
    <row r="633">
      <c r="C633" s="18"/>
      <c r="D633" s="18"/>
      <c r="E633" s="18"/>
    </row>
    <row r="634">
      <c r="C634" s="18"/>
      <c r="D634" s="18"/>
      <c r="E634" s="18"/>
    </row>
    <row r="635">
      <c r="C635" s="18"/>
      <c r="D635" s="18"/>
      <c r="E635" s="18"/>
    </row>
    <row r="636">
      <c r="C636" s="18"/>
      <c r="D636" s="18"/>
      <c r="E636" s="18"/>
    </row>
    <row r="637">
      <c r="C637" s="18"/>
      <c r="D637" s="18"/>
      <c r="E637" s="18"/>
    </row>
    <row r="638">
      <c r="C638" s="18"/>
      <c r="D638" s="18"/>
      <c r="E638" s="18"/>
    </row>
    <row r="639">
      <c r="C639" s="18"/>
      <c r="D639" s="18"/>
      <c r="E639" s="18"/>
    </row>
    <row r="640">
      <c r="C640" s="18"/>
      <c r="D640" s="18"/>
      <c r="E640" s="18"/>
    </row>
    <row r="641">
      <c r="C641" s="18"/>
      <c r="D641" s="18"/>
      <c r="E641" s="18"/>
    </row>
    <row r="642">
      <c r="C642" s="18"/>
      <c r="D642" s="18"/>
      <c r="E642" s="18"/>
    </row>
    <row r="643">
      <c r="C643" s="18"/>
      <c r="D643" s="18"/>
      <c r="E643" s="18"/>
    </row>
    <row r="644">
      <c r="C644" s="18"/>
      <c r="D644" s="18"/>
      <c r="E644" s="18"/>
    </row>
    <row r="645">
      <c r="C645" s="18"/>
      <c r="D645" s="18"/>
      <c r="E645" s="18"/>
    </row>
    <row r="646">
      <c r="C646" s="18"/>
      <c r="D646" s="18"/>
      <c r="E646" s="18"/>
    </row>
    <row r="647">
      <c r="C647" s="18"/>
      <c r="D647" s="18"/>
      <c r="E647" s="18"/>
    </row>
    <row r="648">
      <c r="C648" s="18"/>
      <c r="D648" s="18"/>
      <c r="E648" s="18"/>
    </row>
    <row r="649">
      <c r="C649" s="18"/>
      <c r="D649" s="18"/>
      <c r="E649" s="18"/>
    </row>
    <row r="650">
      <c r="C650" s="18"/>
      <c r="D650" s="18"/>
      <c r="E650" s="18"/>
    </row>
    <row r="651">
      <c r="C651" s="18"/>
      <c r="D651" s="18"/>
      <c r="E651" s="18"/>
    </row>
    <row r="652">
      <c r="C652" s="18"/>
      <c r="D652" s="18"/>
      <c r="E652" s="18"/>
    </row>
    <row r="653">
      <c r="C653" s="18"/>
      <c r="D653" s="18"/>
      <c r="E653" s="18"/>
    </row>
    <row r="654">
      <c r="C654" s="18"/>
      <c r="D654" s="18"/>
      <c r="E654" s="18"/>
    </row>
    <row r="655">
      <c r="C655" s="18"/>
      <c r="D655" s="18"/>
      <c r="E655" s="18"/>
    </row>
    <row r="656">
      <c r="C656" s="18"/>
      <c r="D656" s="18"/>
      <c r="E656" s="18"/>
    </row>
    <row r="657">
      <c r="C657" s="18"/>
      <c r="D657" s="18"/>
      <c r="E657" s="18"/>
    </row>
    <row r="658">
      <c r="C658" s="18"/>
      <c r="D658" s="18"/>
      <c r="E658" s="18"/>
    </row>
    <row r="659">
      <c r="C659" s="18"/>
      <c r="D659" s="18"/>
      <c r="E659" s="18"/>
    </row>
    <row r="660">
      <c r="C660" s="18"/>
      <c r="D660" s="18"/>
      <c r="E660" s="18"/>
    </row>
    <row r="661">
      <c r="C661" s="18"/>
      <c r="D661" s="18"/>
      <c r="E661" s="18"/>
    </row>
    <row r="662">
      <c r="C662" s="18"/>
      <c r="D662" s="18"/>
      <c r="E662" s="18"/>
    </row>
    <row r="663">
      <c r="C663" s="18"/>
      <c r="D663" s="18"/>
      <c r="E663" s="18"/>
    </row>
    <row r="664">
      <c r="C664" s="18"/>
      <c r="D664" s="18"/>
      <c r="E664" s="18"/>
    </row>
    <row r="665">
      <c r="C665" s="18"/>
      <c r="D665" s="18"/>
      <c r="E665" s="18"/>
    </row>
    <row r="666">
      <c r="C666" s="18"/>
      <c r="D666" s="18"/>
      <c r="E666" s="18"/>
    </row>
    <row r="667">
      <c r="C667" s="18"/>
      <c r="D667" s="18"/>
      <c r="E667" s="18"/>
    </row>
    <row r="668">
      <c r="C668" s="18"/>
      <c r="D668" s="18"/>
      <c r="E668" s="18"/>
    </row>
    <row r="669">
      <c r="C669" s="18"/>
      <c r="D669" s="18"/>
      <c r="E669" s="18"/>
    </row>
    <row r="670">
      <c r="C670" s="18"/>
      <c r="D670" s="18"/>
      <c r="E670" s="18"/>
    </row>
    <row r="671">
      <c r="C671" s="18"/>
      <c r="D671" s="18"/>
      <c r="E671" s="18"/>
    </row>
    <row r="672">
      <c r="C672" s="18"/>
      <c r="D672" s="18"/>
      <c r="E672" s="18"/>
    </row>
    <row r="673">
      <c r="C673" s="18"/>
      <c r="D673" s="18"/>
      <c r="E673" s="18"/>
    </row>
    <row r="674">
      <c r="C674" s="18"/>
      <c r="D674" s="18"/>
      <c r="E674" s="18"/>
    </row>
    <row r="675">
      <c r="C675" s="18"/>
      <c r="D675" s="18"/>
      <c r="E675" s="18"/>
    </row>
    <row r="676">
      <c r="C676" s="18"/>
      <c r="D676" s="18"/>
      <c r="E676" s="18"/>
    </row>
    <row r="677">
      <c r="C677" s="18"/>
      <c r="D677" s="18"/>
      <c r="E677" s="18"/>
    </row>
    <row r="678">
      <c r="C678" s="18"/>
      <c r="D678" s="18"/>
      <c r="E678" s="18"/>
    </row>
    <row r="679">
      <c r="C679" s="18"/>
      <c r="D679" s="18"/>
      <c r="E679" s="18"/>
    </row>
    <row r="680">
      <c r="C680" s="18"/>
      <c r="D680" s="18"/>
      <c r="E680" s="18"/>
    </row>
    <row r="681">
      <c r="C681" s="18"/>
      <c r="D681" s="18"/>
      <c r="E681" s="18"/>
    </row>
    <row r="682">
      <c r="C682" s="18"/>
      <c r="D682" s="18"/>
      <c r="E682" s="18"/>
    </row>
    <row r="683">
      <c r="C683" s="18"/>
      <c r="D683" s="18"/>
      <c r="E683" s="18"/>
    </row>
    <row r="684">
      <c r="C684" s="18"/>
      <c r="D684" s="18"/>
      <c r="E684" s="18"/>
    </row>
    <row r="685">
      <c r="C685" s="18"/>
      <c r="D685" s="18"/>
      <c r="E685" s="18"/>
    </row>
    <row r="686">
      <c r="C686" s="18"/>
      <c r="D686" s="18"/>
      <c r="E686" s="18"/>
    </row>
    <row r="687">
      <c r="C687" s="18"/>
      <c r="D687" s="18"/>
      <c r="E687" s="18"/>
    </row>
    <row r="688">
      <c r="C688" s="18"/>
      <c r="D688" s="18"/>
      <c r="E688" s="18"/>
    </row>
    <row r="689">
      <c r="C689" s="18"/>
      <c r="D689" s="18"/>
      <c r="E689" s="18"/>
    </row>
    <row r="690">
      <c r="C690" s="18"/>
      <c r="D690" s="18"/>
      <c r="E690" s="18"/>
    </row>
    <row r="691">
      <c r="C691" s="18"/>
      <c r="D691" s="18"/>
      <c r="E691" s="18"/>
    </row>
    <row r="692">
      <c r="C692" s="18"/>
      <c r="D692" s="18"/>
      <c r="E692" s="18"/>
    </row>
    <row r="693">
      <c r="C693" s="18"/>
      <c r="D693" s="18"/>
      <c r="E693" s="18"/>
    </row>
    <row r="694">
      <c r="C694" s="18"/>
      <c r="D694" s="18"/>
      <c r="E694" s="18"/>
    </row>
    <row r="695">
      <c r="C695" s="18"/>
      <c r="D695" s="18"/>
      <c r="E695" s="18"/>
    </row>
    <row r="696">
      <c r="C696" s="18"/>
      <c r="D696" s="18"/>
      <c r="E696" s="18"/>
    </row>
    <row r="697">
      <c r="C697" s="18"/>
      <c r="D697" s="18"/>
      <c r="E697" s="18"/>
    </row>
    <row r="698">
      <c r="C698" s="18"/>
      <c r="D698" s="18"/>
      <c r="E698" s="18"/>
    </row>
    <row r="699">
      <c r="C699" s="18"/>
      <c r="D699" s="18"/>
      <c r="E699" s="18"/>
    </row>
    <row r="700">
      <c r="C700" s="18"/>
      <c r="D700" s="18"/>
      <c r="E700" s="18"/>
    </row>
    <row r="701">
      <c r="C701" s="18"/>
      <c r="D701" s="18"/>
      <c r="E701" s="18"/>
    </row>
    <row r="702">
      <c r="C702" s="18"/>
      <c r="D702" s="18"/>
      <c r="E702" s="18"/>
    </row>
    <row r="703">
      <c r="C703" s="18"/>
      <c r="D703" s="18"/>
      <c r="E703" s="18"/>
    </row>
    <row r="704">
      <c r="C704" s="18"/>
      <c r="D704" s="18"/>
      <c r="E704" s="18"/>
    </row>
    <row r="705">
      <c r="C705" s="18"/>
      <c r="D705" s="18"/>
      <c r="E705" s="18"/>
    </row>
    <row r="706">
      <c r="C706" s="18"/>
      <c r="D706" s="18"/>
      <c r="E706" s="18"/>
    </row>
    <row r="707">
      <c r="C707" s="18"/>
      <c r="D707" s="18"/>
      <c r="E707" s="18"/>
    </row>
    <row r="708">
      <c r="C708" s="18"/>
      <c r="D708" s="18"/>
      <c r="E708" s="18"/>
    </row>
    <row r="709">
      <c r="C709" s="18"/>
      <c r="D709" s="18"/>
      <c r="E709" s="18"/>
    </row>
    <row r="710">
      <c r="C710" s="18"/>
      <c r="D710" s="18"/>
      <c r="E710" s="18"/>
    </row>
    <row r="711">
      <c r="C711" s="18"/>
      <c r="D711" s="18"/>
      <c r="E711" s="18"/>
    </row>
    <row r="712">
      <c r="C712" s="18"/>
      <c r="D712" s="18"/>
      <c r="E712" s="18"/>
    </row>
    <row r="713">
      <c r="C713" s="18"/>
      <c r="D713" s="18"/>
      <c r="E713" s="18"/>
    </row>
    <row r="714">
      <c r="C714" s="18"/>
      <c r="D714" s="18"/>
      <c r="E714" s="18"/>
    </row>
    <row r="715">
      <c r="C715" s="18"/>
      <c r="D715" s="18"/>
      <c r="E715" s="18"/>
    </row>
    <row r="716">
      <c r="C716" s="18"/>
      <c r="D716" s="18"/>
      <c r="E716" s="18"/>
    </row>
    <row r="717">
      <c r="C717" s="18"/>
      <c r="D717" s="18"/>
      <c r="E717" s="18"/>
    </row>
    <row r="718">
      <c r="C718" s="18"/>
      <c r="D718" s="18"/>
      <c r="E718" s="18"/>
    </row>
    <row r="719">
      <c r="C719" s="18"/>
      <c r="D719" s="18"/>
      <c r="E719" s="18"/>
    </row>
    <row r="720">
      <c r="C720" s="18"/>
      <c r="D720" s="18"/>
      <c r="E720" s="18"/>
    </row>
    <row r="721">
      <c r="C721" s="18"/>
      <c r="D721" s="18"/>
      <c r="E721" s="18"/>
    </row>
    <row r="722">
      <c r="C722" s="18"/>
      <c r="D722" s="18"/>
      <c r="E722" s="18"/>
    </row>
    <row r="723">
      <c r="C723" s="18"/>
      <c r="D723" s="18"/>
      <c r="E723" s="18"/>
    </row>
    <row r="724">
      <c r="C724" s="18"/>
      <c r="D724" s="18"/>
      <c r="E724" s="18"/>
    </row>
    <row r="725">
      <c r="C725" s="18"/>
      <c r="D725" s="18"/>
      <c r="E725" s="18"/>
    </row>
    <row r="726">
      <c r="C726" s="18"/>
      <c r="D726" s="18"/>
      <c r="E726" s="18"/>
    </row>
    <row r="727">
      <c r="C727" s="18"/>
      <c r="D727" s="18"/>
      <c r="E727" s="18"/>
    </row>
    <row r="728">
      <c r="C728" s="18"/>
      <c r="D728" s="18"/>
      <c r="E728" s="18"/>
    </row>
    <row r="729">
      <c r="C729" s="18"/>
      <c r="D729" s="18"/>
      <c r="E729" s="18"/>
    </row>
    <row r="730">
      <c r="C730" s="18"/>
      <c r="D730" s="18"/>
      <c r="E730" s="18"/>
    </row>
    <row r="731">
      <c r="C731" s="18"/>
      <c r="D731" s="18"/>
      <c r="E731" s="18"/>
    </row>
    <row r="732">
      <c r="C732" s="18"/>
      <c r="D732" s="18"/>
      <c r="E732" s="18"/>
    </row>
    <row r="733">
      <c r="C733" s="18"/>
      <c r="D733" s="18"/>
      <c r="E733" s="18"/>
    </row>
    <row r="734">
      <c r="C734" s="18"/>
      <c r="D734" s="18"/>
      <c r="E734" s="18"/>
    </row>
    <row r="735">
      <c r="C735" s="18"/>
      <c r="D735" s="18"/>
      <c r="E735" s="18"/>
    </row>
    <row r="736">
      <c r="C736" s="18"/>
      <c r="D736" s="18"/>
      <c r="E736" s="18"/>
    </row>
    <row r="737">
      <c r="C737" s="18"/>
      <c r="D737" s="18"/>
      <c r="E737" s="18"/>
    </row>
    <row r="738">
      <c r="C738" s="18"/>
      <c r="D738" s="18"/>
      <c r="E738" s="18"/>
    </row>
    <row r="739">
      <c r="C739" s="18"/>
      <c r="D739" s="18"/>
      <c r="E739" s="18"/>
    </row>
    <row r="740">
      <c r="C740" s="18"/>
      <c r="D740" s="18"/>
      <c r="E740" s="18"/>
    </row>
    <row r="741">
      <c r="C741" s="18"/>
      <c r="D741" s="18"/>
      <c r="E741" s="18"/>
    </row>
    <row r="742">
      <c r="C742" s="18"/>
      <c r="D742" s="18"/>
      <c r="E742" s="18"/>
    </row>
    <row r="743">
      <c r="C743" s="18"/>
      <c r="D743" s="18"/>
      <c r="E743" s="18"/>
    </row>
    <row r="744">
      <c r="C744" s="18"/>
      <c r="D744" s="18"/>
      <c r="E744" s="18"/>
    </row>
    <row r="745">
      <c r="C745" s="18"/>
      <c r="D745" s="18"/>
      <c r="E745" s="18"/>
    </row>
    <row r="746">
      <c r="C746" s="18"/>
      <c r="D746" s="18"/>
      <c r="E746" s="18"/>
    </row>
    <row r="747">
      <c r="C747" s="18"/>
      <c r="D747" s="18"/>
      <c r="E747" s="18"/>
    </row>
    <row r="748">
      <c r="C748" s="18"/>
      <c r="D748" s="18"/>
      <c r="E748" s="18"/>
    </row>
    <row r="749">
      <c r="C749" s="18"/>
      <c r="D749" s="18"/>
      <c r="E749" s="18"/>
    </row>
    <row r="750">
      <c r="C750" s="18"/>
      <c r="D750" s="18"/>
      <c r="E750" s="18"/>
    </row>
    <row r="751">
      <c r="C751" s="18"/>
      <c r="D751" s="18"/>
      <c r="E751" s="18"/>
    </row>
    <row r="752">
      <c r="C752" s="18"/>
      <c r="D752" s="18"/>
      <c r="E752" s="18"/>
    </row>
    <row r="753">
      <c r="C753" s="18"/>
      <c r="D753" s="18"/>
      <c r="E753" s="18"/>
    </row>
    <row r="754">
      <c r="C754" s="18"/>
      <c r="D754" s="18"/>
      <c r="E754" s="18"/>
    </row>
    <row r="755">
      <c r="C755" s="18"/>
      <c r="D755" s="18"/>
      <c r="E755" s="18"/>
    </row>
    <row r="756">
      <c r="C756" s="18"/>
      <c r="D756" s="18"/>
      <c r="E756" s="18"/>
    </row>
    <row r="757">
      <c r="C757" s="18"/>
      <c r="D757" s="18"/>
      <c r="E757" s="18"/>
    </row>
    <row r="758">
      <c r="C758" s="18"/>
      <c r="D758" s="18"/>
      <c r="E758" s="18"/>
    </row>
    <row r="759">
      <c r="C759" s="18"/>
      <c r="D759" s="18"/>
      <c r="E759" s="18"/>
    </row>
    <row r="760">
      <c r="C760" s="18"/>
      <c r="D760" s="18"/>
      <c r="E760" s="18"/>
    </row>
    <row r="761">
      <c r="C761" s="18"/>
      <c r="D761" s="18"/>
      <c r="E761" s="18"/>
    </row>
    <row r="762">
      <c r="C762" s="18"/>
      <c r="D762" s="18"/>
      <c r="E762" s="18"/>
    </row>
    <row r="763">
      <c r="C763" s="18"/>
      <c r="D763" s="18"/>
      <c r="E763" s="18"/>
    </row>
    <row r="764">
      <c r="C764" s="18"/>
      <c r="D764" s="18"/>
      <c r="E764" s="18"/>
    </row>
    <row r="765">
      <c r="C765" s="18"/>
      <c r="D765" s="18"/>
      <c r="E765" s="18"/>
    </row>
    <row r="766">
      <c r="C766" s="18"/>
      <c r="D766" s="18"/>
      <c r="E766" s="18"/>
    </row>
    <row r="767">
      <c r="C767" s="18"/>
      <c r="D767" s="18"/>
      <c r="E767" s="18"/>
    </row>
    <row r="768">
      <c r="C768" s="18"/>
      <c r="D768" s="18"/>
      <c r="E768" s="18"/>
    </row>
    <row r="769">
      <c r="C769" s="18"/>
      <c r="D769" s="18"/>
      <c r="E769" s="18"/>
    </row>
    <row r="770">
      <c r="C770" s="18"/>
      <c r="D770" s="18"/>
      <c r="E770" s="18"/>
    </row>
    <row r="771">
      <c r="C771" s="18"/>
      <c r="D771" s="18"/>
      <c r="E771" s="18"/>
    </row>
    <row r="772">
      <c r="C772" s="18"/>
      <c r="D772" s="18"/>
      <c r="E772" s="18"/>
    </row>
    <row r="773">
      <c r="C773" s="18"/>
      <c r="D773" s="18"/>
      <c r="E773" s="18"/>
    </row>
    <row r="774">
      <c r="C774" s="18"/>
      <c r="D774" s="18"/>
      <c r="E774" s="18"/>
    </row>
    <row r="775">
      <c r="C775" s="18"/>
      <c r="D775" s="18"/>
      <c r="E775" s="18"/>
    </row>
    <row r="776">
      <c r="C776" s="18"/>
      <c r="D776" s="18"/>
      <c r="E776" s="18"/>
    </row>
    <row r="777">
      <c r="C777" s="18"/>
      <c r="D777" s="18"/>
      <c r="E777" s="18"/>
    </row>
    <row r="778">
      <c r="C778" s="18"/>
      <c r="D778" s="18"/>
      <c r="E778" s="18"/>
    </row>
    <row r="779">
      <c r="C779" s="18"/>
      <c r="D779" s="18"/>
      <c r="E779" s="18"/>
    </row>
    <row r="780">
      <c r="C780" s="18"/>
      <c r="D780" s="18"/>
      <c r="E780" s="18"/>
    </row>
    <row r="781">
      <c r="C781" s="18"/>
      <c r="D781" s="18"/>
      <c r="E781" s="18"/>
    </row>
    <row r="782">
      <c r="C782" s="18"/>
      <c r="D782" s="18"/>
      <c r="E782" s="18"/>
    </row>
    <row r="783">
      <c r="C783" s="18"/>
      <c r="D783" s="18"/>
      <c r="E783" s="18"/>
    </row>
    <row r="784">
      <c r="C784" s="18"/>
      <c r="D784" s="18"/>
      <c r="E784" s="18"/>
    </row>
    <row r="785">
      <c r="C785" s="18"/>
      <c r="D785" s="18"/>
      <c r="E785" s="18"/>
    </row>
    <row r="786">
      <c r="C786" s="18"/>
      <c r="D786" s="18"/>
      <c r="E786" s="18"/>
    </row>
    <row r="787">
      <c r="C787" s="18"/>
      <c r="D787" s="18"/>
      <c r="E787" s="18"/>
    </row>
    <row r="788">
      <c r="C788" s="18"/>
      <c r="D788" s="18"/>
      <c r="E788" s="18"/>
    </row>
    <row r="789">
      <c r="C789" s="18"/>
      <c r="D789" s="18"/>
      <c r="E789" s="18"/>
    </row>
    <row r="790">
      <c r="C790" s="18"/>
      <c r="D790" s="18"/>
      <c r="E790" s="18"/>
    </row>
    <row r="791">
      <c r="C791" s="18"/>
      <c r="D791" s="18"/>
      <c r="E791" s="18"/>
    </row>
    <row r="792">
      <c r="C792" s="18"/>
      <c r="D792" s="18"/>
      <c r="E792" s="18"/>
    </row>
    <row r="793">
      <c r="C793" s="18"/>
      <c r="D793" s="18"/>
      <c r="E793" s="18"/>
    </row>
    <row r="794">
      <c r="C794" s="18"/>
      <c r="D794" s="18"/>
      <c r="E794" s="18"/>
    </row>
    <row r="795">
      <c r="C795" s="18"/>
      <c r="D795" s="18"/>
      <c r="E795" s="18"/>
    </row>
    <row r="796">
      <c r="C796" s="18"/>
      <c r="D796" s="18"/>
      <c r="E796" s="18"/>
    </row>
    <row r="797">
      <c r="C797" s="18"/>
      <c r="D797" s="18"/>
      <c r="E797" s="18"/>
    </row>
    <row r="798">
      <c r="C798" s="18"/>
      <c r="D798" s="18"/>
      <c r="E798" s="18"/>
    </row>
    <row r="799">
      <c r="C799" s="18"/>
      <c r="D799" s="18"/>
      <c r="E799" s="18"/>
    </row>
    <row r="800">
      <c r="C800" s="18"/>
      <c r="D800" s="18"/>
      <c r="E800" s="18"/>
    </row>
    <row r="801">
      <c r="C801" s="18"/>
      <c r="D801" s="18"/>
      <c r="E801" s="18"/>
    </row>
    <row r="802">
      <c r="C802" s="18"/>
      <c r="D802" s="18"/>
      <c r="E802" s="18"/>
    </row>
    <row r="803">
      <c r="C803" s="18"/>
      <c r="D803" s="18"/>
      <c r="E803" s="18"/>
    </row>
    <row r="804">
      <c r="C804" s="18"/>
      <c r="D804" s="18"/>
      <c r="E804" s="18"/>
    </row>
    <row r="805">
      <c r="C805" s="18"/>
      <c r="D805" s="18"/>
      <c r="E805" s="18"/>
    </row>
    <row r="806">
      <c r="C806" s="18"/>
      <c r="D806" s="18"/>
      <c r="E806" s="18"/>
    </row>
    <row r="807">
      <c r="C807" s="18"/>
      <c r="D807" s="18"/>
      <c r="E807" s="18"/>
    </row>
    <row r="808">
      <c r="C808" s="18"/>
      <c r="D808" s="18"/>
      <c r="E808" s="18"/>
    </row>
    <row r="809">
      <c r="C809" s="18"/>
      <c r="D809" s="18"/>
      <c r="E809" s="18"/>
    </row>
    <row r="810">
      <c r="C810" s="18"/>
      <c r="D810" s="18"/>
      <c r="E810" s="18"/>
    </row>
    <row r="811">
      <c r="C811" s="18"/>
      <c r="D811" s="18"/>
      <c r="E811" s="18"/>
    </row>
    <row r="812">
      <c r="C812" s="18"/>
      <c r="D812" s="18"/>
      <c r="E812" s="18"/>
    </row>
    <row r="813">
      <c r="C813" s="18"/>
      <c r="D813" s="18"/>
      <c r="E813" s="18"/>
    </row>
    <row r="814">
      <c r="C814" s="18"/>
      <c r="D814" s="18"/>
      <c r="E814" s="18"/>
    </row>
    <row r="815">
      <c r="C815" s="18"/>
      <c r="D815" s="18"/>
      <c r="E815" s="18"/>
    </row>
    <row r="816">
      <c r="C816" s="18"/>
      <c r="D816" s="18"/>
      <c r="E816" s="18"/>
    </row>
    <row r="817">
      <c r="C817" s="18"/>
      <c r="D817" s="18"/>
      <c r="E817" s="18"/>
    </row>
    <row r="818">
      <c r="C818" s="18"/>
      <c r="D818" s="18"/>
      <c r="E818" s="18"/>
    </row>
    <row r="819">
      <c r="C819" s="18"/>
      <c r="D819" s="18"/>
      <c r="E819" s="18"/>
    </row>
    <row r="820">
      <c r="C820" s="18"/>
      <c r="D820" s="18"/>
      <c r="E820" s="18"/>
    </row>
    <row r="821">
      <c r="C821" s="18"/>
      <c r="D821" s="18"/>
      <c r="E821" s="18"/>
    </row>
    <row r="822">
      <c r="C822" s="18"/>
      <c r="D822" s="18"/>
      <c r="E822" s="18"/>
    </row>
    <row r="823">
      <c r="C823" s="18"/>
      <c r="D823" s="18"/>
      <c r="E823" s="18"/>
    </row>
    <row r="824">
      <c r="C824" s="18"/>
      <c r="D824" s="18"/>
      <c r="E824" s="18"/>
    </row>
    <row r="825">
      <c r="C825" s="18"/>
      <c r="D825" s="18"/>
      <c r="E825" s="18"/>
    </row>
    <row r="826">
      <c r="C826" s="18"/>
      <c r="D826" s="18"/>
      <c r="E826" s="18"/>
    </row>
    <row r="827">
      <c r="C827" s="18"/>
      <c r="D827" s="18"/>
      <c r="E827" s="18"/>
    </row>
    <row r="828">
      <c r="C828" s="18"/>
      <c r="D828" s="18"/>
      <c r="E828" s="18"/>
    </row>
    <row r="829">
      <c r="C829" s="18"/>
      <c r="D829" s="18"/>
      <c r="E829" s="18"/>
    </row>
    <row r="830">
      <c r="C830" s="18"/>
      <c r="D830" s="18"/>
      <c r="E830" s="18"/>
    </row>
    <row r="831">
      <c r="C831" s="18"/>
      <c r="D831" s="18"/>
      <c r="E831" s="18"/>
    </row>
    <row r="832">
      <c r="C832" s="18"/>
      <c r="D832" s="18"/>
      <c r="E832" s="18"/>
    </row>
    <row r="833">
      <c r="C833" s="18"/>
      <c r="D833" s="18"/>
      <c r="E833" s="18"/>
    </row>
    <row r="834">
      <c r="C834" s="18"/>
      <c r="D834" s="18"/>
      <c r="E834" s="18"/>
    </row>
    <row r="835">
      <c r="C835" s="18"/>
      <c r="D835" s="18"/>
      <c r="E835" s="18"/>
    </row>
    <row r="836">
      <c r="C836" s="18"/>
      <c r="D836" s="18"/>
      <c r="E836" s="18"/>
    </row>
    <row r="837">
      <c r="C837" s="18"/>
      <c r="D837" s="18"/>
      <c r="E837" s="18"/>
    </row>
    <row r="838">
      <c r="C838" s="18"/>
      <c r="D838" s="18"/>
      <c r="E838" s="18"/>
    </row>
    <row r="839">
      <c r="C839" s="18"/>
      <c r="D839" s="18"/>
      <c r="E839" s="18"/>
    </row>
    <row r="840">
      <c r="C840" s="18"/>
      <c r="D840" s="18"/>
      <c r="E840" s="18"/>
    </row>
    <row r="841">
      <c r="C841" s="18"/>
      <c r="D841" s="18"/>
      <c r="E841" s="18"/>
    </row>
    <row r="842">
      <c r="C842" s="18"/>
      <c r="D842" s="18"/>
      <c r="E842" s="18"/>
    </row>
    <row r="843">
      <c r="C843" s="18"/>
      <c r="D843" s="18"/>
      <c r="E843" s="18"/>
    </row>
    <row r="844">
      <c r="C844" s="18"/>
      <c r="D844" s="18"/>
      <c r="E844" s="18"/>
    </row>
    <row r="845">
      <c r="C845" s="18"/>
      <c r="D845" s="18"/>
      <c r="E845" s="18"/>
    </row>
    <row r="846">
      <c r="C846" s="18"/>
      <c r="D846" s="18"/>
      <c r="E846" s="18"/>
    </row>
    <row r="847">
      <c r="C847" s="18"/>
      <c r="D847" s="18"/>
      <c r="E847" s="18"/>
    </row>
    <row r="848">
      <c r="C848" s="18"/>
      <c r="D848" s="18"/>
      <c r="E848" s="18"/>
    </row>
    <row r="849">
      <c r="C849" s="18"/>
      <c r="D849" s="18"/>
      <c r="E849" s="18"/>
    </row>
    <row r="850">
      <c r="C850" s="18"/>
      <c r="D850" s="18"/>
      <c r="E850" s="18"/>
    </row>
    <row r="851">
      <c r="C851" s="18"/>
      <c r="D851" s="18"/>
      <c r="E851" s="18"/>
    </row>
    <row r="852">
      <c r="C852" s="18"/>
      <c r="D852" s="18"/>
      <c r="E852" s="18"/>
    </row>
    <row r="853">
      <c r="C853" s="18"/>
      <c r="D853" s="18"/>
      <c r="E853" s="18"/>
    </row>
    <row r="854">
      <c r="C854" s="18"/>
      <c r="D854" s="18"/>
      <c r="E854" s="18"/>
    </row>
    <row r="855">
      <c r="C855" s="18"/>
      <c r="D855" s="18"/>
      <c r="E855" s="18"/>
    </row>
    <row r="856">
      <c r="C856" s="18"/>
      <c r="D856" s="18"/>
      <c r="E856" s="18"/>
    </row>
    <row r="857">
      <c r="C857" s="18"/>
      <c r="D857" s="18"/>
      <c r="E857" s="18"/>
    </row>
    <row r="858">
      <c r="C858" s="18"/>
      <c r="D858" s="18"/>
      <c r="E858" s="18"/>
    </row>
    <row r="859">
      <c r="C859" s="18"/>
      <c r="D859" s="18"/>
      <c r="E859" s="18"/>
    </row>
    <row r="860">
      <c r="C860" s="18"/>
      <c r="D860" s="18"/>
      <c r="E860" s="18"/>
    </row>
    <row r="861">
      <c r="C861" s="18"/>
      <c r="D861" s="18"/>
      <c r="E861" s="18"/>
    </row>
    <row r="862">
      <c r="C862" s="18"/>
      <c r="D862" s="18"/>
      <c r="E862" s="18"/>
    </row>
    <row r="863">
      <c r="C863" s="18"/>
      <c r="D863" s="18"/>
      <c r="E863" s="18"/>
    </row>
    <row r="864">
      <c r="C864" s="18"/>
      <c r="D864" s="18"/>
      <c r="E864" s="18"/>
    </row>
    <row r="865">
      <c r="C865" s="18"/>
      <c r="D865" s="18"/>
      <c r="E865" s="18"/>
    </row>
    <row r="866">
      <c r="C866" s="18"/>
      <c r="D866" s="18"/>
      <c r="E866" s="18"/>
    </row>
    <row r="867">
      <c r="C867" s="18"/>
      <c r="D867" s="18"/>
      <c r="E867" s="18"/>
    </row>
    <row r="868">
      <c r="C868" s="18"/>
      <c r="D868" s="18"/>
      <c r="E868" s="18"/>
    </row>
    <row r="869">
      <c r="C869" s="18"/>
      <c r="D869" s="18"/>
      <c r="E869" s="18"/>
    </row>
    <row r="870">
      <c r="C870" s="18"/>
      <c r="D870" s="18"/>
      <c r="E870" s="18"/>
    </row>
    <row r="871">
      <c r="C871" s="18"/>
      <c r="D871" s="18"/>
      <c r="E871" s="18"/>
    </row>
    <row r="872">
      <c r="C872" s="18"/>
      <c r="D872" s="18"/>
      <c r="E872" s="18"/>
    </row>
    <row r="873">
      <c r="C873" s="18"/>
      <c r="D873" s="18"/>
      <c r="E873" s="18"/>
    </row>
    <row r="874">
      <c r="C874" s="18"/>
      <c r="D874" s="18"/>
      <c r="E874" s="18"/>
    </row>
    <row r="875">
      <c r="C875" s="18"/>
      <c r="D875" s="18"/>
      <c r="E875" s="18"/>
    </row>
    <row r="876">
      <c r="C876" s="18"/>
      <c r="D876" s="18"/>
      <c r="E876" s="18"/>
    </row>
    <row r="877">
      <c r="C877" s="18"/>
      <c r="D877" s="18"/>
      <c r="E877" s="18"/>
    </row>
    <row r="878">
      <c r="C878" s="18"/>
      <c r="D878" s="18"/>
      <c r="E878" s="18"/>
    </row>
    <row r="879">
      <c r="C879" s="18"/>
      <c r="D879" s="18"/>
      <c r="E879" s="18"/>
    </row>
    <row r="880">
      <c r="C880" s="18"/>
      <c r="D880" s="18"/>
      <c r="E880" s="18"/>
    </row>
    <row r="881">
      <c r="C881" s="18"/>
      <c r="D881" s="18"/>
      <c r="E881" s="18"/>
    </row>
    <row r="882">
      <c r="C882" s="18"/>
      <c r="D882" s="18"/>
      <c r="E882" s="18"/>
    </row>
    <row r="883">
      <c r="C883" s="18"/>
      <c r="D883" s="18"/>
      <c r="E883" s="18"/>
    </row>
    <row r="884">
      <c r="C884" s="18"/>
      <c r="D884" s="18"/>
      <c r="E884" s="18"/>
    </row>
    <row r="885">
      <c r="C885" s="18"/>
      <c r="D885" s="18"/>
      <c r="E885" s="18"/>
    </row>
    <row r="886">
      <c r="C886" s="18"/>
      <c r="D886" s="18"/>
      <c r="E886" s="18"/>
    </row>
    <row r="887">
      <c r="C887" s="18"/>
      <c r="D887" s="18"/>
      <c r="E887" s="18"/>
    </row>
    <row r="888">
      <c r="C888" s="18"/>
      <c r="D888" s="18"/>
      <c r="E888" s="18"/>
    </row>
    <row r="889">
      <c r="C889" s="18"/>
      <c r="D889" s="18"/>
      <c r="E889" s="18"/>
    </row>
    <row r="890">
      <c r="C890" s="18"/>
      <c r="D890" s="18"/>
      <c r="E890" s="18"/>
    </row>
    <row r="891">
      <c r="C891" s="18"/>
      <c r="D891" s="18"/>
      <c r="E891" s="18"/>
    </row>
    <row r="892">
      <c r="C892" s="18"/>
      <c r="D892" s="18"/>
      <c r="E892" s="18"/>
    </row>
    <row r="893">
      <c r="C893" s="18"/>
      <c r="D893" s="18"/>
      <c r="E893" s="18"/>
    </row>
    <row r="894">
      <c r="C894" s="18"/>
      <c r="D894" s="18"/>
      <c r="E894" s="18"/>
    </row>
    <row r="895">
      <c r="C895" s="18"/>
      <c r="D895" s="18"/>
      <c r="E895" s="18"/>
    </row>
    <row r="896">
      <c r="C896" s="18"/>
      <c r="D896" s="18"/>
      <c r="E896" s="18"/>
    </row>
    <row r="897">
      <c r="C897" s="18"/>
      <c r="D897" s="18"/>
      <c r="E897" s="18"/>
    </row>
    <row r="898">
      <c r="C898" s="18"/>
      <c r="D898" s="18"/>
      <c r="E898" s="18"/>
    </row>
    <row r="899">
      <c r="C899" s="18"/>
      <c r="D899" s="18"/>
      <c r="E899" s="18"/>
    </row>
    <row r="900">
      <c r="C900" s="18"/>
      <c r="D900" s="18"/>
      <c r="E900" s="18"/>
    </row>
    <row r="901">
      <c r="C901" s="18"/>
      <c r="D901" s="18"/>
      <c r="E901" s="18"/>
    </row>
    <row r="902">
      <c r="C902" s="18"/>
      <c r="D902" s="18"/>
      <c r="E902" s="18"/>
    </row>
    <row r="903">
      <c r="C903" s="18"/>
      <c r="D903" s="18"/>
      <c r="E903" s="18"/>
    </row>
    <row r="904">
      <c r="C904" s="18"/>
      <c r="D904" s="18"/>
      <c r="E904" s="18"/>
    </row>
    <row r="905">
      <c r="C905" s="18"/>
      <c r="D905" s="18"/>
      <c r="E905" s="18"/>
    </row>
    <row r="906">
      <c r="C906" s="18"/>
      <c r="D906" s="18"/>
      <c r="E906" s="18"/>
    </row>
    <row r="907">
      <c r="C907" s="18"/>
      <c r="D907" s="18"/>
      <c r="E907" s="18"/>
    </row>
    <row r="908">
      <c r="C908" s="18"/>
      <c r="D908" s="18"/>
      <c r="E908" s="18"/>
    </row>
    <row r="909">
      <c r="C909" s="18"/>
      <c r="D909" s="18"/>
      <c r="E909" s="18"/>
    </row>
    <row r="910">
      <c r="C910" s="18"/>
      <c r="D910" s="18"/>
      <c r="E910" s="18"/>
    </row>
    <row r="911">
      <c r="C911" s="18"/>
      <c r="D911" s="18"/>
      <c r="E911" s="18"/>
    </row>
    <row r="912">
      <c r="C912" s="18"/>
      <c r="D912" s="18"/>
      <c r="E912" s="18"/>
    </row>
    <row r="913">
      <c r="C913" s="18"/>
      <c r="D913" s="18"/>
      <c r="E913" s="18"/>
    </row>
    <row r="914">
      <c r="C914" s="18"/>
      <c r="D914" s="18"/>
      <c r="E914" s="18"/>
    </row>
    <row r="915">
      <c r="C915" s="18"/>
      <c r="D915" s="18"/>
      <c r="E915" s="18"/>
    </row>
    <row r="916">
      <c r="C916" s="18"/>
      <c r="D916" s="18"/>
      <c r="E916" s="18"/>
    </row>
    <row r="917">
      <c r="C917" s="18"/>
      <c r="D917" s="18"/>
      <c r="E917" s="18"/>
    </row>
    <row r="918">
      <c r="C918" s="18"/>
      <c r="D918" s="18"/>
      <c r="E918" s="18"/>
    </row>
    <row r="919">
      <c r="C919" s="18"/>
      <c r="D919" s="18"/>
      <c r="E919" s="18"/>
    </row>
    <row r="920">
      <c r="C920" s="18"/>
      <c r="D920" s="18"/>
      <c r="E920" s="18"/>
    </row>
    <row r="921">
      <c r="C921" s="18"/>
      <c r="D921" s="18"/>
      <c r="E921" s="18"/>
    </row>
    <row r="922">
      <c r="C922" s="18"/>
      <c r="D922" s="18"/>
      <c r="E922" s="18"/>
    </row>
    <row r="923">
      <c r="C923" s="18"/>
      <c r="D923" s="18"/>
      <c r="E923" s="18"/>
    </row>
    <row r="924">
      <c r="C924" s="18"/>
      <c r="D924" s="18"/>
      <c r="E924" s="18"/>
    </row>
    <row r="925">
      <c r="C925" s="18"/>
      <c r="D925" s="18"/>
      <c r="E925" s="18"/>
    </row>
    <row r="926">
      <c r="C926" s="18"/>
      <c r="D926" s="18"/>
      <c r="E926" s="18"/>
    </row>
    <row r="927">
      <c r="C927" s="18"/>
      <c r="D927" s="18"/>
      <c r="E927" s="18"/>
    </row>
    <row r="928">
      <c r="C928" s="18"/>
      <c r="D928" s="18"/>
      <c r="E928" s="18"/>
    </row>
    <row r="929">
      <c r="C929" s="18"/>
      <c r="D929" s="18"/>
      <c r="E929" s="18"/>
    </row>
    <row r="930">
      <c r="C930" s="18"/>
      <c r="D930" s="18"/>
      <c r="E930" s="18"/>
    </row>
    <row r="931">
      <c r="C931" s="18"/>
      <c r="D931" s="18"/>
      <c r="E931" s="18"/>
    </row>
    <row r="932">
      <c r="C932" s="18"/>
      <c r="D932" s="18"/>
      <c r="E932" s="18"/>
    </row>
    <row r="933">
      <c r="C933" s="18"/>
      <c r="D933" s="18"/>
      <c r="E933" s="18"/>
    </row>
    <row r="934">
      <c r="C934" s="18"/>
      <c r="D934" s="18"/>
      <c r="E934" s="18"/>
    </row>
    <row r="935">
      <c r="C935" s="18"/>
      <c r="D935" s="18"/>
      <c r="E935" s="18"/>
    </row>
    <row r="936">
      <c r="C936" s="18"/>
      <c r="D936" s="18"/>
      <c r="E936" s="18"/>
    </row>
    <row r="937">
      <c r="C937" s="18"/>
      <c r="D937" s="18"/>
      <c r="E937" s="18"/>
    </row>
    <row r="938">
      <c r="C938" s="18"/>
      <c r="D938" s="18"/>
      <c r="E938" s="18"/>
    </row>
    <row r="939">
      <c r="C939" s="18"/>
      <c r="D939" s="18"/>
      <c r="E939" s="18"/>
    </row>
    <row r="940">
      <c r="C940" s="18"/>
      <c r="D940" s="18"/>
      <c r="E940" s="18"/>
    </row>
    <row r="941">
      <c r="C941" s="18"/>
      <c r="D941" s="18"/>
      <c r="E941" s="18"/>
    </row>
    <row r="942">
      <c r="C942" s="18"/>
      <c r="D942" s="18"/>
      <c r="E942" s="18"/>
    </row>
    <row r="943">
      <c r="C943" s="18"/>
      <c r="D943" s="18"/>
      <c r="E943" s="18"/>
    </row>
    <row r="944">
      <c r="C944" s="18"/>
      <c r="D944" s="18"/>
      <c r="E944" s="18"/>
    </row>
    <row r="945">
      <c r="C945" s="18"/>
      <c r="D945" s="18"/>
      <c r="E945" s="18"/>
    </row>
    <row r="946">
      <c r="C946" s="18"/>
      <c r="D946" s="18"/>
      <c r="E946" s="18"/>
    </row>
    <row r="947">
      <c r="C947" s="18"/>
      <c r="D947" s="18"/>
      <c r="E947" s="18"/>
    </row>
    <row r="948">
      <c r="C948" s="18"/>
      <c r="D948" s="18"/>
      <c r="E948" s="18"/>
    </row>
    <row r="949">
      <c r="C949" s="18"/>
      <c r="D949" s="18"/>
      <c r="E949" s="18"/>
    </row>
    <row r="950">
      <c r="C950" s="18"/>
      <c r="D950" s="18"/>
      <c r="E950" s="18"/>
    </row>
    <row r="951">
      <c r="C951" s="18"/>
      <c r="D951" s="18"/>
      <c r="E951" s="18"/>
    </row>
    <row r="952">
      <c r="C952" s="18"/>
      <c r="D952" s="18"/>
      <c r="E952" s="18"/>
    </row>
    <row r="953">
      <c r="C953" s="18"/>
      <c r="D953" s="18"/>
      <c r="E953" s="18"/>
    </row>
    <row r="954">
      <c r="C954" s="18"/>
      <c r="D954" s="18"/>
      <c r="E954" s="18"/>
    </row>
    <row r="955">
      <c r="C955" s="18"/>
      <c r="D955" s="18"/>
      <c r="E955" s="18"/>
    </row>
    <row r="956">
      <c r="C956" s="18"/>
      <c r="D956" s="18"/>
      <c r="E956" s="18"/>
    </row>
    <row r="957">
      <c r="C957" s="18"/>
      <c r="D957" s="18"/>
      <c r="E957" s="18"/>
    </row>
    <row r="958">
      <c r="C958" s="18"/>
      <c r="D958" s="18"/>
      <c r="E958" s="18"/>
    </row>
    <row r="959">
      <c r="C959" s="18"/>
      <c r="D959" s="18"/>
      <c r="E959" s="18"/>
    </row>
    <row r="960">
      <c r="C960" s="18"/>
      <c r="D960" s="18"/>
      <c r="E960" s="18"/>
    </row>
    <row r="961">
      <c r="C961" s="18"/>
      <c r="D961" s="18"/>
      <c r="E961" s="18"/>
    </row>
    <row r="962">
      <c r="C962" s="18"/>
      <c r="D962" s="18"/>
      <c r="E962" s="18"/>
    </row>
    <row r="963">
      <c r="C963" s="18"/>
      <c r="D963" s="18"/>
      <c r="E963" s="18"/>
    </row>
    <row r="964">
      <c r="C964" s="18"/>
      <c r="D964" s="18"/>
      <c r="E964" s="18"/>
    </row>
    <row r="965">
      <c r="C965" s="18"/>
      <c r="D965" s="18"/>
      <c r="E965" s="18"/>
    </row>
    <row r="966">
      <c r="C966" s="18"/>
      <c r="D966" s="18"/>
      <c r="E966" s="18"/>
    </row>
    <row r="967">
      <c r="C967" s="18"/>
      <c r="D967" s="18"/>
      <c r="E967" s="18"/>
    </row>
    <row r="968">
      <c r="C968" s="18"/>
      <c r="D968" s="18"/>
      <c r="E968" s="18"/>
    </row>
    <row r="969">
      <c r="C969" s="18"/>
      <c r="D969" s="18"/>
      <c r="E969" s="18"/>
    </row>
    <row r="970">
      <c r="C970" s="18"/>
      <c r="D970" s="18"/>
      <c r="E970" s="18"/>
    </row>
    <row r="971">
      <c r="C971" s="18"/>
      <c r="D971" s="18"/>
      <c r="E971" s="18"/>
    </row>
    <row r="972">
      <c r="C972" s="18"/>
      <c r="D972" s="18"/>
      <c r="E972" s="18"/>
    </row>
    <row r="973">
      <c r="C973" s="18"/>
      <c r="D973" s="18"/>
      <c r="E973" s="18"/>
    </row>
    <row r="974">
      <c r="C974" s="18"/>
      <c r="D974" s="18"/>
      <c r="E974" s="18"/>
    </row>
    <row r="975">
      <c r="C975" s="18"/>
      <c r="D975" s="18"/>
      <c r="E975" s="18"/>
    </row>
    <row r="976">
      <c r="C976" s="18"/>
      <c r="D976" s="18"/>
      <c r="E976" s="18"/>
    </row>
    <row r="977">
      <c r="C977" s="18"/>
      <c r="D977" s="18"/>
      <c r="E977" s="18"/>
    </row>
    <row r="978">
      <c r="C978" s="18"/>
      <c r="D978" s="18"/>
      <c r="E978" s="18"/>
    </row>
    <row r="979">
      <c r="C979" s="18"/>
      <c r="D979" s="18"/>
      <c r="E979" s="18"/>
    </row>
    <row r="980">
      <c r="C980" s="18"/>
      <c r="D980" s="18"/>
      <c r="E980" s="18"/>
    </row>
    <row r="981">
      <c r="C981" s="18"/>
      <c r="D981" s="18"/>
      <c r="E981" s="18"/>
    </row>
    <row r="982">
      <c r="C982" s="18"/>
      <c r="D982" s="18"/>
      <c r="E982" s="18"/>
    </row>
    <row r="983">
      <c r="C983" s="18"/>
      <c r="D983" s="18"/>
      <c r="E983" s="18"/>
    </row>
    <row r="984">
      <c r="C984" s="18"/>
      <c r="D984" s="18"/>
      <c r="E984" s="18"/>
    </row>
    <row r="985">
      <c r="C985" s="18"/>
      <c r="D985" s="18"/>
      <c r="E985" s="18"/>
    </row>
    <row r="986">
      <c r="C986" s="18"/>
      <c r="D986" s="18"/>
      <c r="E986" s="18"/>
    </row>
    <row r="987">
      <c r="C987" s="18"/>
      <c r="D987" s="18"/>
      <c r="E987" s="18"/>
    </row>
    <row r="988">
      <c r="C988" s="18"/>
      <c r="D988" s="18"/>
      <c r="E988" s="18"/>
    </row>
    <row r="989">
      <c r="C989" s="18"/>
      <c r="D989" s="18"/>
      <c r="E989" s="18"/>
    </row>
    <row r="990">
      <c r="C990" s="18"/>
      <c r="D990" s="18"/>
      <c r="E990" s="18"/>
    </row>
    <row r="991">
      <c r="C991" s="18"/>
      <c r="D991" s="18"/>
      <c r="E991" s="18"/>
    </row>
    <row r="992">
      <c r="C992" s="18"/>
      <c r="D992" s="18"/>
      <c r="E992" s="18"/>
    </row>
    <row r="993">
      <c r="C993" s="18"/>
      <c r="D993" s="18"/>
      <c r="E993" s="18"/>
    </row>
    <row r="994">
      <c r="C994" s="18"/>
      <c r="D994" s="18"/>
      <c r="E994" s="18"/>
    </row>
    <row r="995">
      <c r="C995" s="18"/>
      <c r="D995" s="18"/>
      <c r="E995" s="18"/>
    </row>
    <row r="996">
      <c r="C996" s="18"/>
      <c r="D996" s="18"/>
      <c r="E996" s="18"/>
    </row>
    <row r="997">
      <c r="C997" s="18"/>
      <c r="D997" s="18"/>
      <c r="E997" s="18"/>
    </row>
    <row r="998">
      <c r="C998" s="18"/>
      <c r="D998" s="18"/>
      <c r="E998" s="18"/>
    </row>
    <row r="999">
      <c r="C999" s="18"/>
      <c r="D999" s="18"/>
      <c r="E999" s="18"/>
    </row>
    <row r="1000">
      <c r="C1000" s="18"/>
      <c r="D1000" s="18"/>
      <c r="E1000" s="18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>
      <c r="B4" s="18"/>
      <c r="C4" s="18"/>
      <c r="D4" s="18"/>
    </row>
    <row r="5">
      <c r="B5" s="18"/>
      <c r="C5" s="18"/>
      <c r="D5" s="18"/>
    </row>
    <row r="6">
      <c r="B6" s="18"/>
      <c r="C6" s="18"/>
      <c r="D6" s="18"/>
    </row>
    <row r="7">
      <c r="B7" s="18"/>
      <c r="C7" s="18"/>
      <c r="D7" s="18"/>
    </row>
    <row r="8">
      <c r="B8" s="18"/>
      <c r="C8" s="18"/>
      <c r="D8" s="18"/>
    </row>
    <row r="9">
      <c r="B9" s="18"/>
      <c r="C9" s="18"/>
      <c r="D9" s="18"/>
    </row>
    <row r="10">
      <c r="B10" s="18"/>
      <c r="C10" s="18"/>
      <c r="D10" s="18"/>
    </row>
    <row r="11">
      <c r="B11" s="18"/>
      <c r="C11" s="18"/>
      <c r="D11" s="18"/>
    </row>
    <row r="12">
      <c r="B12" s="18"/>
      <c r="C12" s="18"/>
      <c r="D12" s="18"/>
    </row>
    <row r="13">
      <c r="B13" s="18"/>
      <c r="C13" s="18"/>
      <c r="D13" s="18"/>
    </row>
    <row r="14">
      <c r="B14" s="18"/>
      <c r="C14" s="18"/>
      <c r="D14" s="18"/>
    </row>
    <row r="15">
      <c r="B15" s="18"/>
      <c r="C15" s="18"/>
      <c r="D15" s="18"/>
    </row>
    <row r="16">
      <c r="B16" s="18"/>
      <c r="C16" s="18"/>
      <c r="D16" s="18"/>
    </row>
    <row r="17">
      <c r="B17" s="18"/>
      <c r="C17" s="18"/>
      <c r="D17" s="18"/>
    </row>
    <row r="18">
      <c r="B18" s="18"/>
      <c r="C18" s="18"/>
      <c r="D18" s="18"/>
    </row>
    <row r="19">
      <c r="B19" s="18"/>
      <c r="C19" s="18"/>
      <c r="D19" s="18"/>
    </row>
    <row r="20">
      <c r="B20" s="18"/>
      <c r="C20" s="18"/>
      <c r="D20" s="18"/>
    </row>
    <row r="21">
      <c r="B21" s="18"/>
      <c r="C21" s="18"/>
      <c r="D21" s="18"/>
    </row>
    <row r="22">
      <c r="B22" s="18"/>
      <c r="C22" s="18"/>
      <c r="D22" s="18"/>
    </row>
    <row r="23">
      <c r="B23" s="18"/>
      <c r="C23" s="18"/>
      <c r="D23" s="18"/>
    </row>
    <row r="24">
      <c r="B24" s="18"/>
      <c r="C24" s="18"/>
      <c r="D24" s="18"/>
    </row>
    <row r="25">
      <c r="B25" s="18"/>
      <c r="C25" s="18"/>
      <c r="D25" s="18"/>
    </row>
    <row r="26">
      <c r="B26" s="18"/>
      <c r="C26" s="18"/>
      <c r="D26" s="18"/>
    </row>
    <row r="27">
      <c r="B27" s="18"/>
      <c r="C27" s="18"/>
      <c r="D27" s="18"/>
    </row>
    <row r="28">
      <c r="B28" s="18"/>
      <c r="C28" s="18"/>
      <c r="D28" s="18"/>
    </row>
    <row r="29">
      <c r="B29" s="18"/>
      <c r="C29" s="18"/>
      <c r="D29" s="18"/>
    </row>
    <row r="30">
      <c r="B30" s="18"/>
      <c r="C30" s="18"/>
      <c r="D30" s="18"/>
    </row>
    <row r="31">
      <c r="B31" s="18"/>
      <c r="C31" s="18"/>
      <c r="D31" s="18"/>
    </row>
    <row r="32">
      <c r="B32" s="18"/>
      <c r="C32" s="18"/>
      <c r="D32" s="18"/>
    </row>
    <row r="33">
      <c r="B33" s="18"/>
      <c r="C33" s="18"/>
      <c r="D33" s="18"/>
    </row>
    <row r="34">
      <c r="B34" s="18"/>
      <c r="C34" s="18"/>
      <c r="D34" s="18"/>
    </row>
    <row r="35">
      <c r="B35" s="18"/>
      <c r="C35" s="18"/>
      <c r="D35" s="18"/>
    </row>
    <row r="36">
      <c r="B36" s="18"/>
      <c r="C36" s="18"/>
      <c r="D36" s="18"/>
    </row>
    <row r="37">
      <c r="B37" s="18"/>
      <c r="C37" s="18"/>
      <c r="D37" s="18"/>
    </row>
    <row r="38">
      <c r="B38" s="18"/>
      <c r="C38" s="18"/>
      <c r="D38" s="18"/>
    </row>
    <row r="39">
      <c r="B39" s="18"/>
      <c r="C39" s="18"/>
      <c r="D39" s="18"/>
    </row>
    <row r="40">
      <c r="B40" s="18"/>
      <c r="C40" s="18"/>
      <c r="D40" s="18"/>
    </row>
    <row r="41">
      <c r="B41" s="18"/>
      <c r="C41" s="18"/>
      <c r="D41" s="18"/>
    </row>
    <row r="42">
      <c r="B42" s="18"/>
      <c r="C42" s="18"/>
      <c r="D42" s="18"/>
    </row>
    <row r="43">
      <c r="B43" s="18"/>
      <c r="C43" s="18"/>
      <c r="D43" s="18"/>
    </row>
    <row r="44">
      <c r="B44" s="18"/>
      <c r="C44" s="18"/>
      <c r="D44" s="18"/>
    </row>
    <row r="45">
      <c r="B45" s="18"/>
      <c r="C45" s="18"/>
      <c r="D45" s="18"/>
    </row>
    <row r="46">
      <c r="B46" s="18"/>
      <c r="C46" s="18"/>
      <c r="D46" s="18"/>
    </row>
    <row r="47">
      <c r="B47" s="18"/>
      <c r="C47" s="18"/>
      <c r="D47" s="18"/>
    </row>
    <row r="48">
      <c r="B48" s="18"/>
      <c r="C48" s="18"/>
      <c r="D48" s="18"/>
    </row>
    <row r="49">
      <c r="B49" s="18"/>
      <c r="C49" s="18"/>
      <c r="D49" s="18"/>
    </row>
    <row r="50">
      <c r="B50" s="18"/>
      <c r="C50" s="18"/>
      <c r="D50" s="18"/>
    </row>
    <row r="51">
      <c r="B51" s="18"/>
      <c r="C51" s="18"/>
      <c r="D51" s="18"/>
    </row>
    <row r="52">
      <c r="B52" s="18"/>
      <c r="C52" s="18"/>
      <c r="D52" s="18"/>
    </row>
    <row r="53">
      <c r="B53" s="18"/>
      <c r="C53" s="18"/>
      <c r="D53" s="18"/>
    </row>
    <row r="54">
      <c r="B54" s="18"/>
      <c r="C54" s="18"/>
      <c r="D54" s="18"/>
    </row>
    <row r="55">
      <c r="B55" s="18"/>
      <c r="C55" s="18"/>
      <c r="D55" s="18"/>
    </row>
    <row r="56">
      <c r="B56" s="18"/>
      <c r="C56" s="18"/>
      <c r="D56" s="18"/>
    </row>
    <row r="57">
      <c r="B57" s="18"/>
      <c r="C57" s="18"/>
      <c r="D57" s="18"/>
    </row>
    <row r="58">
      <c r="B58" s="18"/>
      <c r="C58" s="18"/>
      <c r="D58" s="18"/>
    </row>
    <row r="59">
      <c r="B59" s="18"/>
      <c r="C59" s="18"/>
      <c r="D59" s="18"/>
    </row>
    <row r="60">
      <c r="B60" s="18"/>
      <c r="C60" s="18"/>
      <c r="D60" s="18"/>
    </row>
    <row r="61">
      <c r="B61" s="18"/>
      <c r="C61" s="18"/>
      <c r="D61" s="18"/>
    </row>
    <row r="62">
      <c r="B62" s="18"/>
      <c r="C62" s="18"/>
      <c r="D62" s="18"/>
    </row>
    <row r="63">
      <c r="B63" s="18"/>
      <c r="C63" s="18"/>
      <c r="D63" s="18"/>
    </row>
    <row r="64">
      <c r="B64" s="18"/>
      <c r="C64" s="18"/>
      <c r="D64" s="18"/>
    </row>
    <row r="65">
      <c r="B65" s="18"/>
      <c r="C65" s="18"/>
      <c r="D65" s="18"/>
    </row>
    <row r="66">
      <c r="B66" s="18"/>
      <c r="C66" s="18"/>
      <c r="D66" s="18"/>
    </row>
    <row r="67">
      <c r="B67" s="18"/>
      <c r="C67" s="18"/>
      <c r="D67" s="18"/>
    </row>
    <row r="68">
      <c r="B68" s="18"/>
      <c r="C68" s="18"/>
      <c r="D68" s="18"/>
    </row>
    <row r="69">
      <c r="B69" s="18"/>
      <c r="C69" s="18"/>
      <c r="D69" s="18"/>
    </row>
    <row r="70">
      <c r="B70" s="18"/>
      <c r="C70" s="18"/>
      <c r="D70" s="18"/>
    </row>
    <row r="71">
      <c r="B71" s="18"/>
      <c r="C71" s="18"/>
      <c r="D71" s="18"/>
    </row>
    <row r="72">
      <c r="B72" s="18"/>
      <c r="C72" s="18"/>
      <c r="D72" s="18"/>
    </row>
    <row r="73">
      <c r="B73" s="18"/>
      <c r="C73" s="18"/>
      <c r="D73" s="18"/>
    </row>
    <row r="74">
      <c r="B74" s="18"/>
      <c r="C74" s="18"/>
      <c r="D74" s="18"/>
    </row>
    <row r="75">
      <c r="B75" s="18"/>
      <c r="C75" s="18"/>
      <c r="D75" s="18"/>
    </row>
    <row r="76">
      <c r="B76" s="18"/>
      <c r="C76" s="18"/>
      <c r="D76" s="18"/>
    </row>
    <row r="77">
      <c r="B77" s="18"/>
      <c r="C77" s="18"/>
      <c r="D77" s="18"/>
    </row>
    <row r="78">
      <c r="B78" s="18"/>
      <c r="C78" s="18"/>
      <c r="D78" s="18"/>
    </row>
    <row r="79">
      <c r="B79" s="18"/>
      <c r="C79" s="18"/>
      <c r="D79" s="18"/>
    </row>
    <row r="80">
      <c r="B80" s="18"/>
      <c r="C80" s="18"/>
      <c r="D80" s="18"/>
    </row>
    <row r="81">
      <c r="B81" s="18"/>
      <c r="C81" s="18"/>
      <c r="D81" s="18"/>
    </row>
    <row r="82">
      <c r="B82" s="18"/>
      <c r="C82" s="18"/>
      <c r="D82" s="18"/>
    </row>
    <row r="83">
      <c r="B83" s="18"/>
      <c r="C83" s="18"/>
      <c r="D83" s="18"/>
    </row>
    <row r="84">
      <c r="B84" s="18"/>
      <c r="C84" s="18"/>
      <c r="D84" s="18"/>
    </row>
    <row r="85">
      <c r="B85" s="18"/>
      <c r="C85" s="18"/>
      <c r="D85" s="18"/>
    </row>
    <row r="86">
      <c r="B86" s="18"/>
      <c r="C86" s="18"/>
      <c r="D86" s="18"/>
    </row>
    <row r="87">
      <c r="B87" s="18"/>
      <c r="C87" s="18"/>
      <c r="D87" s="18"/>
    </row>
    <row r="88">
      <c r="B88" s="18"/>
      <c r="C88" s="18"/>
      <c r="D88" s="18"/>
    </row>
    <row r="89">
      <c r="B89" s="18"/>
      <c r="C89" s="18"/>
      <c r="D89" s="18"/>
    </row>
    <row r="90">
      <c r="B90" s="18"/>
      <c r="C90" s="18"/>
      <c r="D90" s="18"/>
    </row>
    <row r="91">
      <c r="B91" s="18"/>
      <c r="C91" s="18"/>
      <c r="D91" s="18"/>
    </row>
    <row r="92">
      <c r="B92" s="18"/>
      <c r="C92" s="18"/>
      <c r="D92" s="18"/>
    </row>
    <row r="93">
      <c r="B93" s="18"/>
      <c r="C93" s="18"/>
      <c r="D93" s="18"/>
    </row>
    <row r="94">
      <c r="B94" s="18"/>
      <c r="C94" s="18"/>
      <c r="D94" s="18"/>
    </row>
    <row r="95">
      <c r="B95" s="18"/>
      <c r="C95" s="18"/>
      <c r="D95" s="18"/>
    </row>
    <row r="96">
      <c r="B96" s="18"/>
      <c r="C96" s="18"/>
      <c r="D96" s="18"/>
    </row>
    <row r="97">
      <c r="B97" s="18"/>
      <c r="C97" s="18"/>
      <c r="D97" s="18"/>
    </row>
    <row r="98">
      <c r="B98" s="18"/>
      <c r="C98" s="18"/>
      <c r="D98" s="18"/>
    </row>
    <row r="99">
      <c r="B99" s="18"/>
      <c r="C99" s="18"/>
      <c r="D99" s="18"/>
    </row>
    <row r="100">
      <c r="B100" s="18"/>
      <c r="C100" s="18"/>
      <c r="D100" s="18"/>
    </row>
    <row r="101">
      <c r="B101" s="18"/>
      <c r="C101" s="18"/>
      <c r="D101" s="18"/>
    </row>
    <row r="102">
      <c r="B102" s="18"/>
      <c r="C102" s="18"/>
      <c r="D102" s="18"/>
    </row>
    <row r="103">
      <c r="B103" s="18"/>
      <c r="C103" s="18"/>
      <c r="D103" s="18"/>
    </row>
    <row r="104">
      <c r="B104" s="18"/>
      <c r="C104" s="18"/>
      <c r="D104" s="18"/>
    </row>
    <row r="105">
      <c r="B105" s="18"/>
      <c r="C105" s="18"/>
      <c r="D105" s="18"/>
    </row>
    <row r="106">
      <c r="B106" s="18"/>
      <c r="C106" s="18"/>
      <c r="D106" s="18"/>
    </row>
    <row r="107">
      <c r="B107" s="18"/>
      <c r="C107" s="18"/>
      <c r="D107" s="18"/>
    </row>
    <row r="108">
      <c r="B108" s="18"/>
      <c r="C108" s="18"/>
      <c r="D108" s="18"/>
    </row>
    <row r="109">
      <c r="B109" s="18"/>
      <c r="C109" s="18"/>
      <c r="D109" s="18"/>
    </row>
    <row r="110">
      <c r="B110" s="18"/>
      <c r="C110" s="18"/>
      <c r="D110" s="18"/>
    </row>
    <row r="111">
      <c r="B111" s="18"/>
      <c r="C111" s="18"/>
      <c r="D111" s="18"/>
    </row>
    <row r="112">
      <c r="B112" s="18"/>
      <c r="C112" s="18"/>
      <c r="D112" s="18"/>
    </row>
    <row r="113">
      <c r="B113" s="18"/>
      <c r="C113" s="18"/>
      <c r="D113" s="18"/>
    </row>
    <row r="114">
      <c r="B114" s="18"/>
      <c r="C114" s="18"/>
      <c r="D114" s="18"/>
    </row>
    <row r="115">
      <c r="B115" s="18"/>
      <c r="C115" s="18"/>
      <c r="D115" s="18"/>
    </row>
    <row r="116">
      <c r="B116" s="18"/>
      <c r="C116" s="18"/>
      <c r="D116" s="18"/>
    </row>
    <row r="117">
      <c r="B117" s="18"/>
      <c r="C117" s="18"/>
      <c r="D117" s="18"/>
    </row>
    <row r="118">
      <c r="B118" s="18"/>
      <c r="C118" s="18"/>
      <c r="D118" s="18"/>
    </row>
    <row r="119">
      <c r="B119" s="18"/>
      <c r="C119" s="18"/>
      <c r="D119" s="18"/>
    </row>
    <row r="120">
      <c r="B120" s="18"/>
      <c r="C120" s="18"/>
      <c r="D120" s="18"/>
    </row>
    <row r="121">
      <c r="B121" s="18"/>
      <c r="C121" s="18"/>
      <c r="D121" s="18"/>
    </row>
    <row r="122">
      <c r="B122" s="18"/>
      <c r="C122" s="18"/>
      <c r="D122" s="18"/>
    </row>
    <row r="123">
      <c r="B123" s="18"/>
      <c r="C123" s="18"/>
      <c r="D123" s="18"/>
    </row>
    <row r="124">
      <c r="B124" s="18"/>
      <c r="C124" s="18"/>
      <c r="D124" s="18"/>
    </row>
    <row r="125">
      <c r="B125" s="18"/>
      <c r="C125" s="18"/>
      <c r="D125" s="18"/>
    </row>
    <row r="126">
      <c r="B126" s="18"/>
      <c r="C126" s="18"/>
      <c r="D126" s="18"/>
    </row>
    <row r="127">
      <c r="B127" s="18"/>
      <c r="C127" s="18"/>
      <c r="D127" s="18"/>
    </row>
    <row r="128">
      <c r="B128" s="18"/>
      <c r="C128" s="18"/>
      <c r="D128" s="18"/>
    </row>
    <row r="129">
      <c r="B129" s="18"/>
      <c r="C129" s="18"/>
      <c r="D129" s="18"/>
    </row>
    <row r="130">
      <c r="B130" s="18"/>
      <c r="C130" s="18"/>
      <c r="D130" s="18"/>
    </row>
    <row r="131">
      <c r="B131" s="18"/>
      <c r="C131" s="18"/>
      <c r="D131" s="18"/>
    </row>
    <row r="132">
      <c r="B132" s="18"/>
      <c r="C132" s="18"/>
      <c r="D132" s="18"/>
    </row>
    <row r="133">
      <c r="B133" s="18"/>
      <c r="C133" s="18"/>
      <c r="D133" s="18"/>
    </row>
    <row r="134">
      <c r="B134" s="18"/>
      <c r="C134" s="18"/>
      <c r="D134" s="18"/>
    </row>
    <row r="135">
      <c r="B135" s="18"/>
      <c r="C135" s="18"/>
      <c r="D135" s="18"/>
    </row>
    <row r="136">
      <c r="B136" s="18"/>
      <c r="C136" s="18"/>
      <c r="D136" s="18"/>
    </row>
    <row r="137">
      <c r="B137" s="18"/>
      <c r="C137" s="18"/>
      <c r="D137" s="18"/>
    </row>
    <row r="138">
      <c r="B138" s="18"/>
      <c r="C138" s="18"/>
      <c r="D138" s="18"/>
    </row>
    <row r="139">
      <c r="B139" s="18"/>
      <c r="C139" s="18"/>
      <c r="D139" s="18"/>
    </row>
    <row r="140">
      <c r="B140" s="18"/>
      <c r="C140" s="18"/>
      <c r="D140" s="18"/>
    </row>
    <row r="141">
      <c r="B141" s="18"/>
      <c r="C141" s="18"/>
      <c r="D141" s="18"/>
    </row>
    <row r="142">
      <c r="B142" s="18"/>
      <c r="C142" s="18"/>
      <c r="D142" s="18"/>
    </row>
    <row r="143">
      <c r="B143" s="18"/>
      <c r="C143" s="18"/>
      <c r="D143" s="18"/>
    </row>
    <row r="144">
      <c r="B144" s="18"/>
      <c r="C144" s="18"/>
      <c r="D144" s="18"/>
    </row>
    <row r="145">
      <c r="B145" s="18"/>
      <c r="C145" s="18"/>
      <c r="D145" s="18"/>
    </row>
    <row r="146">
      <c r="B146" s="18"/>
      <c r="C146" s="18"/>
      <c r="D146" s="18"/>
    </row>
    <row r="147">
      <c r="B147" s="18"/>
      <c r="C147" s="18"/>
      <c r="D147" s="18"/>
    </row>
    <row r="148">
      <c r="B148" s="18"/>
      <c r="C148" s="18"/>
      <c r="D148" s="18"/>
    </row>
    <row r="149">
      <c r="B149" s="18"/>
      <c r="C149" s="18"/>
      <c r="D149" s="18"/>
    </row>
    <row r="150">
      <c r="B150" s="18"/>
      <c r="C150" s="18"/>
      <c r="D150" s="18"/>
    </row>
    <row r="151">
      <c r="B151" s="18"/>
      <c r="C151" s="18"/>
      <c r="D151" s="18"/>
    </row>
    <row r="152">
      <c r="B152" s="18"/>
      <c r="C152" s="18"/>
      <c r="D152" s="18"/>
    </row>
    <row r="153">
      <c r="B153" s="18"/>
      <c r="C153" s="18"/>
      <c r="D153" s="18"/>
    </row>
    <row r="154">
      <c r="B154" s="18"/>
      <c r="C154" s="18"/>
      <c r="D154" s="18"/>
    </row>
    <row r="155">
      <c r="B155" s="18"/>
      <c r="C155" s="18"/>
      <c r="D155" s="18"/>
    </row>
    <row r="156">
      <c r="B156" s="18"/>
      <c r="C156" s="18"/>
      <c r="D156" s="18"/>
    </row>
    <row r="157">
      <c r="B157" s="18"/>
      <c r="C157" s="18"/>
      <c r="D157" s="18"/>
    </row>
    <row r="158">
      <c r="B158" s="18"/>
      <c r="C158" s="18"/>
      <c r="D158" s="18"/>
    </row>
    <row r="159">
      <c r="B159" s="18"/>
      <c r="C159" s="18"/>
      <c r="D159" s="18"/>
    </row>
    <row r="160">
      <c r="B160" s="18"/>
      <c r="C160" s="18"/>
      <c r="D160" s="18"/>
    </row>
    <row r="161">
      <c r="B161" s="18"/>
      <c r="C161" s="18"/>
      <c r="D161" s="18"/>
    </row>
    <row r="162">
      <c r="B162" s="18"/>
      <c r="C162" s="18"/>
      <c r="D162" s="18"/>
    </row>
    <row r="163">
      <c r="B163" s="18"/>
      <c r="C163" s="18"/>
      <c r="D163" s="18"/>
    </row>
    <row r="164">
      <c r="B164" s="18"/>
      <c r="C164" s="18"/>
      <c r="D164" s="18"/>
    </row>
    <row r="165">
      <c r="B165" s="18"/>
      <c r="C165" s="18"/>
      <c r="D165" s="18"/>
    </row>
    <row r="166">
      <c r="B166" s="18"/>
      <c r="C166" s="18"/>
      <c r="D166" s="18"/>
    </row>
    <row r="167">
      <c r="B167" s="18"/>
      <c r="C167" s="18"/>
      <c r="D167" s="18"/>
    </row>
    <row r="168">
      <c r="B168" s="18"/>
      <c r="C168" s="18"/>
      <c r="D168" s="18"/>
    </row>
    <row r="169">
      <c r="B169" s="18"/>
      <c r="C169" s="18"/>
      <c r="D169" s="18"/>
    </row>
    <row r="170">
      <c r="B170" s="18"/>
      <c r="C170" s="18"/>
      <c r="D170" s="18"/>
    </row>
    <row r="171">
      <c r="B171" s="18"/>
      <c r="C171" s="18"/>
      <c r="D171" s="18"/>
    </row>
    <row r="172">
      <c r="B172" s="18"/>
      <c r="C172" s="18"/>
      <c r="D172" s="18"/>
    </row>
    <row r="173">
      <c r="B173" s="18"/>
      <c r="C173" s="18"/>
      <c r="D173" s="18"/>
    </row>
    <row r="174">
      <c r="B174" s="18"/>
      <c r="C174" s="18"/>
      <c r="D174" s="18"/>
    </row>
    <row r="175">
      <c r="B175" s="18"/>
      <c r="C175" s="18"/>
      <c r="D175" s="18"/>
    </row>
    <row r="176">
      <c r="B176" s="18"/>
      <c r="C176" s="18"/>
      <c r="D176" s="18"/>
    </row>
    <row r="177">
      <c r="B177" s="18"/>
      <c r="C177" s="18"/>
      <c r="D177" s="18"/>
    </row>
    <row r="178">
      <c r="B178" s="18"/>
      <c r="C178" s="18"/>
      <c r="D178" s="18"/>
    </row>
    <row r="179">
      <c r="B179" s="18"/>
      <c r="C179" s="18"/>
      <c r="D179" s="18"/>
    </row>
    <row r="180">
      <c r="B180" s="18"/>
      <c r="C180" s="18"/>
      <c r="D180" s="18"/>
    </row>
    <row r="181">
      <c r="B181" s="18"/>
      <c r="C181" s="18"/>
      <c r="D181" s="18"/>
    </row>
    <row r="182">
      <c r="B182" s="18"/>
      <c r="C182" s="18"/>
      <c r="D182" s="18"/>
    </row>
    <row r="183">
      <c r="B183" s="18"/>
      <c r="C183" s="18"/>
      <c r="D183" s="18"/>
    </row>
    <row r="184">
      <c r="B184" s="18"/>
      <c r="C184" s="18"/>
      <c r="D184" s="18"/>
    </row>
    <row r="185">
      <c r="B185" s="18"/>
      <c r="C185" s="18"/>
      <c r="D185" s="18"/>
    </row>
    <row r="186">
      <c r="B186" s="18"/>
      <c r="C186" s="18"/>
      <c r="D186" s="18"/>
    </row>
    <row r="187">
      <c r="B187" s="18"/>
      <c r="C187" s="18"/>
      <c r="D187" s="18"/>
    </row>
    <row r="188">
      <c r="B188" s="18"/>
      <c r="C188" s="18"/>
      <c r="D188" s="18"/>
    </row>
    <row r="189">
      <c r="B189" s="18"/>
      <c r="C189" s="18"/>
      <c r="D189" s="18"/>
    </row>
    <row r="190">
      <c r="B190" s="18"/>
      <c r="C190" s="18"/>
      <c r="D190" s="18"/>
    </row>
    <row r="191">
      <c r="B191" s="18"/>
      <c r="C191" s="18"/>
      <c r="D191" s="18"/>
    </row>
    <row r="192">
      <c r="B192" s="18"/>
      <c r="C192" s="18"/>
      <c r="D192" s="18"/>
    </row>
    <row r="193">
      <c r="B193" s="18"/>
      <c r="C193" s="18"/>
      <c r="D193" s="18"/>
    </row>
    <row r="194">
      <c r="B194" s="18"/>
      <c r="C194" s="18"/>
      <c r="D194" s="18"/>
    </row>
    <row r="195">
      <c r="B195" s="18"/>
      <c r="C195" s="18"/>
      <c r="D195" s="18"/>
    </row>
    <row r="196">
      <c r="B196" s="18"/>
      <c r="C196" s="18"/>
      <c r="D196" s="18"/>
    </row>
    <row r="197">
      <c r="B197" s="18"/>
      <c r="C197" s="18"/>
      <c r="D197" s="18"/>
    </row>
    <row r="198">
      <c r="B198" s="18"/>
      <c r="C198" s="18"/>
      <c r="D198" s="18"/>
    </row>
    <row r="199">
      <c r="B199" s="18"/>
      <c r="C199" s="18"/>
      <c r="D199" s="18"/>
    </row>
    <row r="200">
      <c r="B200" s="18"/>
      <c r="C200" s="18"/>
      <c r="D200" s="18"/>
    </row>
    <row r="201">
      <c r="B201" s="18"/>
      <c r="C201" s="18"/>
      <c r="D201" s="18"/>
    </row>
    <row r="202">
      <c r="B202" s="18"/>
      <c r="C202" s="18"/>
      <c r="D202" s="18"/>
    </row>
    <row r="203">
      <c r="B203" s="18"/>
      <c r="C203" s="18"/>
      <c r="D203" s="18"/>
    </row>
    <row r="204">
      <c r="B204" s="18"/>
      <c r="C204" s="18"/>
      <c r="D204" s="18"/>
    </row>
    <row r="205">
      <c r="B205" s="18"/>
      <c r="C205" s="18"/>
      <c r="D205" s="18"/>
    </row>
    <row r="206">
      <c r="B206" s="18"/>
      <c r="C206" s="18"/>
      <c r="D206" s="18"/>
    </row>
    <row r="207">
      <c r="B207" s="18"/>
      <c r="C207" s="18"/>
      <c r="D207" s="18"/>
    </row>
    <row r="208">
      <c r="B208" s="18"/>
      <c r="C208" s="18"/>
      <c r="D208" s="18"/>
    </row>
    <row r="209">
      <c r="B209" s="18"/>
      <c r="C209" s="18"/>
      <c r="D209" s="18"/>
    </row>
    <row r="210">
      <c r="B210" s="18"/>
      <c r="C210" s="18"/>
      <c r="D210" s="18"/>
    </row>
    <row r="211">
      <c r="B211" s="18"/>
      <c r="C211" s="18"/>
      <c r="D211" s="18"/>
    </row>
    <row r="212">
      <c r="B212" s="18"/>
      <c r="C212" s="18"/>
      <c r="D212" s="18"/>
    </row>
    <row r="213">
      <c r="B213" s="18"/>
      <c r="C213" s="18"/>
      <c r="D213" s="18"/>
    </row>
    <row r="214">
      <c r="B214" s="18"/>
      <c r="C214" s="18"/>
      <c r="D214" s="18"/>
    </row>
    <row r="215">
      <c r="B215" s="18"/>
      <c r="C215" s="18"/>
      <c r="D215" s="18"/>
    </row>
    <row r="216">
      <c r="B216" s="18"/>
      <c r="C216" s="18"/>
      <c r="D216" s="18"/>
    </row>
    <row r="217">
      <c r="B217" s="18"/>
      <c r="C217" s="18"/>
      <c r="D217" s="18"/>
    </row>
    <row r="218">
      <c r="B218" s="18"/>
      <c r="C218" s="18"/>
      <c r="D218" s="18"/>
    </row>
    <row r="219">
      <c r="B219" s="18"/>
      <c r="C219" s="18"/>
      <c r="D219" s="18"/>
    </row>
    <row r="220">
      <c r="B220" s="18"/>
      <c r="C220" s="18"/>
      <c r="D220" s="18"/>
    </row>
    <row r="221">
      <c r="B221" s="18"/>
      <c r="C221" s="18"/>
      <c r="D221" s="18"/>
    </row>
    <row r="222">
      <c r="B222" s="18"/>
      <c r="C222" s="18"/>
      <c r="D222" s="18"/>
    </row>
    <row r="223">
      <c r="B223" s="18"/>
      <c r="C223" s="18"/>
      <c r="D223" s="18"/>
    </row>
    <row r="224">
      <c r="B224" s="18"/>
      <c r="C224" s="18"/>
      <c r="D224" s="18"/>
    </row>
    <row r="225">
      <c r="B225" s="18"/>
      <c r="C225" s="18"/>
      <c r="D225" s="18"/>
    </row>
    <row r="226">
      <c r="B226" s="18"/>
      <c r="C226" s="18"/>
      <c r="D226" s="18"/>
    </row>
    <row r="227">
      <c r="B227" s="18"/>
      <c r="C227" s="18"/>
      <c r="D227" s="18"/>
    </row>
    <row r="228">
      <c r="B228" s="18"/>
      <c r="C228" s="18"/>
      <c r="D228" s="18"/>
    </row>
    <row r="229">
      <c r="B229" s="18"/>
      <c r="C229" s="18"/>
      <c r="D229" s="18"/>
    </row>
    <row r="230">
      <c r="B230" s="18"/>
      <c r="C230" s="18"/>
      <c r="D230" s="18"/>
    </row>
    <row r="231">
      <c r="B231" s="18"/>
      <c r="C231" s="18"/>
      <c r="D231" s="18"/>
    </row>
    <row r="232">
      <c r="B232" s="18"/>
      <c r="C232" s="18"/>
      <c r="D232" s="18"/>
    </row>
    <row r="233">
      <c r="B233" s="18"/>
      <c r="C233" s="18"/>
      <c r="D233" s="18"/>
    </row>
    <row r="234">
      <c r="B234" s="18"/>
      <c r="C234" s="18"/>
      <c r="D234" s="18"/>
    </row>
    <row r="235">
      <c r="B235" s="18"/>
      <c r="C235" s="18"/>
      <c r="D235" s="18"/>
    </row>
    <row r="236">
      <c r="B236" s="18"/>
      <c r="C236" s="18"/>
      <c r="D236" s="18"/>
    </row>
    <row r="237">
      <c r="B237" s="18"/>
      <c r="C237" s="18"/>
      <c r="D237" s="18"/>
    </row>
    <row r="238">
      <c r="B238" s="18"/>
      <c r="C238" s="18"/>
      <c r="D238" s="18"/>
    </row>
    <row r="239">
      <c r="B239" s="18"/>
      <c r="C239" s="18"/>
      <c r="D239" s="18"/>
    </row>
    <row r="240">
      <c r="B240" s="18"/>
      <c r="C240" s="18"/>
      <c r="D240" s="18"/>
    </row>
    <row r="241">
      <c r="B241" s="18"/>
      <c r="C241" s="18"/>
      <c r="D241" s="18"/>
    </row>
    <row r="242">
      <c r="B242" s="18"/>
      <c r="C242" s="18"/>
      <c r="D242" s="18"/>
    </row>
    <row r="243">
      <c r="B243" s="18"/>
      <c r="C243" s="18"/>
      <c r="D243" s="18"/>
    </row>
    <row r="244">
      <c r="B244" s="18"/>
      <c r="C244" s="18"/>
      <c r="D244" s="18"/>
    </row>
    <row r="245">
      <c r="B245" s="18"/>
      <c r="C245" s="18"/>
      <c r="D245" s="18"/>
    </row>
    <row r="246">
      <c r="B246" s="18"/>
      <c r="C246" s="18"/>
      <c r="D246" s="18"/>
    </row>
    <row r="247">
      <c r="B247" s="18"/>
      <c r="C247" s="18"/>
      <c r="D247" s="18"/>
    </row>
    <row r="248">
      <c r="B248" s="18"/>
      <c r="C248" s="18"/>
      <c r="D248" s="18"/>
    </row>
    <row r="249">
      <c r="B249" s="18"/>
      <c r="C249" s="18"/>
      <c r="D249" s="18"/>
    </row>
    <row r="250">
      <c r="B250" s="18"/>
      <c r="C250" s="18"/>
      <c r="D250" s="18"/>
    </row>
    <row r="251">
      <c r="B251" s="18"/>
      <c r="C251" s="18"/>
      <c r="D251" s="18"/>
    </row>
    <row r="252">
      <c r="B252" s="18"/>
      <c r="C252" s="18"/>
      <c r="D252" s="18"/>
    </row>
    <row r="253">
      <c r="B253" s="18"/>
      <c r="C253" s="18"/>
      <c r="D253" s="18"/>
    </row>
    <row r="254">
      <c r="B254" s="18"/>
      <c r="C254" s="18"/>
      <c r="D254" s="18"/>
    </row>
    <row r="255">
      <c r="B255" s="18"/>
      <c r="C255" s="18"/>
      <c r="D255" s="18"/>
    </row>
    <row r="256">
      <c r="B256" s="18"/>
      <c r="C256" s="18"/>
      <c r="D256" s="18"/>
    </row>
    <row r="257">
      <c r="B257" s="18"/>
      <c r="C257" s="18"/>
      <c r="D257" s="18"/>
    </row>
    <row r="258">
      <c r="B258" s="18"/>
      <c r="C258" s="18"/>
      <c r="D258" s="18"/>
    </row>
    <row r="259">
      <c r="B259" s="18"/>
      <c r="C259" s="18"/>
      <c r="D259" s="18"/>
    </row>
    <row r="260">
      <c r="B260" s="18"/>
      <c r="C260" s="18"/>
      <c r="D260" s="18"/>
    </row>
    <row r="261">
      <c r="B261" s="18"/>
      <c r="C261" s="18"/>
      <c r="D261" s="18"/>
    </row>
    <row r="262">
      <c r="B262" s="18"/>
      <c r="C262" s="18"/>
      <c r="D262" s="18"/>
    </row>
    <row r="263">
      <c r="B263" s="18"/>
      <c r="C263" s="18"/>
      <c r="D263" s="18"/>
    </row>
    <row r="264">
      <c r="B264" s="18"/>
      <c r="C264" s="18"/>
      <c r="D264" s="18"/>
    </row>
    <row r="265">
      <c r="B265" s="18"/>
      <c r="C265" s="18"/>
      <c r="D265" s="18"/>
    </row>
    <row r="266">
      <c r="B266" s="18"/>
      <c r="C266" s="18"/>
      <c r="D266" s="18"/>
    </row>
    <row r="267">
      <c r="B267" s="18"/>
      <c r="C267" s="18"/>
      <c r="D267" s="18"/>
    </row>
    <row r="268">
      <c r="B268" s="18"/>
      <c r="C268" s="18"/>
      <c r="D268" s="18"/>
    </row>
    <row r="269">
      <c r="B269" s="18"/>
      <c r="C269" s="18"/>
      <c r="D269" s="18"/>
    </row>
    <row r="270">
      <c r="B270" s="18"/>
      <c r="C270" s="18"/>
      <c r="D270" s="18"/>
    </row>
    <row r="271">
      <c r="B271" s="18"/>
      <c r="C271" s="18"/>
      <c r="D271" s="18"/>
    </row>
    <row r="272">
      <c r="B272" s="18"/>
      <c r="C272" s="18"/>
      <c r="D272" s="18"/>
    </row>
    <row r="273">
      <c r="B273" s="18"/>
      <c r="C273" s="18"/>
      <c r="D273" s="18"/>
    </row>
    <row r="274">
      <c r="B274" s="18"/>
      <c r="C274" s="18"/>
      <c r="D274" s="18"/>
    </row>
    <row r="275">
      <c r="B275" s="18"/>
      <c r="C275" s="18"/>
      <c r="D275" s="18"/>
    </row>
    <row r="276">
      <c r="B276" s="18"/>
      <c r="C276" s="18"/>
      <c r="D276" s="18"/>
    </row>
    <row r="277">
      <c r="B277" s="18"/>
      <c r="C277" s="18"/>
      <c r="D277" s="18"/>
    </row>
    <row r="278">
      <c r="B278" s="18"/>
      <c r="C278" s="18"/>
      <c r="D278" s="18"/>
    </row>
    <row r="279">
      <c r="B279" s="18"/>
      <c r="C279" s="18"/>
      <c r="D279" s="18"/>
    </row>
    <row r="280">
      <c r="B280" s="18"/>
      <c r="C280" s="18"/>
      <c r="D280" s="18"/>
    </row>
    <row r="281">
      <c r="B281" s="18"/>
      <c r="C281" s="18"/>
      <c r="D281" s="18"/>
    </row>
    <row r="282">
      <c r="B282" s="18"/>
      <c r="C282" s="18"/>
      <c r="D282" s="18"/>
    </row>
    <row r="283">
      <c r="B283" s="18"/>
      <c r="C283" s="18"/>
      <c r="D283" s="18"/>
    </row>
    <row r="284">
      <c r="B284" s="18"/>
      <c r="C284" s="18"/>
      <c r="D284" s="18"/>
    </row>
    <row r="285">
      <c r="B285" s="18"/>
      <c r="C285" s="18"/>
      <c r="D285" s="18"/>
    </row>
    <row r="286">
      <c r="B286" s="18"/>
      <c r="C286" s="18"/>
      <c r="D286" s="18"/>
    </row>
    <row r="287">
      <c r="B287" s="18"/>
      <c r="C287" s="18"/>
      <c r="D287" s="18"/>
    </row>
    <row r="288">
      <c r="B288" s="18"/>
      <c r="C288" s="18"/>
      <c r="D288" s="18"/>
    </row>
    <row r="289">
      <c r="B289" s="18"/>
      <c r="C289" s="18"/>
      <c r="D289" s="18"/>
    </row>
    <row r="290">
      <c r="B290" s="18"/>
      <c r="C290" s="18"/>
      <c r="D290" s="18"/>
    </row>
    <row r="291">
      <c r="B291" s="18"/>
      <c r="C291" s="18"/>
      <c r="D291" s="18"/>
    </row>
    <row r="292">
      <c r="B292" s="18"/>
      <c r="C292" s="18"/>
      <c r="D292" s="18"/>
    </row>
    <row r="293">
      <c r="B293" s="18"/>
      <c r="C293" s="18"/>
      <c r="D293" s="18"/>
    </row>
    <row r="294">
      <c r="B294" s="18"/>
      <c r="C294" s="18"/>
      <c r="D294" s="18"/>
    </row>
    <row r="295">
      <c r="B295" s="18"/>
      <c r="C295" s="18"/>
      <c r="D295" s="18"/>
    </row>
    <row r="296">
      <c r="B296" s="18"/>
      <c r="C296" s="18"/>
      <c r="D296" s="18"/>
    </row>
    <row r="297">
      <c r="B297" s="18"/>
      <c r="C297" s="18"/>
      <c r="D297" s="18"/>
    </row>
    <row r="298">
      <c r="B298" s="18"/>
      <c r="C298" s="18"/>
      <c r="D298" s="18"/>
    </row>
    <row r="299">
      <c r="B299" s="18"/>
      <c r="C299" s="18"/>
      <c r="D299" s="18"/>
    </row>
    <row r="300">
      <c r="B300" s="18"/>
      <c r="C300" s="18"/>
      <c r="D300" s="18"/>
    </row>
    <row r="301">
      <c r="B301" s="18"/>
      <c r="C301" s="18"/>
      <c r="D301" s="18"/>
    </row>
    <row r="302">
      <c r="B302" s="18"/>
      <c r="C302" s="18"/>
      <c r="D302" s="18"/>
    </row>
    <row r="303">
      <c r="B303" s="18"/>
      <c r="C303" s="18"/>
      <c r="D303" s="18"/>
    </row>
    <row r="304">
      <c r="B304" s="18"/>
      <c r="C304" s="18"/>
      <c r="D304" s="18"/>
    </row>
    <row r="305">
      <c r="B305" s="18"/>
      <c r="C305" s="18"/>
      <c r="D305" s="18"/>
    </row>
    <row r="306">
      <c r="B306" s="18"/>
      <c r="C306" s="18"/>
      <c r="D306" s="18"/>
    </row>
    <row r="307">
      <c r="B307" s="18"/>
      <c r="C307" s="18"/>
      <c r="D307" s="18"/>
    </row>
    <row r="308">
      <c r="B308" s="18"/>
      <c r="C308" s="18"/>
      <c r="D308" s="18"/>
    </row>
    <row r="309">
      <c r="B309" s="18"/>
      <c r="C309" s="18"/>
      <c r="D309" s="18"/>
    </row>
    <row r="310">
      <c r="B310" s="18"/>
      <c r="C310" s="18"/>
      <c r="D310" s="18"/>
    </row>
    <row r="311">
      <c r="B311" s="18"/>
      <c r="C311" s="18"/>
      <c r="D311" s="18"/>
    </row>
    <row r="312">
      <c r="B312" s="18"/>
      <c r="C312" s="18"/>
      <c r="D312" s="18"/>
    </row>
    <row r="313">
      <c r="B313" s="18"/>
      <c r="C313" s="18"/>
      <c r="D313" s="18"/>
    </row>
    <row r="314">
      <c r="B314" s="18"/>
      <c r="C314" s="18"/>
      <c r="D314" s="18"/>
    </row>
    <row r="315">
      <c r="B315" s="18"/>
      <c r="C315" s="18"/>
      <c r="D315" s="18"/>
    </row>
    <row r="316">
      <c r="B316" s="18"/>
      <c r="C316" s="18"/>
      <c r="D316" s="18"/>
    </row>
    <row r="317">
      <c r="B317" s="18"/>
      <c r="C317" s="18"/>
      <c r="D317" s="18"/>
    </row>
    <row r="318">
      <c r="B318" s="18"/>
      <c r="C318" s="18"/>
      <c r="D318" s="18"/>
    </row>
    <row r="319">
      <c r="B319" s="18"/>
      <c r="C319" s="18"/>
      <c r="D319" s="18"/>
    </row>
    <row r="320">
      <c r="B320" s="18"/>
      <c r="C320" s="18"/>
      <c r="D320" s="18"/>
    </row>
    <row r="321">
      <c r="B321" s="18"/>
      <c r="C321" s="18"/>
      <c r="D321" s="18"/>
    </row>
    <row r="322">
      <c r="B322" s="18"/>
      <c r="C322" s="18"/>
      <c r="D322" s="18"/>
    </row>
    <row r="323">
      <c r="B323" s="18"/>
      <c r="C323" s="18"/>
      <c r="D323" s="18"/>
    </row>
    <row r="324">
      <c r="B324" s="18"/>
      <c r="C324" s="18"/>
      <c r="D324" s="18"/>
    </row>
    <row r="325">
      <c r="B325" s="18"/>
      <c r="C325" s="18"/>
      <c r="D325" s="18"/>
    </row>
    <row r="326">
      <c r="B326" s="18"/>
      <c r="C326" s="18"/>
      <c r="D326" s="18"/>
    </row>
    <row r="327">
      <c r="B327" s="18"/>
      <c r="C327" s="18"/>
      <c r="D327" s="18"/>
    </row>
    <row r="328">
      <c r="B328" s="18"/>
      <c r="C328" s="18"/>
      <c r="D328" s="18"/>
    </row>
    <row r="329">
      <c r="B329" s="18"/>
      <c r="C329" s="18"/>
      <c r="D329" s="18"/>
    </row>
    <row r="330">
      <c r="B330" s="18"/>
      <c r="C330" s="18"/>
      <c r="D330" s="18"/>
    </row>
    <row r="331">
      <c r="B331" s="18"/>
      <c r="C331" s="18"/>
      <c r="D331" s="18"/>
    </row>
    <row r="332">
      <c r="B332" s="18"/>
      <c r="C332" s="18"/>
      <c r="D332" s="18"/>
    </row>
    <row r="333">
      <c r="B333" s="18"/>
      <c r="C333" s="18"/>
      <c r="D333" s="18"/>
    </row>
    <row r="334">
      <c r="B334" s="18"/>
      <c r="C334" s="18"/>
      <c r="D334" s="18"/>
    </row>
    <row r="335">
      <c r="B335" s="18"/>
      <c r="C335" s="18"/>
      <c r="D335" s="18"/>
    </row>
    <row r="336">
      <c r="B336" s="18"/>
      <c r="C336" s="18"/>
      <c r="D336" s="18"/>
    </row>
    <row r="337">
      <c r="B337" s="18"/>
      <c r="C337" s="18"/>
      <c r="D337" s="18"/>
    </row>
    <row r="338">
      <c r="B338" s="18"/>
      <c r="C338" s="18"/>
      <c r="D338" s="18"/>
    </row>
    <row r="339">
      <c r="B339" s="18"/>
      <c r="C339" s="18"/>
      <c r="D339" s="18"/>
    </row>
    <row r="340">
      <c r="B340" s="18"/>
      <c r="C340" s="18"/>
      <c r="D340" s="18"/>
    </row>
    <row r="341">
      <c r="B341" s="18"/>
      <c r="C341" s="18"/>
      <c r="D341" s="18"/>
    </row>
    <row r="342">
      <c r="B342" s="18"/>
      <c r="C342" s="18"/>
      <c r="D342" s="18"/>
    </row>
    <row r="343">
      <c r="B343" s="18"/>
      <c r="C343" s="18"/>
      <c r="D343" s="18"/>
    </row>
    <row r="344">
      <c r="B344" s="18"/>
      <c r="C344" s="18"/>
      <c r="D344" s="18"/>
    </row>
    <row r="345">
      <c r="B345" s="18"/>
      <c r="C345" s="18"/>
      <c r="D345" s="18"/>
    </row>
    <row r="346">
      <c r="B346" s="18"/>
      <c r="C346" s="18"/>
      <c r="D346" s="18"/>
    </row>
    <row r="347">
      <c r="B347" s="18"/>
      <c r="C347" s="18"/>
      <c r="D347" s="18"/>
    </row>
    <row r="348">
      <c r="B348" s="18"/>
      <c r="C348" s="18"/>
      <c r="D348" s="18"/>
    </row>
    <row r="349">
      <c r="B349" s="18"/>
      <c r="C349" s="18"/>
      <c r="D349" s="18"/>
    </row>
    <row r="350">
      <c r="B350" s="18"/>
      <c r="C350" s="18"/>
      <c r="D350" s="18"/>
    </row>
    <row r="351">
      <c r="B351" s="18"/>
      <c r="C351" s="18"/>
      <c r="D351" s="18"/>
    </row>
    <row r="352">
      <c r="B352" s="18"/>
      <c r="C352" s="18"/>
      <c r="D352" s="18"/>
    </row>
    <row r="353">
      <c r="B353" s="18"/>
      <c r="C353" s="18"/>
      <c r="D353" s="18"/>
    </row>
    <row r="354">
      <c r="B354" s="18"/>
      <c r="C354" s="18"/>
      <c r="D354" s="18"/>
    </row>
    <row r="355">
      <c r="B355" s="18"/>
      <c r="C355" s="18"/>
      <c r="D355" s="18"/>
    </row>
    <row r="356">
      <c r="B356" s="18"/>
      <c r="C356" s="18"/>
      <c r="D356" s="18"/>
    </row>
    <row r="357">
      <c r="B357" s="18"/>
      <c r="C357" s="18"/>
      <c r="D357" s="18"/>
    </row>
    <row r="358">
      <c r="B358" s="18"/>
      <c r="C358" s="18"/>
      <c r="D358" s="18"/>
    </row>
    <row r="359">
      <c r="B359" s="18"/>
      <c r="C359" s="18"/>
      <c r="D359" s="18"/>
    </row>
    <row r="360">
      <c r="B360" s="18"/>
      <c r="C360" s="18"/>
      <c r="D360" s="18"/>
    </row>
    <row r="361">
      <c r="B361" s="18"/>
      <c r="C361" s="18"/>
      <c r="D361" s="18"/>
    </row>
    <row r="362">
      <c r="B362" s="18"/>
      <c r="C362" s="18"/>
      <c r="D362" s="18"/>
    </row>
    <row r="363">
      <c r="B363" s="18"/>
      <c r="C363" s="18"/>
      <c r="D363" s="18"/>
    </row>
    <row r="364">
      <c r="B364" s="18"/>
      <c r="C364" s="18"/>
      <c r="D364" s="18"/>
    </row>
    <row r="365">
      <c r="B365" s="18"/>
      <c r="C365" s="18"/>
      <c r="D365" s="18"/>
    </row>
    <row r="366">
      <c r="B366" s="18"/>
      <c r="C366" s="18"/>
      <c r="D366" s="18"/>
    </row>
    <row r="367">
      <c r="B367" s="18"/>
      <c r="C367" s="18"/>
      <c r="D367" s="18"/>
    </row>
    <row r="368">
      <c r="B368" s="18"/>
      <c r="C368" s="18"/>
      <c r="D368" s="18"/>
    </row>
    <row r="369">
      <c r="B369" s="18"/>
      <c r="C369" s="18"/>
      <c r="D369" s="18"/>
    </row>
    <row r="370">
      <c r="B370" s="18"/>
      <c r="C370" s="18"/>
      <c r="D370" s="18"/>
    </row>
    <row r="371">
      <c r="B371" s="18"/>
      <c r="C371" s="18"/>
      <c r="D371" s="18"/>
    </row>
    <row r="372">
      <c r="B372" s="18"/>
      <c r="C372" s="18"/>
      <c r="D372" s="18"/>
    </row>
    <row r="373">
      <c r="B373" s="18"/>
      <c r="C373" s="18"/>
      <c r="D373" s="18"/>
    </row>
    <row r="374">
      <c r="B374" s="18"/>
      <c r="C374" s="18"/>
      <c r="D374" s="18"/>
    </row>
    <row r="375">
      <c r="B375" s="18"/>
      <c r="C375" s="18"/>
      <c r="D375" s="18"/>
    </row>
    <row r="376">
      <c r="B376" s="18"/>
      <c r="C376" s="18"/>
      <c r="D376" s="18"/>
    </row>
    <row r="377">
      <c r="B377" s="18"/>
      <c r="C377" s="18"/>
      <c r="D377" s="18"/>
    </row>
    <row r="378">
      <c r="B378" s="18"/>
      <c r="C378" s="18"/>
      <c r="D378" s="18"/>
    </row>
    <row r="379">
      <c r="B379" s="18"/>
      <c r="C379" s="18"/>
      <c r="D379" s="18"/>
    </row>
    <row r="380">
      <c r="B380" s="18"/>
      <c r="C380" s="18"/>
      <c r="D380" s="18"/>
    </row>
    <row r="381">
      <c r="B381" s="18"/>
      <c r="C381" s="18"/>
      <c r="D381" s="18"/>
    </row>
    <row r="382">
      <c r="B382" s="18"/>
      <c r="C382" s="18"/>
      <c r="D382" s="18"/>
    </row>
    <row r="383">
      <c r="B383" s="18"/>
      <c r="C383" s="18"/>
      <c r="D383" s="18"/>
    </row>
    <row r="384">
      <c r="B384" s="18"/>
      <c r="C384" s="18"/>
      <c r="D384" s="18"/>
    </row>
    <row r="385">
      <c r="B385" s="18"/>
      <c r="C385" s="18"/>
      <c r="D385" s="18"/>
    </row>
    <row r="386">
      <c r="B386" s="18"/>
      <c r="C386" s="18"/>
      <c r="D386" s="18"/>
    </row>
    <row r="387">
      <c r="B387" s="18"/>
      <c r="C387" s="18"/>
      <c r="D387" s="18"/>
    </row>
    <row r="388">
      <c r="B388" s="18"/>
      <c r="C388" s="18"/>
      <c r="D388" s="18"/>
    </row>
    <row r="389">
      <c r="B389" s="18"/>
      <c r="C389" s="18"/>
      <c r="D389" s="18"/>
    </row>
    <row r="390">
      <c r="B390" s="18"/>
      <c r="C390" s="18"/>
      <c r="D390" s="18"/>
    </row>
    <row r="391">
      <c r="B391" s="18"/>
      <c r="C391" s="18"/>
      <c r="D391" s="18"/>
    </row>
    <row r="392">
      <c r="B392" s="18"/>
      <c r="C392" s="18"/>
      <c r="D392" s="18"/>
    </row>
    <row r="393">
      <c r="B393" s="18"/>
      <c r="C393" s="18"/>
      <c r="D393" s="18"/>
    </row>
    <row r="394">
      <c r="B394" s="18"/>
      <c r="C394" s="18"/>
      <c r="D394" s="18"/>
    </row>
    <row r="395">
      <c r="B395" s="18"/>
      <c r="C395" s="18"/>
      <c r="D395" s="18"/>
    </row>
    <row r="396">
      <c r="B396" s="18"/>
      <c r="C396" s="18"/>
      <c r="D396" s="18"/>
    </row>
    <row r="397">
      <c r="B397" s="18"/>
      <c r="C397" s="18"/>
      <c r="D397" s="18"/>
    </row>
    <row r="398">
      <c r="B398" s="18"/>
      <c r="C398" s="18"/>
      <c r="D398" s="18"/>
    </row>
    <row r="399">
      <c r="B399" s="18"/>
      <c r="C399" s="18"/>
      <c r="D399" s="18"/>
    </row>
    <row r="400">
      <c r="B400" s="18"/>
      <c r="C400" s="18"/>
      <c r="D400" s="18"/>
    </row>
    <row r="401">
      <c r="B401" s="18"/>
      <c r="C401" s="18"/>
      <c r="D401" s="18"/>
    </row>
    <row r="402">
      <c r="B402" s="18"/>
      <c r="C402" s="18"/>
      <c r="D402" s="18"/>
    </row>
    <row r="403">
      <c r="B403" s="18"/>
      <c r="C403" s="18"/>
      <c r="D403" s="18"/>
    </row>
    <row r="404">
      <c r="B404" s="18"/>
      <c r="C404" s="18"/>
      <c r="D404" s="18"/>
    </row>
    <row r="405">
      <c r="B405" s="18"/>
      <c r="C405" s="18"/>
      <c r="D405" s="18"/>
    </row>
    <row r="406">
      <c r="B406" s="18"/>
      <c r="C406" s="18"/>
      <c r="D406" s="18"/>
    </row>
    <row r="407">
      <c r="B407" s="18"/>
      <c r="C407" s="18"/>
      <c r="D407" s="18"/>
    </row>
    <row r="408">
      <c r="B408" s="18"/>
      <c r="C408" s="18"/>
      <c r="D408" s="18"/>
    </row>
    <row r="409">
      <c r="B409" s="18"/>
      <c r="C409" s="18"/>
      <c r="D409" s="18"/>
    </row>
    <row r="410">
      <c r="B410" s="18"/>
      <c r="C410" s="18"/>
      <c r="D410" s="18"/>
    </row>
    <row r="411">
      <c r="B411" s="18"/>
      <c r="C411" s="18"/>
      <c r="D411" s="18"/>
    </row>
    <row r="412">
      <c r="B412" s="18"/>
      <c r="C412" s="18"/>
      <c r="D412" s="18"/>
    </row>
    <row r="413">
      <c r="B413" s="18"/>
      <c r="C413" s="18"/>
      <c r="D413" s="18"/>
    </row>
    <row r="414">
      <c r="B414" s="18"/>
      <c r="C414" s="18"/>
      <c r="D414" s="18"/>
    </row>
    <row r="415">
      <c r="B415" s="18"/>
      <c r="C415" s="18"/>
      <c r="D415" s="18"/>
    </row>
    <row r="416">
      <c r="B416" s="18"/>
      <c r="C416" s="18"/>
      <c r="D416" s="18"/>
    </row>
    <row r="417">
      <c r="B417" s="18"/>
      <c r="C417" s="18"/>
      <c r="D417" s="18"/>
    </row>
    <row r="418">
      <c r="B418" s="18"/>
      <c r="C418" s="18"/>
      <c r="D418" s="18"/>
    </row>
    <row r="419">
      <c r="B419" s="18"/>
      <c r="C419" s="18"/>
      <c r="D419" s="18"/>
    </row>
    <row r="420">
      <c r="B420" s="18"/>
      <c r="C420" s="18"/>
      <c r="D420" s="18"/>
    </row>
    <row r="421">
      <c r="B421" s="18"/>
      <c r="C421" s="18"/>
      <c r="D421" s="18"/>
    </row>
    <row r="422">
      <c r="B422" s="18"/>
      <c r="C422" s="18"/>
      <c r="D422" s="18"/>
    </row>
    <row r="423">
      <c r="B423" s="18"/>
      <c r="C423" s="18"/>
      <c r="D423" s="18"/>
    </row>
    <row r="424">
      <c r="B424" s="18"/>
      <c r="C424" s="18"/>
      <c r="D424" s="18"/>
    </row>
    <row r="425">
      <c r="B425" s="18"/>
      <c r="C425" s="18"/>
      <c r="D425" s="18"/>
    </row>
    <row r="426">
      <c r="B426" s="18"/>
      <c r="C426" s="18"/>
      <c r="D426" s="18"/>
    </row>
    <row r="427">
      <c r="B427" s="18"/>
      <c r="C427" s="18"/>
      <c r="D427" s="18"/>
    </row>
    <row r="428">
      <c r="B428" s="18"/>
      <c r="C428" s="18"/>
      <c r="D428" s="18"/>
    </row>
    <row r="429">
      <c r="B429" s="18"/>
      <c r="C429" s="18"/>
      <c r="D429" s="18"/>
    </row>
    <row r="430">
      <c r="B430" s="18"/>
      <c r="C430" s="18"/>
      <c r="D430" s="18"/>
    </row>
    <row r="431">
      <c r="B431" s="18"/>
      <c r="C431" s="18"/>
      <c r="D431" s="18"/>
    </row>
    <row r="432">
      <c r="B432" s="18"/>
      <c r="C432" s="18"/>
      <c r="D432" s="18"/>
    </row>
    <row r="433">
      <c r="B433" s="18"/>
      <c r="C433" s="18"/>
      <c r="D433" s="18"/>
    </row>
    <row r="434">
      <c r="B434" s="18"/>
      <c r="C434" s="18"/>
      <c r="D434" s="18"/>
    </row>
    <row r="435">
      <c r="B435" s="18"/>
      <c r="C435" s="18"/>
      <c r="D435" s="18"/>
    </row>
    <row r="436">
      <c r="B436" s="18"/>
      <c r="C436" s="18"/>
      <c r="D436" s="18"/>
    </row>
    <row r="437">
      <c r="B437" s="18"/>
      <c r="C437" s="18"/>
      <c r="D437" s="18"/>
    </row>
    <row r="438">
      <c r="B438" s="18"/>
      <c r="C438" s="18"/>
      <c r="D438" s="18"/>
    </row>
    <row r="439">
      <c r="B439" s="18"/>
      <c r="C439" s="18"/>
      <c r="D439" s="18"/>
    </row>
    <row r="440">
      <c r="B440" s="18"/>
      <c r="C440" s="18"/>
      <c r="D440" s="18"/>
    </row>
    <row r="441">
      <c r="B441" s="18"/>
      <c r="C441" s="18"/>
      <c r="D441" s="18"/>
    </row>
    <row r="442">
      <c r="B442" s="18"/>
      <c r="C442" s="18"/>
      <c r="D442" s="18"/>
    </row>
    <row r="443">
      <c r="B443" s="18"/>
      <c r="C443" s="18"/>
      <c r="D443" s="18"/>
    </row>
    <row r="444">
      <c r="B444" s="18"/>
      <c r="C444" s="18"/>
      <c r="D444" s="18"/>
    </row>
    <row r="445">
      <c r="B445" s="18"/>
      <c r="C445" s="18"/>
      <c r="D445" s="18"/>
    </row>
    <row r="446">
      <c r="B446" s="18"/>
      <c r="C446" s="18"/>
      <c r="D446" s="18"/>
    </row>
    <row r="447">
      <c r="B447" s="18"/>
      <c r="C447" s="18"/>
      <c r="D447" s="18"/>
    </row>
    <row r="448">
      <c r="B448" s="18"/>
      <c r="C448" s="18"/>
      <c r="D448" s="18"/>
    </row>
    <row r="449">
      <c r="B449" s="18"/>
      <c r="C449" s="18"/>
      <c r="D449" s="18"/>
    </row>
    <row r="450">
      <c r="B450" s="18"/>
      <c r="C450" s="18"/>
      <c r="D450" s="18"/>
    </row>
    <row r="451">
      <c r="B451" s="18"/>
      <c r="C451" s="18"/>
      <c r="D451" s="18"/>
    </row>
    <row r="452">
      <c r="B452" s="18"/>
      <c r="C452" s="18"/>
      <c r="D452" s="18"/>
    </row>
    <row r="453">
      <c r="B453" s="18"/>
      <c r="C453" s="18"/>
      <c r="D453" s="18"/>
    </row>
    <row r="454">
      <c r="B454" s="18"/>
      <c r="C454" s="18"/>
      <c r="D454" s="18"/>
    </row>
    <row r="455">
      <c r="B455" s="18"/>
      <c r="C455" s="18"/>
      <c r="D455" s="18"/>
    </row>
    <row r="456">
      <c r="B456" s="18"/>
      <c r="C456" s="18"/>
      <c r="D456" s="18"/>
    </row>
    <row r="457">
      <c r="B457" s="18"/>
      <c r="C457" s="18"/>
      <c r="D457" s="18"/>
    </row>
    <row r="458">
      <c r="B458" s="18"/>
      <c r="C458" s="18"/>
      <c r="D458" s="18"/>
    </row>
    <row r="459">
      <c r="B459" s="18"/>
      <c r="C459" s="18"/>
      <c r="D459" s="18"/>
    </row>
    <row r="460">
      <c r="B460" s="18"/>
      <c r="C460" s="18"/>
      <c r="D460" s="18"/>
    </row>
    <row r="461">
      <c r="B461" s="18"/>
      <c r="C461" s="18"/>
      <c r="D461" s="18"/>
    </row>
    <row r="462">
      <c r="B462" s="18"/>
      <c r="C462" s="18"/>
      <c r="D462" s="18"/>
    </row>
    <row r="463">
      <c r="B463" s="18"/>
      <c r="C463" s="18"/>
      <c r="D463" s="18"/>
    </row>
    <row r="464">
      <c r="B464" s="18"/>
      <c r="C464" s="18"/>
      <c r="D464" s="18"/>
    </row>
    <row r="465">
      <c r="B465" s="18"/>
      <c r="C465" s="18"/>
      <c r="D465" s="18"/>
    </row>
    <row r="466">
      <c r="B466" s="18"/>
      <c r="C466" s="18"/>
      <c r="D466" s="18"/>
    </row>
    <row r="467">
      <c r="B467" s="18"/>
      <c r="C467" s="18"/>
      <c r="D467" s="18"/>
    </row>
    <row r="468">
      <c r="B468" s="18"/>
      <c r="C468" s="18"/>
      <c r="D468" s="18"/>
    </row>
    <row r="469">
      <c r="B469" s="18"/>
      <c r="C469" s="18"/>
      <c r="D469" s="18"/>
    </row>
    <row r="470">
      <c r="B470" s="18"/>
      <c r="C470" s="18"/>
      <c r="D470" s="18"/>
    </row>
    <row r="471">
      <c r="B471" s="18"/>
      <c r="C471" s="18"/>
      <c r="D471" s="18"/>
    </row>
    <row r="472">
      <c r="B472" s="18"/>
      <c r="C472" s="18"/>
      <c r="D472" s="18"/>
    </row>
    <row r="473">
      <c r="B473" s="18"/>
      <c r="C473" s="18"/>
      <c r="D473" s="18"/>
    </row>
    <row r="474">
      <c r="B474" s="18"/>
      <c r="C474" s="18"/>
      <c r="D474" s="18"/>
    </row>
    <row r="475">
      <c r="B475" s="18"/>
      <c r="C475" s="18"/>
      <c r="D475" s="18"/>
    </row>
    <row r="476">
      <c r="B476" s="18"/>
      <c r="C476" s="18"/>
      <c r="D476" s="18"/>
    </row>
    <row r="477">
      <c r="B477" s="18"/>
      <c r="C477" s="18"/>
      <c r="D477" s="18"/>
    </row>
    <row r="478">
      <c r="B478" s="18"/>
      <c r="C478" s="18"/>
      <c r="D478" s="18"/>
    </row>
    <row r="479">
      <c r="B479" s="18"/>
      <c r="C479" s="18"/>
      <c r="D479" s="18"/>
    </row>
    <row r="480">
      <c r="B480" s="18"/>
      <c r="C480" s="18"/>
      <c r="D480" s="18"/>
    </row>
    <row r="481">
      <c r="B481" s="18"/>
      <c r="C481" s="18"/>
      <c r="D481" s="18"/>
    </row>
    <row r="482">
      <c r="B482" s="18"/>
      <c r="C482" s="18"/>
      <c r="D482" s="18"/>
    </row>
    <row r="483">
      <c r="B483" s="18"/>
      <c r="C483" s="18"/>
      <c r="D483" s="18"/>
    </row>
    <row r="484">
      <c r="B484" s="18"/>
      <c r="C484" s="18"/>
      <c r="D484" s="18"/>
    </row>
    <row r="485">
      <c r="B485" s="18"/>
      <c r="C485" s="18"/>
      <c r="D485" s="18"/>
    </row>
    <row r="486">
      <c r="B486" s="18"/>
      <c r="C486" s="18"/>
      <c r="D486" s="18"/>
    </row>
    <row r="487">
      <c r="B487" s="18"/>
      <c r="C487" s="18"/>
      <c r="D487" s="18"/>
    </row>
    <row r="488">
      <c r="B488" s="18"/>
      <c r="C488" s="18"/>
      <c r="D488" s="18"/>
    </row>
    <row r="489">
      <c r="B489" s="18"/>
      <c r="C489" s="18"/>
      <c r="D489" s="18"/>
    </row>
    <row r="490">
      <c r="B490" s="18"/>
      <c r="C490" s="18"/>
      <c r="D490" s="18"/>
    </row>
    <row r="491">
      <c r="B491" s="18"/>
      <c r="C491" s="18"/>
      <c r="D491" s="18"/>
    </row>
    <row r="492">
      <c r="B492" s="18"/>
      <c r="C492" s="18"/>
      <c r="D492" s="18"/>
    </row>
    <row r="493">
      <c r="B493" s="18"/>
      <c r="C493" s="18"/>
      <c r="D493" s="18"/>
    </row>
    <row r="494">
      <c r="B494" s="18"/>
      <c r="C494" s="18"/>
      <c r="D494" s="18"/>
    </row>
    <row r="495">
      <c r="B495" s="18"/>
      <c r="C495" s="18"/>
      <c r="D495" s="18"/>
    </row>
    <row r="496">
      <c r="B496" s="18"/>
      <c r="C496" s="18"/>
      <c r="D496" s="18"/>
    </row>
    <row r="497">
      <c r="B497" s="18"/>
      <c r="C497" s="18"/>
      <c r="D497" s="18"/>
    </row>
    <row r="498">
      <c r="B498" s="18"/>
      <c r="C498" s="18"/>
      <c r="D498" s="18"/>
    </row>
    <row r="499">
      <c r="B499" s="18"/>
      <c r="C499" s="18"/>
      <c r="D499" s="18"/>
    </row>
    <row r="500">
      <c r="B500" s="18"/>
      <c r="C500" s="18"/>
      <c r="D500" s="18"/>
    </row>
    <row r="501">
      <c r="B501" s="18"/>
      <c r="C501" s="18"/>
      <c r="D501" s="18"/>
    </row>
    <row r="502">
      <c r="B502" s="18"/>
      <c r="C502" s="18"/>
      <c r="D502" s="18"/>
    </row>
    <row r="503">
      <c r="B503" s="18"/>
      <c r="C503" s="18"/>
      <c r="D503" s="18"/>
    </row>
    <row r="504">
      <c r="B504" s="18"/>
      <c r="C504" s="18"/>
      <c r="D504" s="18"/>
    </row>
    <row r="505">
      <c r="B505" s="18"/>
      <c r="C505" s="18"/>
      <c r="D505" s="18"/>
    </row>
    <row r="506">
      <c r="B506" s="18"/>
      <c r="C506" s="18"/>
      <c r="D506" s="18"/>
    </row>
    <row r="507">
      <c r="B507" s="18"/>
      <c r="C507" s="18"/>
      <c r="D507" s="18"/>
    </row>
    <row r="508">
      <c r="B508" s="18"/>
      <c r="C508" s="18"/>
      <c r="D508" s="18"/>
    </row>
    <row r="509">
      <c r="B509" s="18"/>
      <c r="C509" s="18"/>
      <c r="D509" s="18"/>
    </row>
    <row r="510">
      <c r="B510" s="18"/>
      <c r="C510" s="18"/>
      <c r="D510" s="18"/>
    </row>
    <row r="511">
      <c r="B511" s="18"/>
      <c r="C511" s="18"/>
      <c r="D511" s="18"/>
    </row>
    <row r="512">
      <c r="B512" s="18"/>
      <c r="C512" s="18"/>
      <c r="D512" s="18"/>
    </row>
    <row r="513">
      <c r="B513" s="18"/>
      <c r="C513" s="18"/>
      <c r="D513" s="18"/>
    </row>
    <row r="514">
      <c r="B514" s="18"/>
      <c r="C514" s="18"/>
      <c r="D514" s="18"/>
    </row>
    <row r="515">
      <c r="B515" s="18"/>
      <c r="C515" s="18"/>
      <c r="D515" s="18"/>
    </row>
    <row r="516">
      <c r="B516" s="18"/>
      <c r="C516" s="18"/>
      <c r="D516" s="18"/>
    </row>
    <row r="517">
      <c r="B517" s="18"/>
      <c r="C517" s="18"/>
      <c r="D517" s="18"/>
    </row>
    <row r="518">
      <c r="B518" s="18"/>
      <c r="C518" s="18"/>
      <c r="D518" s="18"/>
    </row>
    <row r="519">
      <c r="B519" s="18"/>
      <c r="C519" s="18"/>
      <c r="D519" s="18"/>
    </row>
    <row r="520">
      <c r="B520" s="18"/>
      <c r="C520" s="18"/>
      <c r="D520" s="18"/>
    </row>
    <row r="521">
      <c r="B521" s="18"/>
      <c r="C521" s="18"/>
      <c r="D521" s="18"/>
    </row>
    <row r="522">
      <c r="B522" s="18"/>
      <c r="C522" s="18"/>
      <c r="D522" s="18"/>
    </row>
    <row r="523">
      <c r="B523" s="18"/>
      <c r="C523" s="18"/>
      <c r="D523" s="18"/>
    </row>
    <row r="524">
      <c r="B524" s="18"/>
      <c r="C524" s="18"/>
      <c r="D524" s="18"/>
    </row>
    <row r="525">
      <c r="B525" s="18"/>
      <c r="C525" s="18"/>
      <c r="D525" s="18"/>
    </row>
    <row r="526">
      <c r="B526" s="18"/>
      <c r="C526" s="18"/>
      <c r="D526" s="18"/>
    </row>
    <row r="527">
      <c r="B527" s="18"/>
      <c r="C527" s="18"/>
      <c r="D527" s="18"/>
    </row>
    <row r="528">
      <c r="B528" s="18"/>
      <c r="C528" s="18"/>
      <c r="D528" s="18"/>
    </row>
    <row r="529">
      <c r="B529" s="18"/>
      <c r="C529" s="18"/>
      <c r="D529" s="18"/>
    </row>
    <row r="530">
      <c r="B530" s="18"/>
      <c r="C530" s="18"/>
      <c r="D530" s="18"/>
    </row>
    <row r="531">
      <c r="B531" s="18"/>
      <c r="C531" s="18"/>
      <c r="D531" s="18"/>
    </row>
    <row r="532">
      <c r="B532" s="18"/>
      <c r="C532" s="18"/>
      <c r="D532" s="18"/>
    </row>
    <row r="533">
      <c r="B533" s="18"/>
      <c r="C533" s="18"/>
      <c r="D533" s="18"/>
    </row>
    <row r="534">
      <c r="B534" s="18"/>
      <c r="C534" s="18"/>
      <c r="D534" s="18"/>
    </row>
    <row r="535">
      <c r="B535" s="18"/>
      <c r="C535" s="18"/>
      <c r="D535" s="18"/>
    </row>
    <row r="536">
      <c r="B536" s="18"/>
      <c r="C536" s="18"/>
      <c r="D536" s="18"/>
    </row>
    <row r="537">
      <c r="B537" s="18"/>
      <c r="C537" s="18"/>
      <c r="D537" s="18"/>
    </row>
    <row r="538">
      <c r="B538" s="18"/>
      <c r="C538" s="18"/>
      <c r="D538" s="18"/>
    </row>
    <row r="539">
      <c r="B539" s="18"/>
      <c r="C539" s="18"/>
      <c r="D539" s="18"/>
    </row>
    <row r="540">
      <c r="B540" s="18"/>
      <c r="C540" s="18"/>
      <c r="D540" s="18"/>
    </row>
    <row r="541">
      <c r="B541" s="18"/>
      <c r="C541" s="18"/>
      <c r="D541" s="18"/>
    </row>
    <row r="542">
      <c r="B542" s="18"/>
      <c r="C542" s="18"/>
      <c r="D542" s="18"/>
    </row>
    <row r="543">
      <c r="B543" s="18"/>
      <c r="C543" s="18"/>
      <c r="D543" s="18"/>
    </row>
    <row r="544">
      <c r="B544" s="18"/>
      <c r="C544" s="18"/>
      <c r="D544" s="18"/>
    </row>
    <row r="545">
      <c r="B545" s="18"/>
      <c r="C545" s="18"/>
      <c r="D545" s="18"/>
    </row>
    <row r="546">
      <c r="B546" s="18"/>
      <c r="C546" s="18"/>
      <c r="D546" s="18"/>
    </row>
    <row r="547">
      <c r="B547" s="18"/>
      <c r="C547" s="18"/>
      <c r="D547" s="18"/>
    </row>
    <row r="548">
      <c r="B548" s="18"/>
      <c r="C548" s="18"/>
      <c r="D548" s="18"/>
    </row>
    <row r="549">
      <c r="B549" s="18"/>
      <c r="C549" s="18"/>
      <c r="D549" s="18"/>
    </row>
    <row r="550">
      <c r="B550" s="18"/>
      <c r="C550" s="18"/>
      <c r="D550" s="18"/>
    </row>
    <row r="551">
      <c r="B551" s="18"/>
      <c r="C551" s="18"/>
      <c r="D551" s="18"/>
    </row>
    <row r="552">
      <c r="B552" s="18"/>
      <c r="C552" s="18"/>
      <c r="D552" s="18"/>
    </row>
    <row r="553">
      <c r="B553" s="18"/>
      <c r="C553" s="18"/>
      <c r="D553" s="18"/>
    </row>
    <row r="554">
      <c r="B554" s="18"/>
      <c r="C554" s="18"/>
      <c r="D554" s="18"/>
    </row>
    <row r="555">
      <c r="B555" s="18"/>
      <c r="C555" s="18"/>
      <c r="D555" s="18"/>
    </row>
    <row r="556">
      <c r="B556" s="18"/>
      <c r="C556" s="18"/>
      <c r="D556" s="18"/>
    </row>
    <row r="557">
      <c r="B557" s="18"/>
      <c r="C557" s="18"/>
      <c r="D557" s="18"/>
    </row>
    <row r="558">
      <c r="B558" s="18"/>
      <c r="C558" s="18"/>
      <c r="D558" s="18"/>
    </row>
    <row r="559">
      <c r="B559" s="18"/>
      <c r="C559" s="18"/>
      <c r="D559" s="18"/>
    </row>
    <row r="560">
      <c r="B560" s="18"/>
      <c r="C560" s="18"/>
      <c r="D560" s="18"/>
    </row>
    <row r="561">
      <c r="B561" s="18"/>
      <c r="C561" s="18"/>
      <c r="D561" s="18"/>
    </row>
    <row r="562">
      <c r="B562" s="18"/>
      <c r="C562" s="18"/>
      <c r="D562" s="18"/>
    </row>
    <row r="563">
      <c r="B563" s="18"/>
      <c r="C563" s="18"/>
      <c r="D563" s="18"/>
    </row>
    <row r="564">
      <c r="B564" s="18"/>
      <c r="C564" s="18"/>
      <c r="D564" s="18"/>
    </row>
    <row r="565">
      <c r="B565" s="18"/>
      <c r="C565" s="18"/>
      <c r="D565" s="18"/>
    </row>
    <row r="566">
      <c r="B566" s="18"/>
      <c r="C566" s="18"/>
      <c r="D566" s="18"/>
    </row>
    <row r="567">
      <c r="B567" s="18"/>
      <c r="C567" s="18"/>
      <c r="D567" s="18"/>
    </row>
    <row r="568">
      <c r="B568" s="18"/>
      <c r="C568" s="18"/>
      <c r="D568" s="18"/>
    </row>
    <row r="569">
      <c r="B569" s="18"/>
      <c r="C569" s="18"/>
      <c r="D569" s="18"/>
    </row>
    <row r="570">
      <c r="B570" s="18"/>
      <c r="C570" s="18"/>
      <c r="D570" s="18"/>
    </row>
    <row r="571">
      <c r="B571" s="18"/>
      <c r="C571" s="18"/>
      <c r="D571" s="18"/>
    </row>
    <row r="572">
      <c r="B572" s="18"/>
      <c r="C572" s="18"/>
      <c r="D572" s="18"/>
    </row>
    <row r="573">
      <c r="B573" s="18"/>
      <c r="C573" s="18"/>
      <c r="D573" s="18"/>
    </row>
    <row r="574">
      <c r="B574" s="18"/>
      <c r="C574" s="18"/>
      <c r="D574" s="18"/>
    </row>
    <row r="575">
      <c r="B575" s="18"/>
      <c r="C575" s="18"/>
      <c r="D575" s="18"/>
    </row>
    <row r="576">
      <c r="B576" s="18"/>
      <c r="C576" s="18"/>
      <c r="D576" s="18"/>
    </row>
    <row r="577">
      <c r="B577" s="18"/>
      <c r="C577" s="18"/>
      <c r="D577" s="18"/>
    </row>
    <row r="578">
      <c r="B578" s="18"/>
      <c r="C578" s="18"/>
      <c r="D578" s="18"/>
    </row>
    <row r="579">
      <c r="B579" s="18"/>
      <c r="C579" s="18"/>
      <c r="D579" s="18"/>
    </row>
    <row r="580">
      <c r="B580" s="18"/>
      <c r="C580" s="18"/>
      <c r="D580" s="18"/>
    </row>
    <row r="581">
      <c r="B581" s="18"/>
      <c r="C581" s="18"/>
      <c r="D581" s="18"/>
    </row>
    <row r="582">
      <c r="B582" s="18"/>
      <c r="C582" s="18"/>
      <c r="D582" s="18"/>
    </row>
    <row r="583">
      <c r="B583" s="18"/>
      <c r="C583" s="18"/>
      <c r="D583" s="18"/>
    </row>
    <row r="584">
      <c r="B584" s="18"/>
      <c r="C584" s="18"/>
      <c r="D584" s="18"/>
    </row>
    <row r="585">
      <c r="B585" s="18"/>
      <c r="C585" s="18"/>
      <c r="D585" s="18"/>
    </row>
    <row r="586">
      <c r="B586" s="18"/>
      <c r="C586" s="18"/>
      <c r="D586" s="18"/>
    </row>
    <row r="587">
      <c r="B587" s="18"/>
      <c r="C587" s="18"/>
      <c r="D587" s="18"/>
    </row>
    <row r="588">
      <c r="B588" s="18"/>
      <c r="C588" s="18"/>
      <c r="D588" s="18"/>
    </row>
    <row r="589">
      <c r="B589" s="18"/>
      <c r="C589" s="18"/>
      <c r="D589" s="18"/>
    </row>
    <row r="590">
      <c r="B590" s="18"/>
      <c r="C590" s="18"/>
      <c r="D590" s="18"/>
    </row>
    <row r="591">
      <c r="B591" s="18"/>
      <c r="C591" s="18"/>
      <c r="D591" s="18"/>
    </row>
    <row r="592">
      <c r="B592" s="18"/>
      <c r="C592" s="18"/>
      <c r="D592" s="18"/>
    </row>
    <row r="593">
      <c r="B593" s="18"/>
      <c r="C593" s="18"/>
      <c r="D593" s="18"/>
    </row>
    <row r="594">
      <c r="B594" s="18"/>
      <c r="C594" s="18"/>
      <c r="D594" s="18"/>
    </row>
    <row r="595">
      <c r="B595" s="18"/>
      <c r="C595" s="18"/>
      <c r="D595" s="18"/>
    </row>
    <row r="596">
      <c r="B596" s="18"/>
      <c r="C596" s="18"/>
      <c r="D596" s="18"/>
    </row>
    <row r="597">
      <c r="B597" s="18"/>
      <c r="C597" s="18"/>
      <c r="D597" s="18"/>
    </row>
    <row r="598">
      <c r="B598" s="18"/>
      <c r="C598" s="18"/>
      <c r="D598" s="18"/>
    </row>
    <row r="599">
      <c r="B599" s="18"/>
      <c r="C599" s="18"/>
      <c r="D599" s="18"/>
    </row>
    <row r="600">
      <c r="B600" s="18"/>
      <c r="C600" s="18"/>
      <c r="D600" s="18"/>
    </row>
    <row r="601">
      <c r="B601" s="18"/>
      <c r="C601" s="18"/>
      <c r="D601" s="18"/>
    </row>
    <row r="602">
      <c r="B602" s="18"/>
      <c r="C602" s="18"/>
      <c r="D602" s="18"/>
    </row>
    <row r="603">
      <c r="B603" s="18"/>
      <c r="C603" s="18"/>
      <c r="D603" s="18"/>
    </row>
    <row r="604">
      <c r="B604" s="18"/>
      <c r="C604" s="18"/>
      <c r="D604" s="18"/>
    </row>
    <row r="605">
      <c r="B605" s="18"/>
      <c r="C605" s="18"/>
      <c r="D605" s="18"/>
    </row>
    <row r="606">
      <c r="B606" s="18"/>
      <c r="C606" s="18"/>
      <c r="D606" s="18"/>
    </row>
    <row r="607">
      <c r="B607" s="18"/>
      <c r="C607" s="18"/>
      <c r="D607" s="18"/>
    </row>
    <row r="608">
      <c r="B608" s="18"/>
      <c r="C608" s="18"/>
      <c r="D608" s="18"/>
    </row>
    <row r="609">
      <c r="B609" s="18"/>
      <c r="C609" s="18"/>
      <c r="D609" s="18"/>
    </row>
    <row r="610">
      <c r="B610" s="18"/>
      <c r="C610" s="18"/>
      <c r="D610" s="18"/>
    </row>
    <row r="611">
      <c r="B611" s="18"/>
      <c r="C611" s="18"/>
      <c r="D611" s="18"/>
    </row>
    <row r="612">
      <c r="B612" s="18"/>
      <c r="C612" s="18"/>
      <c r="D612" s="18"/>
    </row>
    <row r="613">
      <c r="B613" s="18"/>
      <c r="C613" s="18"/>
      <c r="D613" s="18"/>
    </row>
    <row r="614">
      <c r="B614" s="18"/>
      <c r="C614" s="18"/>
      <c r="D614" s="18"/>
    </row>
    <row r="615">
      <c r="B615" s="18"/>
      <c r="C615" s="18"/>
      <c r="D615" s="18"/>
    </row>
    <row r="616">
      <c r="B616" s="18"/>
      <c r="C616" s="18"/>
      <c r="D616" s="18"/>
    </row>
    <row r="617">
      <c r="B617" s="18"/>
      <c r="C617" s="18"/>
      <c r="D617" s="18"/>
    </row>
    <row r="618">
      <c r="B618" s="18"/>
      <c r="C618" s="18"/>
      <c r="D618" s="18"/>
    </row>
    <row r="619">
      <c r="B619" s="18"/>
      <c r="C619" s="18"/>
      <c r="D619" s="18"/>
    </row>
    <row r="620">
      <c r="B620" s="18"/>
      <c r="C620" s="18"/>
      <c r="D620" s="18"/>
    </row>
    <row r="621">
      <c r="B621" s="18"/>
      <c r="C621" s="18"/>
      <c r="D621" s="18"/>
    </row>
    <row r="622">
      <c r="B622" s="18"/>
      <c r="C622" s="18"/>
      <c r="D622" s="18"/>
    </row>
    <row r="623">
      <c r="B623" s="18"/>
      <c r="C623" s="18"/>
      <c r="D623" s="18"/>
    </row>
    <row r="624">
      <c r="B624" s="18"/>
      <c r="C624" s="18"/>
      <c r="D624" s="18"/>
    </row>
    <row r="625">
      <c r="B625" s="18"/>
      <c r="C625" s="18"/>
      <c r="D625" s="18"/>
    </row>
    <row r="626">
      <c r="B626" s="18"/>
      <c r="C626" s="18"/>
      <c r="D626" s="18"/>
    </row>
    <row r="627">
      <c r="B627" s="18"/>
      <c r="C627" s="18"/>
      <c r="D627" s="18"/>
    </row>
    <row r="628">
      <c r="B628" s="18"/>
      <c r="C628" s="18"/>
      <c r="D628" s="18"/>
    </row>
    <row r="629">
      <c r="B629" s="18"/>
      <c r="C629" s="18"/>
      <c r="D629" s="18"/>
    </row>
    <row r="630">
      <c r="B630" s="18"/>
      <c r="C630" s="18"/>
      <c r="D630" s="18"/>
    </row>
    <row r="631">
      <c r="B631" s="18"/>
      <c r="C631" s="18"/>
      <c r="D631" s="18"/>
    </row>
    <row r="632">
      <c r="B632" s="18"/>
      <c r="C632" s="18"/>
      <c r="D632" s="18"/>
    </row>
    <row r="633">
      <c r="B633" s="18"/>
      <c r="C633" s="18"/>
      <c r="D633" s="18"/>
    </row>
    <row r="634">
      <c r="B634" s="18"/>
      <c r="C634" s="18"/>
      <c r="D634" s="18"/>
    </row>
    <row r="635">
      <c r="B635" s="18"/>
      <c r="C635" s="18"/>
      <c r="D635" s="18"/>
    </row>
    <row r="636">
      <c r="B636" s="18"/>
      <c r="C636" s="18"/>
      <c r="D636" s="18"/>
    </row>
    <row r="637">
      <c r="B637" s="18"/>
      <c r="C637" s="18"/>
      <c r="D637" s="18"/>
    </row>
    <row r="638">
      <c r="B638" s="18"/>
      <c r="C638" s="18"/>
      <c r="D638" s="18"/>
    </row>
    <row r="639">
      <c r="B639" s="18"/>
      <c r="C639" s="18"/>
      <c r="D639" s="18"/>
    </row>
    <row r="640">
      <c r="B640" s="18"/>
      <c r="C640" s="18"/>
      <c r="D640" s="18"/>
    </row>
    <row r="641">
      <c r="B641" s="18"/>
      <c r="C641" s="18"/>
      <c r="D641" s="18"/>
    </row>
    <row r="642">
      <c r="B642" s="18"/>
      <c r="C642" s="18"/>
      <c r="D642" s="18"/>
    </row>
    <row r="643">
      <c r="B643" s="18"/>
      <c r="C643" s="18"/>
      <c r="D643" s="18"/>
    </row>
    <row r="644">
      <c r="B644" s="18"/>
      <c r="C644" s="18"/>
      <c r="D644" s="18"/>
    </row>
    <row r="645">
      <c r="B645" s="18"/>
      <c r="C645" s="18"/>
      <c r="D645" s="18"/>
    </row>
    <row r="646">
      <c r="B646" s="18"/>
      <c r="C646" s="18"/>
      <c r="D646" s="18"/>
    </row>
    <row r="647">
      <c r="B647" s="18"/>
      <c r="C647" s="18"/>
      <c r="D647" s="18"/>
    </row>
    <row r="648">
      <c r="B648" s="18"/>
      <c r="C648" s="18"/>
      <c r="D648" s="18"/>
    </row>
    <row r="649">
      <c r="B649" s="18"/>
      <c r="C649" s="18"/>
      <c r="D649" s="18"/>
    </row>
    <row r="650">
      <c r="B650" s="18"/>
      <c r="C650" s="18"/>
      <c r="D650" s="18"/>
    </row>
    <row r="651">
      <c r="B651" s="18"/>
      <c r="C651" s="18"/>
      <c r="D651" s="18"/>
    </row>
    <row r="652">
      <c r="B652" s="18"/>
      <c r="C652" s="18"/>
      <c r="D652" s="18"/>
    </row>
    <row r="653">
      <c r="B653" s="18"/>
      <c r="C653" s="18"/>
      <c r="D653" s="18"/>
    </row>
    <row r="654">
      <c r="B654" s="18"/>
      <c r="C654" s="18"/>
      <c r="D654" s="18"/>
    </row>
    <row r="655">
      <c r="B655" s="18"/>
      <c r="C655" s="18"/>
      <c r="D655" s="18"/>
    </row>
    <row r="656">
      <c r="B656" s="18"/>
      <c r="C656" s="18"/>
      <c r="D656" s="18"/>
    </row>
    <row r="657">
      <c r="B657" s="18"/>
      <c r="C657" s="18"/>
      <c r="D657" s="18"/>
    </row>
    <row r="658">
      <c r="B658" s="18"/>
      <c r="C658" s="18"/>
      <c r="D658" s="18"/>
    </row>
    <row r="659">
      <c r="B659" s="18"/>
      <c r="C659" s="18"/>
      <c r="D659" s="18"/>
    </row>
    <row r="660">
      <c r="B660" s="18"/>
      <c r="C660" s="18"/>
      <c r="D660" s="18"/>
    </row>
    <row r="661">
      <c r="B661" s="18"/>
      <c r="C661" s="18"/>
      <c r="D661" s="18"/>
    </row>
    <row r="662">
      <c r="B662" s="18"/>
      <c r="C662" s="18"/>
      <c r="D662" s="18"/>
    </row>
    <row r="663">
      <c r="B663" s="18"/>
      <c r="C663" s="18"/>
      <c r="D663" s="18"/>
    </row>
    <row r="664">
      <c r="B664" s="18"/>
      <c r="C664" s="18"/>
      <c r="D664" s="18"/>
    </row>
    <row r="665">
      <c r="B665" s="18"/>
      <c r="C665" s="18"/>
      <c r="D665" s="18"/>
    </row>
    <row r="666">
      <c r="B666" s="18"/>
      <c r="C666" s="18"/>
      <c r="D666" s="18"/>
    </row>
    <row r="667">
      <c r="B667" s="18"/>
      <c r="C667" s="18"/>
      <c r="D667" s="18"/>
    </row>
    <row r="668">
      <c r="B668" s="18"/>
      <c r="C668" s="18"/>
      <c r="D668" s="18"/>
    </row>
    <row r="669">
      <c r="B669" s="18"/>
      <c r="C669" s="18"/>
      <c r="D669" s="18"/>
    </row>
    <row r="670">
      <c r="B670" s="18"/>
      <c r="C670" s="18"/>
      <c r="D670" s="18"/>
    </row>
    <row r="671">
      <c r="B671" s="18"/>
      <c r="C671" s="18"/>
      <c r="D671" s="18"/>
    </row>
    <row r="672">
      <c r="B672" s="18"/>
      <c r="C672" s="18"/>
      <c r="D672" s="18"/>
    </row>
    <row r="673">
      <c r="B673" s="18"/>
      <c r="C673" s="18"/>
      <c r="D673" s="18"/>
    </row>
    <row r="674">
      <c r="B674" s="18"/>
      <c r="C674" s="18"/>
      <c r="D674" s="18"/>
    </row>
    <row r="675">
      <c r="B675" s="18"/>
      <c r="C675" s="18"/>
      <c r="D675" s="18"/>
    </row>
    <row r="676">
      <c r="B676" s="18"/>
      <c r="C676" s="18"/>
      <c r="D676" s="18"/>
    </row>
    <row r="677">
      <c r="B677" s="18"/>
      <c r="C677" s="18"/>
      <c r="D677" s="18"/>
    </row>
    <row r="678">
      <c r="B678" s="18"/>
      <c r="C678" s="18"/>
      <c r="D678" s="18"/>
    </row>
    <row r="679">
      <c r="B679" s="18"/>
      <c r="C679" s="18"/>
      <c r="D679" s="18"/>
    </row>
    <row r="680">
      <c r="B680" s="18"/>
      <c r="C680" s="18"/>
      <c r="D680" s="18"/>
    </row>
    <row r="681">
      <c r="B681" s="18"/>
      <c r="C681" s="18"/>
      <c r="D681" s="18"/>
    </row>
    <row r="682">
      <c r="B682" s="18"/>
      <c r="C682" s="18"/>
      <c r="D682" s="18"/>
    </row>
    <row r="683">
      <c r="B683" s="18"/>
      <c r="C683" s="18"/>
      <c r="D683" s="18"/>
    </row>
    <row r="684">
      <c r="B684" s="18"/>
      <c r="C684" s="18"/>
      <c r="D684" s="18"/>
    </row>
    <row r="685">
      <c r="B685" s="18"/>
      <c r="C685" s="18"/>
      <c r="D685" s="18"/>
    </row>
    <row r="686">
      <c r="B686" s="18"/>
      <c r="C686" s="18"/>
      <c r="D686" s="18"/>
    </row>
    <row r="687">
      <c r="B687" s="18"/>
      <c r="C687" s="18"/>
      <c r="D687" s="18"/>
    </row>
    <row r="688">
      <c r="B688" s="18"/>
      <c r="C688" s="18"/>
      <c r="D688" s="18"/>
    </row>
    <row r="689">
      <c r="B689" s="18"/>
      <c r="C689" s="18"/>
      <c r="D689" s="18"/>
    </row>
    <row r="690">
      <c r="B690" s="18"/>
      <c r="C690" s="18"/>
      <c r="D690" s="18"/>
    </row>
    <row r="691">
      <c r="B691" s="18"/>
      <c r="C691" s="18"/>
      <c r="D691" s="18"/>
    </row>
    <row r="692">
      <c r="B692" s="18"/>
      <c r="C692" s="18"/>
      <c r="D692" s="18"/>
    </row>
    <row r="693">
      <c r="B693" s="18"/>
      <c r="C693" s="18"/>
      <c r="D693" s="18"/>
    </row>
    <row r="694">
      <c r="B694" s="18"/>
      <c r="C694" s="18"/>
      <c r="D694" s="18"/>
    </row>
    <row r="695">
      <c r="B695" s="18"/>
      <c r="C695" s="18"/>
      <c r="D695" s="18"/>
    </row>
    <row r="696">
      <c r="B696" s="18"/>
      <c r="C696" s="18"/>
      <c r="D696" s="18"/>
    </row>
    <row r="697">
      <c r="B697" s="18"/>
      <c r="C697" s="18"/>
      <c r="D697" s="18"/>
    </row>
    <row r="698">
      <c r="B698" s="18"/>
      <c r="C698" s="18"/>
      <c r="D698" s="18"/>
    </row>
    <row r="699">
      <c r="B699" s="18"/>
      <c r="C699" s="18"/>
      <c r="D699" s="18"/>
    </row>
    <row r="700">
      <c r="B700" s="18"/>
      <c r="C700" s="18"/>
      <c r="D700" s="18"/>
    </row>
    <row r="701">
      <c r="B701" s="18"/>
      <c r="C701" s="18"/>
      <c r="D701" s="18"/>
    </row>
    <row r="702">
      <c r="B702" s="18"/>
      <c r="C702" s="18"/>
      <c r="D702" s="18"/>
    </row>
    <row r="703">
      <c r="B703" s="18"/>
      <c r="C703" s="18"/>
      <c r="D703" s="18"/>
    </row>
    <row r="704">
      <c r="B704" s="18"/>
      <c r="C704" s="18"/>
      <c r="D704" s="18"/>
    </row>
    <row r="705">
      <c r="B705" s="18"/>
      <c r="C705" s="18"/>
      <c r="D705" s="18"/>
    </row>
    <row r="706">
      <c r="B706" s="18"/>
      <c r="C706" s="18"/>
      <c r="D706" s="18"/>
    </row>
    <row r="707">
      <c r="B707" s="18"/>
      <c r="C707" s="18"/>
      <c r="D707" s="18"/>
    </row>
    <row r="708">
      <c r="B708" s="18"/>
      <c r="C708" s="18"/>
      <c r="D708" s="18"/>
    </row>
    <row r="709">
      <c r="B709" s="18"/>
      <c r="C709" s="18"/>
      <c r="D709" s="18"/>
    </row>
    <row r="710">
      <c r="B710" s="18"/>
      <c r="C710" s="18"/>
      <c r="D710" s="18"/>
    </row>
    <row r="711">
      <c r="B711" s="18"/>
      <c r="C711" s="18"/>
      <c r="D711" s="18"/>
    </row>
    <row r="712">
      <c r="B712" s="18"/>
      <c r="C712" s="18"/>
      <c r="D712" s="18"/>
    </row>
    <row r="713">
      <c r="B713" s="18"/>
      <c r="C713" s="18"/>
      <c r="D713" s="18"/>
    </row>
    <row r="714">
      <c r="B714" s="18"/>
      <c r="C714" s="18"/>
      <c r="D714" s="18"/>
    </row>
    <row r="715">
      <c r="B715" s="18"/>
      <c r="C715" s="18"/>
      <c r="D715" s="18"/>
    </row>
    <row r="716">
      <c r="B716" s="18"/>
      <c r="C716" s="18"/>
      <c r="D716" s="18"/>
    </row>
    <row r="717">
      <c r="B717" s="18"/>
      <c r="C717" s="18"/>
      <c r="D717" s="18"/>
    </row>
    <row r="718">
      <c r="B718" s="18"/>
      <c r="C718" s="18"/>
      <c r="D718" s="18"/>
    </row>
    <row r="719">
      <c r="B719" s="18"/>
      <c r="C719" s="18"/>
      <c r="D719" s="18"/>
    </row>
    <row r="720">
      <c r="B720" s="18"/>
      <c r="C720" s="18"/>
      <c r="D720" s="18"/>
    </row>
    <row r="721">
      <c r="B721" s="18"/>
      <c r="C721" s="18"/>
      <c r="D721" s="18"/>
    </row>
    <row r="722">
      <c r="B722" s="18"/>
      <c r="C722" s="18"/>
      <c r="D722" s="18"/>
    </row>
    <row r="723">
      <c r="B723" s="18"/>
      <c r="C723" s="18"/>
      <c r="D723" s="18"/>
    </row>
    <row r="724">
      <c r="B724" s="18"/>
      <c r="C724" s="18"/>
      <c r="D724" s="18"/>
    </row>
    <row r="725">
      <c r="B725" s="18"/>
      <c r="C725" s="18"/>
      <c r="D725" s="18"/>
    </row>
    <row r="726">
      <c r="B726" s="18"/>
      <c r="C726" s="18"/>
      <c r="D726" s="18"/>
    </row>
    <row r="727">
      <c r="B727" s="18"/>
      <c r="C727" s="18"/>
      <c r="D727" s="18"/>
    </row>
    <row r="728">
      <c r="B728" s="18"/>
      <c r="C728" s="18"/>
      <c r="D728" s="18"/>
    </row>
    <row r="729">
      <c r="B729" s="18"/>
      <c r="C729" s="18"/>
      <c r="D729" s="18"/>
    </row>
    <row r="730">
      <c r="B730" s="18"/>
      <c r="C730" s="18"/>
      <c r="D730" s="18"/>
    </row>
    <row r="731">
      <c r="B731" s="18"/>
      <c r="C731" s="18"/>
      <c r="D731" s="18"/>
    </row>
    <row r="732">
      <c r="B732" s="18"/>
      <c r="C732" s="18"/>
      <c r="D732" s="18"/>
    </row>
    <row r="733">
      <c r="B733" s="18"/>
      <c r="C733" s="18"/>
      <c r="D733" s="18"/>
    </row>
    <row r="734">
      <c r="B734" s="18"/>
      <c r="C734" s="18"/>
      <c r="D734" s="18"/>
    </row>
    <row r="735">
      <c r="B735" s="18"/>
      <c r="C735" s="18"/>
      <c r="D735" s="18"/>
    </row>
    <row r="736">
      <c r="B736" s="18"/>
      <c r="C736" s="18"/>
      <c r="D736" s="18"/>
    </row>
    <row r="737">
      <c r="B737" s="18"/>
      <c r="C737" s="18"/>
      <c r="D737" s="18"/>
    </row>
    <row r="738">
      <c r="B738" s="18"/>
      <c r="C738" s="18"/>
      <c r="D738" s="18"/>
    </row>
    <row r="739">
      <c r="B739" s="18"/>
      <c r="C739" s="18"/>
      <c r="D739" s="18"/>
    </row>
    <row r="740">
      <c r="B740" s="18"/>
      <c r="C740" s="18"/>
      <c r="D740" s="18"/>
    </row>
    <row r="741">
      <c r="B741" s="18"/>
      <c r="C741" s="18"/>
      <c r="D741" s="18"/>
    </row>
    <row r="742">
      <c r="B742" s="18"/>
      <c r="C742" s="18"/>
      <c r="D742" s="18"/>
    </row>
    <row r="743">
      <c r="B743" s="18"/>
      <c r="C743" s="18"/>
      <c r="D743" s="18"/>
    </row>
    <row r="744">
      <c r="B744" s="18"/>
      <c r="C744" s="18"/>
      <c r="D744" s="18"/>
    </row>
    <row r="745">
      <c r="B745" s="18"/>
      <c r="C745" s="18"/>
      <c r="D745" s="18"/>
    </row>
    <row r="746">
      <c r="B746" s="18"/>
      <c r="C746" s="18"/>
      <c r="D746" s="18"/>
    </row>
    <row r="747">
      <c r="B747" s="18"/>
      <c r="C747" s="18"/>
      <c r="D747" s="18"/>
    </row>
    <row r="748">
      <c r="B748" s="18"/>
      <c r="C748" s="18"/>
      <c r="D748" s="18"/>
    </row>
    <row r="749">
      <c r="B749" s="18"/>
      <c r="C749" s="18"/>
      <c r="D749" s="18"/>
    </row>
    <row r="750">
      <c r="B750" s="18"/>
      <c r="C750" s="18"/>
      <c r="D750" s="18"/>
    </row>
    <row r="751">
      <c r="B751" s="18"/>
      <c r="C751" s="18"/>
      <c r="D751" s="18"/>
    </row>
    <row r="752">
      <c r="B752" s="18"/>
      <c r="C752" s="18"/>
      <c r="D752" s="18"/>
    </row>
    <row r="753">
      <c r="B753" s="18"/>
      <c r="C753" s="18"/>
      <c r="D753" s="18"/>
    </row>
    <row r="754">
      <c r="B754" s="18"/>
      <c r="C754" s="18"/>
      <c r="D754" s="18"/>
    </row>
    <row r="755">
      <c r="B755" s="18"/>
      <c r="C755" s="18"/>
      <c r="D755" s="18"/>
    </row>
    <row r="756">
      <c r="B756" s="18"/>
      <c r="C756" s="18"/>
      <c r="D756" s="18"/>
    </row>
    <row r="757">
      <c r="B757" s="18"/>
      <c r="C757" s="18"/>
      <c r="D757" s="18"/>
    </row>
    <row r="758">
      <c r="B758" s="18"/>
      <c r="C758" s="18"/>
      <c r="D758" s="18"/>
    </row>
    <row r="759">
      <c r="B759" s="18"/>
      <c r="C759" s="18"/>
      <c r="D759" s="18"/>
    </row>
    <row r="760">
      <c r="B760" s="18"/>
      <c r="C760" s="18"/>
      <c r="D760" s="18"/>
    </row>
    <row r="761">
      <c r="B761" s="18"/>
      <c r="C761" s="18"/>
      <c r="D761" s="18"/>
    </row>
    <row r="762">
      <c r="B762" s="18"/>
      <c r="C762" s="18"/>
      <c r="D762" s="18"/>
    </row>
    <row r="763">
      <c r="B763" s="18"/>
      <c r="C763" s="18"/>
      <c r="D763" s="18"/>
    </row>
    <row r="764">
      <c r="B764" s="18"/>
      <c r="C764" s="18"/>
      <c r="D764" s="18"/>
    </row>
    <row r="765">
      <c r="B765" s="18"/>
      <c r="C765" s="18"/>
      <c r="D765" s="18"/>
    </row>
    <row r="766">
      <c r="B766" s="18"/>
      <c r="C766" s="18"/>
      <c r="D766" s="18"/>
    </row>
    <row r="767">
      <c r="B767" s="18"/>
      <c r="C767" s="18"/>
      <c r="D767" s="18"/>
    </row>
    <row r="768">
      <c r="B768" s="18"/>
      <c r="C768" s="18"/>
      <c r="D768" s="18"/>
    </row>
    <row r="769">
      <c r="B769" s="18"/>
      <c r="C769" s="18"/>
      <c r="D769" s="18"/>
    </row>
    <row r="770">
      <c r="B770" s="18"/>
      <c r="C770" s="18"/>
      <c r="D770" s="18"/>
    </row>
    <row r="771">
      <c r="B771" s="18"/>
      <c r="C771" s="18"/>
      <c r="D771" s="18"/>
    </row>
    <row r="772">
      <c r="B772" s="18"/>
      <c r="C772" s="18"/>
      <c r="D772" s="18"/>
    </row>
    <row r="773">
      <c r="B773" s="18"/>
      <c r="C773" s="18"/>
      <c r="D773" s="18"/>
    </row>
    <row r="774">
      <c r="B774" s="18"/>
      <c r="C774" s="18"/>
      <c r="D774" s="18"/>
    </row>
    <row r="775">
      <c r="B775" s="18"/>
      <c r="C775" s="18"/>
      <c r="D775" s="18"/>
    </row>
    <row r="776">
      <c r="B776" s="18"/>
      <c r="C776" s="18"/>
      <c r="D776" s="18"/>
    </row>
    <row r="777">
      <c r="B777" s="18"/>
      <c r="C777" s="18"/>
      <c r="D777" s="18"/>
    </row>
    <row r="778">
      <c r="B778" s="18"/>
      <c r="C778" s="18"/>
      <c r="D778" s="18"/>
    </row>
    <row r="779">
      <c r="B779" s="18"/>
      <c r="C779" s="18"/>
      <c r="D779" s="18"/>
    </row>
    <row r="780">
      <c r="B780" s="18"/>
      <c r="C780" s="18"/>
      <c r="D780" s="18"/>
    </row>
    <row r="781">
      <c r="B781" s="18"/>
      <c r="C781" s="18"/>
      <c r="D781" s="18"/>
    </row>
    <row r="782">
      <c r="B782" s="18"/>
      <c r="C782" s="18"/>
      <c r="D782" s="18"/>
    </row>
    <row r="783">
      <c r="B783" s="18"/>
      <c r="C783" s="18"/>
      <c r="D783" s="18"/>
    </row>
    <row r="784">
      <c r="B784" s="18"/>
      <c r="C784" s="18"/>
      <c r="D784" s="18"/>
    </row>
    <row r="785">
      <c r="B785" s="18"/>
      <c r="C785" s="18"/>
      <c r="D785" s="18"/>
    </row>
    <row r="786">
      <c r="B786" s="18"/>
      <c r="C786" s="18"/>
      <c r="D786" s="18"/>
    </row>
    <row r="787">
      <c r="B787" s="18"/>
      <c r="C787" s="18"/>
      <c r="D787" s="18"/>
    </row>
    <row r="788">
      <c r="B788" s="18"/>
      <c r="C788" s="18"/>
      <c r="D788" s="18"/>
    </row>
    <row r="789">
      <c r="B789" s="18"/>
      <c r="C789" s="18"/>
      <c r="D789" s="18"/>
    </row>
    <row r="790">
      <c r="B790" s="18"/>
      <c r="C790" s="18"/>
      <c r="D790" s="18"/>
    </row>
    <row r="791">
      <c r="B791" s="18"/>
      <c r="C791" s="18"/>
      <c r="D791" s="18"/>
    </row>
    <row r="792">
      <c r="B792" s="18"/>
      <c r="C792" s="18"/>
      <c r="D792" s="18"/>
    </row>
    <row r="793">
      <c r="B793" s="18"/>
      <c r="C793" s="18"/>
      <c r="D793" s="18"/>
    </row>
    <row r="794">
      <c r="B794" s="18"/>
      <c r="C794" s="18"/>
      <c r="D794" s="18"/>
    </row>
    <row r="795">
      <c r="B795" s="18"/>
      <c r="C795" s="18"/>
      <c r="D795" s="18"/>
    </row>
    <row r="796">
      <c r="B796" s="18"/>
      <c r="C796" s="18"/>
      <c r="D796" s="18"/>
    </row>
    <row r="797">
      <c r="B797" s="18"/>
      <c r="C797" s="18"/>
      <c r="D797" s="18"/>
    </row>
    <row r="798">
      <c r="B798" s="18"/>
      <c r="C798" s="18"/>
      <c r="D798" s="18"/>
    </row>
    <row r="799">
      <c r="B799" s="18"/>
      <c r="C799" s="18"/>
      <c r="D799" s="18"/>
    </row>
    <row r="800">
      <c r="B800" s="18"/>
      <c r="C800" s="18"/>
      <c r="D800" s="18"/>
    </row>
    <row r="801">
      <c r="B801" s="18"/>
      <c r="C801" s="18"/>
      <c r="D801" s="18"/>
    </row>
    <row r="802">
      <c r="B802" s="18"/>
      <c r="C802" s="18"/>
      <c r="D802" s="18"/>
    </row>
    <row r="803">
      <c r="B803" s="18"/>
      <c r="C803" s="18"/>
      <c r="D803" s="18"/>
    </row>
    <row r="804">
      <c r="B804" s="18"/>
      <c r="C804" s="18"/>
      <c r="D804" s="18"/>
    </row>
    <row r="805">
      <c r="B805" s="18"/>
      <c r="C805" s="18"/>
      <c r="D805" s="18"/>
    </row>
    <row r="806">
      <c r="B806" s="18"/>
      <c r="C806" s="18"/>
      <c r="D806" s="18"/>
    </row>
    <row r="807">
      <c r="B807" s="18"/>
      <c r="C807" s="18"/>
      <c r="D807" s="18"/>
    </row>
    <row r="808">
      <c r="B808" s="18"/>
      <c r="C808" s="18"/>
      <c r="D808" s="18"/>
    </row>
    <row r="809">
      <c r="B809" s="18"/>
      <c r="C809" s="18"/>
      <c r="D809" s="18"/>
    </row>
    <row r="810">
      <c r="B810" s="18"/>
      <c r="C810" s="18"/>
      <c r="D810" s="18"/>
    </row>
    <row r="811">
      <c r="B811" s="18"/>
      <c r="C811" s="18"/>
      <c r="D811" s="18"/>
    </row>
    <row r="812">
      <c r="B812" s="18"/>
      <c r="C812" s="18"/>
      <c r="D812" s="18"/>
    </row>
    <row r="813">
      <c r="B813" s="18"/>
      <c r="C813" s="18"/>
      <c r="D813" s="18"/>
    </row>
    <row r="814">
      <c r="B814" s="18"/>
      <c r="C814" s="18"/>
      <c r="D814" s="18"/>
    </row>
    <row r="815">
      <c r="B815" s="18"/>
      <c r="C815" s="18"/>
      <c r="D815" s="18"/>
    </row>
    <row r="816">
      <c r="B816" s="18"/>
      <c r="C816" s="18"/>
      <c r="D816" s="18"/>
    </row>
    <row r="817">
      <c r="B817" s="18"/>
      <c r="C817" s="18"/>
      <c r="D817" s="18"/>
    </row>
    <row r="818">
      <c r="B818" s="18"/>
      <c r="C818" s="18"/>
      <c r="D818" s="18"/>
    </row>
    <row r="819">
      <c r="B819" s="18"/>
      <c r="C819" s="18"/>
      <c r="D819" s="18"/>
    </row>
    <row r="820">
      <c r="B820" s="18"/>
      <c r="C820" s="18"/>
      <c r="D820" s="18"/>
    </row>
    <row r="821">
      <c r="B821" s="18"/>
      <c r="C821" s="18"/>
      <c r="D821" s="18"/>
    </row>
    <row r="822">
      <c r="B822" s="18"/>
      <c r="C822" s="18"/>
      <c r="D822" s="18"/>
    </row>
    <row r="823">
      <c r="B823" s="18"/>
      <c r="C823" s="18"/>
      <c r="D823" s="18"/>
    </row>
    <row r="824">
      <c r="B824" s="18"/>
      <c r="C824" s="18"/>
      <c r="D824" s="18"/>
    </row>
    <row r="825">
      <c r="B825" s="18"/>
      <c r="C825" s="18"/>
      <c r="D825" s="18"/>
    </row>
    <row r="826">
      <c r="B826" s="18"/>
      <c r="C826" s="18"/>
      <c r="D826" s="18"/>
    </row>
    <row r="827">
      <c r="B827" s="18"/>
      <c r="C827" s="18"/>
      <c r="D827" s="18"/>
    </row>
    <row r="828">
      <c r="B828" s="18"/>
      <c r="C828" s="18"/>
      <c r="D828" s="18"/>
    </row>
    <row r="829">
      <c r="B829" s="18"/>
      <c r="C829" s="18"/>
      <c r="D829" s="18"/>
    </row>
    <row r="830">
      <c r="B830" s="18"/>
      <c r="C830" s="18"/>
      <c r="D830" s="18"/>
    </row>
    <row r="831">
      <c r="B831" s="18"/>
      <c r="C831" s="18"/>
      <c r="D831" s="18"/>
    </row>
    <row r="832">
      <c r="B832" s="18"/>
      <c r="C832" s="18"/>
      <c r="D832" s="18"/>
    </row>
    <row r="833">
      <c r="B833" s="18"/>
      <c r="C833" s="18"/>
      <c r="D833" s="18"/>
    </row>
    <row r="834">
      <c r="B834" s="18"/>
      <c r="C834" s="18"/>
      <c r="D834" s="18"/>
    </row>
    <row r="835">
      <c r="B835" s="18"/>
      <c r="C835" s="18"/>
      <c r="D835" s="18"/>
    </row>
    <row r="836">
      <c r="B836" s="18"/>
      <c r="C836" s="18"/>
      <c r="D836" s="18"/>
    </row>
    <row r="837">
      <c r="B837" s="18"/>
      <c r="C837" s="18"/>
      <c r="D837" s="18"/>
    </row>
    <row r="838">
      <c r="B838" s="18"/>
      <c r="C838" s="18"/>
      <c r="D838" s="18"/>
    </row>
    <row r="839">
      <c r="B839" s="18"/>
      <c r="C839" s="18"/>
      <c r="D839" s="18"/>
    </row>
    <row r="840">
      <c r="B840" s="18"/>
      <c r="C840" s="18"/>
      <c r="D840" s="18"/>
    </row>
    <row r="841">
      <c r="B841" s="18"/>
      <c r="C841" s="18"/>
      <c r="D841" s="18"/>
    </row>
    <row r="842">
      <c r="B842" s="18"/>
      <c r="C842" s="18"/>
      <c r="D842" s="18"/>
    </row>
    <row r="843">
      <c r="B843" s="18"/>
      <c r="C843" s="18"/>
      <c r="D843" s="18"/>
    </row>
    <row r="844">
      <c r="B844" s="18"/>
      <c r="C844" s="18"/>
      <c r="D844" s="18"/>
    </row>
    <row r="845">
      <c r="B845" s="18"/>
      <c r="C845" s="18"/>
      <c r="D845" s="18"/>
    </row>
    <row r="846">
      <c r="B846" s="18"/>
      <c r="C846" s="18"/>
      <c r="D846" s="18"/>
    </row>
    <row r="847">
      <c r="B847" s="18"/>
      <c r="C847" s="18"/>
      <c r="D847" s="18"/>
    </row>
    <row r="848">
      <c r="B848" s="18"/>
      <c r="C848" s="18"/>
      <c r="D848" s="18"/>
    </row>
    <row r="849">
      <c r="B849" s="18"/>
      <c r="C849" s="18"/>
      <c r="D849" s="18"/>
    </row>
    <row r="850">
      <c r="B850" s="18"/>
      <c r="C850" s="18"/>
      <c r="D850" s="18"/>
    </row>
    <row r="851">
      <c r="B851" s="18"/>
      <c r="C851" s="18"/>
      <c r="D851" s="18"/>
    </row>
    <row r="852">
      <c r="B852" s="18"/>
      <c r="C852" s="18"/>
      <c r="D852" s="18"/>
    </row>
    <row r="853">
      <c r="B853" s="18"/>
      <c r="C853" s="18"/>
      <c r="D853" s="18"/>
    </row>
    <row r="854">
      <c r="B854" s="18"/>
      <c r="C854" s="18"/>
      <c r="D854" s="18"/>
    </row>
    <row r="855">
      <c r="B855" s="18"/>
      <c r="C855" s="18"/>
      <c r="D855" s="18"/>
    </row>
    <row r="856">
      <c r="B856" s="18"/>
      <c r="C856" s="18"/>
      <c r="D856" s="18"/>
    </row>
    <row r="857">
      <c r="B857" s="18"/>
      <c r="C857" s="18"/>
      <c r="D857" s="18"/>
    </row>
    <row r="858">
      <c r="B858" s="18"/>
      <c r="C858" s="18"/>
      <c r="D858" s="18"/>
    </row>
    <row r="859">
      <c r="B859" s="18"/>
      <c r="C859" s="18"/>
      <c r="D859" s="18"/>
    </row>
    <row r="860">
      <c r="B860" s="18"/>
      <c r="C860" s="18"/>
      <c r="D860" s="18"/>
    </row>
    <row r="861">
      <c r="B861" s="18"/>
      <c r="C861" s="18"/>
      <c r="D861" s="18"/>
    </row>
    <row r="862">
      <c r="B862" s="18"/>
      <c r="C862" s="18"/>
      <c r="D862" s="18"/>
    </row>
    <row r="863">
      <c r="B863" s="18"/>
      <c r="C863" s="18"/>
      <c r="D863" s="18"/>
    </row>
    <row r="864">
      <c r="B864" s="18"/>
      <c r="C864" s="18"/>
      <c r="D864" s="18"/>
    </row>
    <row r="865">
      <c r="B865" s="18"/>
      <c r="C865" s="18"/>
      <c r="D865" s="18"/>
    </row>
    <row r="866">
      <c r="B866" s="18"/>
      <c r="C866" s="18"/>
      <c r="D866" s="18"/>
    </row>
    <row r="867">
      <c r="B867" s="18"/>
      <c r="C867" s="18"/>
      <c r="D867" s="18"/>
    </row>
    <row r="868">
      <c r="B868" s="18"/>
      <c r="C868" s="18"/>
      <c r="D868" s="18"/>
    </row>
    <row r="869">
      <c r="B869" s="18"/>
      <c r="C869" s="18"/>
      <c r="D869" s="18"/>
    </row>
    <row r="870">
      <c r="B870" s="18"/>
      <c r="C870" s="18"/>
      <c r="D870" s="18"/>
    </row>
    <row r="871">
      <c r="B871" s="18"/>
      <c r="C871" s="18"/>
      <c r="D871" s="18"/>
    </row>
    <row r="872">
      <c r="B872" s="18"/>
      <c r="C872" s="18"/>
      <c r="D872" s="18"/>
    </row>
    <row r="873">
      <c r="B873" s="18"/>
      <c r="C873" s="18"/>
      <c r="D873" s="18"/>
    </row>
    <row r="874">
      <c r="B874" s="18"/>
      <c r="C874" s="18"/>
      <c r="D874" s="18"/>
    </row>
    <row r="875">
      <c r="B875" s="18"/>
      <c r="C875" s="18"/>
      <c r="D875" s="18"/>
    </row>
    <row r="876">
      <c r="B876" s="18"/>
      <c r="C876" s="18"/>
      <c r="D876" s="18"/>
    </row>
    <row r="877">
      <c r="B877" s="18"/>
      <c r="C877" s="18"/>
      <c r="D877" s="18"/>
    </row>
    <row r="878">
      <c r="B878" s="18"/>
      <c r="C878" s="18"/>
      <c r="D878" s="18"/>
    </row>
    <row r="879">
      <c r="B879" s="18"/>
      <c r="C879" s="18"/>
      <c r="D879" s="18"/>
    </row>
    <row r="880">
      <c r="B880" s="18"/>
      <c r="C880" s="18"/>
      <c r="D880" s="18"/>
    </row>
    <row r="881">
      <c r="B881" s="18"/>
      <c r="C881" s="18"/>
      <c r="D881" s="18"/>
    </row>
    <row r="882">
      <c r="B882" s="18"/>
      <c r="C882" s="18"/>
      <c r="D882" s="18"/>
    </row>
    <row r="883">
      <c r="B883" s="18"/>
      <c r="C883" s="18"/>
      <c r="D883" s="18"/>
    </row>
    <row r="884">
      <c r="B884" s="18"/>
      <c r="C884" s="18"/>
      <c r="D884" s="18"/>
    </row>
    <row r="885">
      <c r="B885" s="18"/>
      <c r="C885" s="18"/>
      <c r="D885" s="18"/>
    </row>
    <row r="886">
      <c r="B886" s="18"/>
      <c r="C886" s="18"/>
      <c r="D886" s="18"/>
    </row>
    <row r="887">
      <c r="B887" s="18"/>
      <c r="C887" s="18"/>
      <c r="D887" s="18"/>
    </row>
    <row r="888">
      <c r="B888" s="18"/>
      <c r="C888" s="18"/>
      <c r="D888" s="18"/>
    </row>
    <row r="889">
      <c r="B889" s="18"/>
      <c r="C889" s="18"/>
      <c r="D889" s="18"/>
    </row>
    <row r="890">
      <c r="B890" s="18"/>
      <c r="C890" s="18"/>
      <c r="D890" s="18"/>
    </row>
    <row r="891">
      <c r="B891" s="18"/>
      <c r="C891" s="18"/>
      <c r="D891" s="18"/>
    </row>
    <row r="892">
      <c r="B892" s="18"/>
      <c r="C892" s="18"/>
      <c r="D892" s="18"/>
    </row>
    <row r="893">
      <c r="B893" s="18"/>
      <c r="C893" s="18"/>
      <c r="D893" s="18"/>
    </row>
    <row r="894">
      <c r="B894" s="18"/>
      <c r="C894" s="18"/>
      <c r="D894" s="18"/>
    </row>
    <row r="895">
      <c r="B895" s="18"/>
      <c r="C895" s="18"/>
      <c r="D895" s="18"/>
    </row>
    <row r="896">
      <c r="B896" s="18"/>
      <c r="C896" s="18"/>
      <c r="D896" s="18"/>
    </row>
    <row r="897">
      <c r="B897" s="18"/>
      <c r="C897" s="18"/>
      <c r="D897" s="18"/>
    </row>
    <row r="898">
      <c r="B898" s="18"/>
      <c r="C898" s="18"/>
      <c r="D898" s="18"/>
    </row>
    <row r="899">
      <c r="B899" s="18"/>
      <c r="C899" s="18"/>
      <c r="D899" s="18"/>
    </row>
    <row r="900">
      <c r="B900" s="18"/>
      <c r="C900" s="18"/>
      <c r="D900" s="18"/>
    </row>
    <row r="901">
      <c r="B901" s="18"/>
      <c r="C901" s="18"/>
      <c r="D901" s="18"/>
    </row>
    <row r="902">
      <c r="B902" s="18"/>
      <c r="C902" s="18"/>
      <c r="D902" s="18"/>
    </row>
    <row r="903">
      <c r="B903" s="18"/>
      <c r="C903" s="18"/>
      <c r="D903" s="18"/>
    </row>
    <row r="904">
      <c r="B904" s="18"/>
      <c r="C904" s="18"/>
      <c r="D904" s="18"/>
    </row>
    <row r="905">
      <c r="B905" s="18"/>
      <c r="C905" s="18"/>
      <c r="D905" s="18"/>
    </row>
    <row r="906">
      <c r="B906" s="18"/>
      <c r="C906" s="18"/>
      <c r="D906" s="18"/>
    </row>
    <row r="907">
      <c r="B907" s="18"/>
      <c r="C907" s="18"/>
      <c r="D907" s="18"/>
    </row>
    <row r="908">
      <c r="B908" s="18"/>
      <c r="C908" s="18"/>
      <c r="D908" s="18"/>
    </row>
    <row r="909">
      <c r="B909" s="18"/>
      <c r="C909" s="18"/>
      <c r="D909" s="18"/>
    </row>
    <row r="910">
      <c r="B910" s="18"/>
      <c r="C910" s="18"/>
      <c r="D910" s="18"/>
    </row>
    <row r="911">
      <c r="B911" s="18"/>
      <c r="C911" s="18"/>
      <c r="D911" s="18"/>
    </row>
    <row r="912">
      <c r="B912" s="18"/>
      <c r="C912" s="18"/>
      <c r="D912" s="18"/>
    </row>
    <row r="913">
      <c r="B913" s="18"/>
      <c r="C913" s="18"/>
      <c r="D913" s="18"/>
    </row>
    <row r="914">
      <c r="B914" s="18"/>
      <c r="C914" s="18"/>
      <c r="D914" s="18"/>
    </row>
    <row r="915">
      <c r="B915" s="18"/>
      <c r="C915" s="18"/>
      <c r="D915" s="18"/>
    </row>
    <row r="916">
      <c r="B916" s="18"/>
      <c r="C916" s="18"/>
      <c r="D916" s="18"/>
    </row>
    <row r="917">
      <c r="B917" s="18"/>
      <c r="C917" s="18"/>
      <c r="D917" s="18"/>
    </row>
    <row r="918">
      <c r="B918" s="18"/>
      <c r="C918" s="18"/>
      <c r="D918" s="18"/>
    </row>
    <row r="919">
      <c r="B919" s="18"/>
      <c r="C919" s="18"/>
      <c r="D919" s="18"/>
    </row>
    <row r="920">
      <c r="B920" s="18"/>
      <c r="C920" s="18"/>
      <c r="D920" s="18"/>
    </row>
    <row r="921">
      <c r="B921" s="18"/>
      <c r="C921" s="18"/>
      <c r="D921" s="18"/>
    </row>
    <row r="922">
      <c r="B922" s="18"/>
      <c r="C922" s="18"/>
      <c r="D922" s="18"/>
    </row>
    <row r="923">
      <c r="B923" s="18"/>
      <c r="C923" s="18"/>
      <c r="D923" s="18"/>
    </row>
    <row r="924">
      <c r="B924" s="18"/>
      <c r="C924" s="18"/>
      <c r="D924" s="18"/>
    </row>
    <row r="925">
      <c r="B925" s="18"/>
      <c r="C925" s="18"/>
      <c r="D925" s="18"/>
    </row>
    <row r="926">
      <c r="B926" s="18"/>
      <c r="C926" s="18"/>
      <c r="D926" s="18"/>
    </row>
    <row r="927">
      <c r="B927" s="18"/>
      <c r="C927" s="18"/>
      <c r="D927" s="18"/>
    </row>
    <row r="928">
      <c r="B928" s="18"/>
      <c r="C928" s="18"/>
      <c r="D928" s="18"/>
    </row>
    <row r="929">
      <c r="B929" s="18"/>
      <c r="C929" s="18"/>
      <c r="D929" s="18"/>
    </row>
    <row r="930">
      <c r="B930" s="18"/>
      <c r="C930" s="18"/>
      <c r="D930" s="18"/>
    </row>
    <row r="931">
      <c r="B931" s="18"/>
      <c r="C931" s="18"/>
      <c r="D931" s="18"/>
    </row>
    <row r="932">
      <c r="B932" s="18"/>
      <c r="C932" s="18"/>
      <c r="D932" s="18"/>
    </row>
    <row r="933">
      <c r="B933" s="18"/>
      <c r="C933" s="18"/>
      <c r="D933" s="18"/>
    </row>
    <row r="934">
      <c r="B934" s="18"/>
      <c r="C934" s="18"/>
      <c r="D934" s="18"/>
    </row>
    <row r="935">
      <c r="B935" s="18"/>
      <c r="C935" s="18"/>
      <c r="D935" s="18"/>
    </row>
    <row r="936">
      <c r="B936" s="18"/>
      <c r="C936" s="18"/>
      <c r="D936" s="18"/>
    </row>
    <row r="937">
      <c r="B937" s="18"/>
      <c r="C937" s="18"/>
      <c r="D937" s="18"/>
    </row>
    <row r="938">
      <c r="B938" s="18"/>
      <c r="C938" s="18"/>
      <c r="D938" s="18"/>
    </row>
    <row r="939">
      <c r="B939" s="18"/>
      <c r="C939" s="18"/>
      <c r="D939" s="18"/>
    </row>
    <row r="940">
      <c r="B940" s="18"/>
      <c r="C940" s="18"/>
      <c r="D940" s="18"/>
    </row>
    <row r="941">
      <c r="B941" s="18"/>
      <c r="C941" s="18"/>
      <c r="D941" s="18"/>
    </row>
    <row r="942">
      <c r="B942" s="18"/>
      <c r="C942" s="18"/>
      <c r="D942" s="18"/>
    </row>
    <row r="943">
      <c r="B943" s="18"/>
      <c r="C943" s="18"/>
      <c r="D943" s="18"/>
    </row>
    <row r="944">
      <c r="B944" s="18"/>
      <c r="C944" s="18"/>
      <c r="D944" s="18"/>
    </row>
    <row r="945">
      <c r="B945" s="18"/>
      <c r="C945" s="18"/>
      <c r="D945" s="18"/>
    </row>
    <row r="946">
      <c r="B946" s="18"/>
      <c r="C946" s="18"/>
      <c r="D946" s="18"/>
    </row>
    <row r="947">
      <c r="B947" s="18"/>
      <c r="C947" s="18"/>
      <c r="D947" s="18"/>
    </row>
    <row r="948">
      <c r="B948" s="18"/>
      <c r="C948" s="18"/>
      <c r="D948" s="18"/>
    </row>
    <row r="949">
      <c r="B949" s="18"/>
      <c r="C949" s="18"/>
      <c r="D949" s="18"/>
    </row>
    <row r="950">
      <c r="B950" s="18"/>
      <c r="C950" s="18"/>
      <c r="D950" s="18"/>
    </row>
    <row r="951">
      <c r="B951" s="18"/>
      <c r="C951" s="18"/>
      <c r="D951" s="18"/>
    </row>
    <row r="952">
      <c r="B952" s="18"/>
      <c r="C952" s="18"/>
      <c r="D952" s="18"/>
    </row>
    <row r="953">
      <c r="B953" s="18"/>
      <c r="C953" s="18"/>
      <c r="D953" s="18"/>
    </row>
    <row r="954">
      <c r="B954" s="18"/>
      <c r="C954" s="18"/>
      <c r="D954" s="18"/>
    </row>
    <row r="955">
      <c r="B955" s="18"/>
      <c r="C955" s="18"/>
      <c r="D955" s="18"/>
    </row>
    <row r="956">
      <c r="B956" s="18"/>
      <c r="C956" s="18"/>
      <c r="D956" s="18"/>
    </row>
    <row r="957">
      <c r="B957" s="18"/>
      <c r="C957" s="18"/>
      <c r="D957" s="18"/>
    </row>
    <row r="958">
      <c r="B958" s="18"/>
      <c r="C958" s="18"/>
      <c r="D958" s="18"/>
    </row>
    <row r="959">
      <c r="B959" s="18"/>
      <c r="C959" s="18"/>
      <c r="D959" s="18"/>
    </row>
    <row r="960">
      <c r="B960" s="18"/>
      <c r="C960" s="18"/>
      <c r="D960" s="18"/>
    </row>
    <row r="961">
      <c r="B961" s="18"/>
      <c r="C961" s="18"/>
      <c r="D961" s="18"/>
    </row>
    <row r="962">
      <c r="B962" s="18"/>
      <c r="C962" s="18"/>
      <c r="D962" s="18"/>
    </row>
    <row r="963">
      <c r="B963" s="18"/>
      <c r="C963" s="18"/>
      <c r="D963" s="18"/>
    </row>
    <row r="964">
      <c r="B964" s="18"/>
      <c r="C964" s="18"/>
      <c r="D964" s="18"/>
    </row>
    <row r="965">
      <c r="B965" s="18"/>
      <c r="C965" s="18"/>
      <c r="D965" s="18"/>
    </row>
    <row r="966">
      <c r="B966" s="18"/>
      <c r="C966" s="18"/>
      <c r="D966" s="18"/>
    </row>
    <row r="967">
      <c r="B967" s="18"/>
      <c r="C967" s="18"/>
      <c r="D967" s="18"/>
    </row>
    <row r="968">
      <c r="B968" s="18"/>
      <c r="C968" s="18"/>
      <c r="D968" s="18"/>
    </row>
    <row r="969">
      <c r="B969" s="18"/>
      <c r="C969" s="18"/>
      <c r="D969" s="18"/>
    </row>
    <row r="970">
      <c r="B970" s="18"/>
      <c r="C970" s="18"/>
      <c r="D970" s="18"/>
    </row>
    <row r="971">
      <c r="B971" s="18"/>
      <c r="C971" s="18"/>
      <c r="D971" s="18"/>
    </row>
    <row r="972">
      <c r="B972" s="18"/>
      <c r="C972" s="18"/>
      <c r="D972" s="18"/>
    </row>
    <row r="973">
      <c r="B973" s="18"/>
      <c r="C973" s="18"/>
      <c r="D973" s="18"/>
    </row>
    <row r="974">
      <c r="B974" s="18"/>
      <c r="C974" s="18"/>
      <c r="D974" s="18"/>
    </row>
    <row r="975">
      <c r="B975" s="18"/>
      <c r="C975" s="18"/>
      <c r="D975" s="18"/>
    </row>
    <row r="976">
      <c r="B976" s="18"/>
      <c r="C976" s="18"/>
      <c r="D976" s="18"/>
    </row>
    <row r="977">
      <c r="B977" s="18"/>
      <c r="C977" s="18"/>
      <c r="D977" s="18"/>
    </row>
    <row r="978">
      <c r="B978" s="18"/>
      <c r="C978" s="18"/>
      <c r="D978" s="18"/>
    </row>
    <row r="979">
      <c r="B979" s="18"/>
      <c r="C979" s="18"/>
      <c r="D979" s="18"/>
    </row>
    <row r="980">
      <c r="B980" s="18"/>
      <c r="C980" s="18"/>
      <c r="D980" s="18"/>
    </row>
    <row r="981">
      <c r="B981" s="18"/>
      <c r="C981" s="18"/>
      <c r="D981" s="18"/>
    </row>
    <row r="982">
      <c r="B982" s="18"/>
      <c r="C982" s="18"/>
      <c r="D982" s="18"/>
    </row>
    <row r="983">
      <c r="B983" s="18"/>
      <c r="C983" s="18"/>
      <c r="D983" s="18"/>
    </row>
    <row r="984">
      <c r="B984" s="18"/>
      <c r="C984" s="18"/>
      <c r="D984" s="18"/>
    </row>
    <row r="985">
      <c r="B985" s="18"/>
      <c r="C985" s="18"/>
      <c r="D985" s="18"/>
    </row>
    <row r="986">
      <c r="B986" s="18"/>
      <c r="C986" s="18"/>
      <c r="D986" s="18"/>
    </row>
    <row r="987">
      <c r="B987" s="18"/>
      <c r="C987" s="18"/>
      <c r="D987" s="18"/>
    </row>
    <row r="988">
      <c r="B988" s="18"/>
      <c r="C988" s="18"/>
      <c r="D988" s="18"/>
    </row>
    <row r="989">
      <c r="B989" s="18"/>
      <c r="C989" s="18"/>
      <c r="D989" s="18"/>
    </row>
    <row r="990">
      <c r="B990" s="18"/>
      <c r="C990" s="18"/>
      <c r="D990" s="18"/>
    </row>
    <row r="991">
      <c r="B991" s="18"/>
      <c r="C991" s="18"/>
      <c r="D991" s="18"/>
    </row>
    <row r="992">
      <c r="B992" s="18"/>
      <c r="C992" s="18"/>
      <c r="D992" s="18"/>
    </row>
    <row r="993">
      <c r="B993" s="18"/>
      <c r="C993" s="18"/>
      <c r="D993" s="18"/>
    </row>
    <row r="994">
      <c r="B994" s="18"/>
      <c r="C994" s="18"/>
      <c r="D994" s="18"/>
    </row>
    <row r="995">
      <c r="B995" s="18"/>
      <c r="C995" s="18"/>
      <c r="D995" s="18"/>
    </row>
    <row r="996">
      <c r="B996" s="18"/>
      <c r="C996" s="18"/>
      <c r="D996" s="18"/>
    </row>
    <row r="997">
      <c r="B997" s="18"/>
      <c r="C997" s="18"/>
      <c r="D997" s="18"/>
    </row>
    <row r="998">
      <c r="B998" s="18"/>
      <c r="C998" s="18"/>
      <c r="D998" s="18"/>
    </row>
    <row r="999">
      <c r="B999" s="18"/>
      <c r="C999" s="18"/>
      <c r="D999" s="18"/>
    </row>
    <row r="1000">
      <c r="B1000" s="18"/>
      <c r="C1000" s="18"/>
      <c r="D1000" s="18"/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>
      <c r="B7" s="18"/>
      <c r="C7" s="18"/>
      <c r="D7" s="18"/>
    </row>
    <row r="8">
      <c r="B8" s="18"/>
      <c r="C8" s="18"/>
      <c r="D8" s="18"/>
    </row>
    <row r="9">
      <c r="B9" s="18"/>
      <c r="C9" s="18"/>
      <c r="D9" s="18"/>
    </row>
    <row r="10">
      <c r="B10" s="18"/>
      <c r="C10" s="18"/>
      <c r="D10" s="18"/>
    </row>
    <row r="11">
      <c r="B11" s="18"/>
      <c r="C11" s="18"/>
      <c r="D11" s="18"/>
    </row>
    <row r="12">
      <c r="B12" s="18"/>
      <c r="C12" s="18"/>
      <c r="D12" s="18"/>
    </row>
    <row r="13">
      <c r="B13" s="18"/>
      <c r="C13" s="18"/>
      <c r="D13" s="18"/>
    </row>
    <row r="14">
      <c r="B14" s="18"/>
      <c r="C14" s="18"/>
      <c r="D14" s="18"/>
    </row>
    <row r="15">
      <c r="B15" s="18"/>
      <c r="C15" s="18"/>
      <c r="D15" s="18"/>
    </row>
    <row r="16">
      <c r="B16" s="18"/>
      <c r="C16" s="18"/>
      <c r="D16" s="18"/>
    </row>
    <row r="17">
      <c r="B17" s="18"/>
      <c r="C17" s="18"/>
      <c r="D17" s="18"/>
    </row>
    <row r="18">
      <c r="B18" s="18"/>
      <c r="C18" s="18"/>
      <c r="D18" s="18"/>
    </row>
    <row r="19">
      <c r="B19" s="18"/>
      <c r="C19" s="18"/>
      <c r="D19" s="18"/>
    </row>
    <row r="20">
      <c r="B20" s="18"/>
      <c r="C20" s="18"/>
      <c r="D20" s="18"/>
    </row>
    <row r="21">
      <c r="B21" s="18"/>
      <c r="C21" s="18"/>
      <c r="D21" s="18"/>
    </row>
    <row r="22">
      <c r="B22" s="18"/>
      <c r="C22" s="18"/>
      <c r="D22" s="18"/>
    </row>
    <row r="23">
      <c r="B23" s="18"/>
      <c r="C23" s="18"/>
      <c r="D23" s="18"/>
    </row>
    <row r="24">
      <c r="B24" s="18"/>
      <c r="C24" s="18"/>
      <c r="D24" s="18"/>
    </row>
    <row r="25">
      <c r="B25" s="18"/>
      <c r="C25" s="18"/>
      <c r="D25" s="18"/>
    </row>
    <row r="26">
      <c r="B26" s="18"/>
      <c r="C26" s="18"/>
      <c r="D26" s="18"/>
    </row>
    <row r="27">
      <c r="B27" s="18"/>
      <c r="C27" s="18"/>
      <c r="D27" s="18"/>
    </row>
    <row r="28">
      <c r="B28" s="18"/>
      <c r="C28" s="18"/>
      <c r="D28" s="18"/>
    </row>
    <row r="29">
      <c r="B29" s="18"/>
      <c r="C29" s="18"/>
      <c r="D29" s="18"/>
    </row>
    <row r="30">
      <c r="B30" s="18"/>
      <c r="C30" s="18"/>
      <c r="D30" s="18"/>
    </row>
    <row r="31">
      <c r="B31" s="18"/>
      <c r="C31" s="18"/>
      <c r="D31" s="18"/>
    </row>
    <row r="32">
      <c r="B32" s="18"/>
      <c r="C32" s="18"/>
      <c r="D32" s="18"/>
    </row>
    <row r="33">
      <c r="B33" s="18"/>
      <c r="C33" s="18"/>
      <c r="D33" s="18"/>
    </row>
    <row r="34">
      <c r="B34" s="18"/>
      <c r="C34" s="18"/>
      <c r="D34" s="18"/>
    </row>
    <row r="35">
      <c r="B35" s="18"/>
      <c r="C35" s="18"/>
      <c r="D35" s="18"/>
    </row>
    <row r="36">
      <c r="B36" s="18"/>
      <c r="C36" s="18"/>
      <c r="D36" s="18"/>
    </row>
    <row r="37">
      <c r="B37" s="18"/>
      <c r="C37" s="18"/>
      <c r="D37" s="18"/>
    </row>
    <row r="38">
      <c r="B38" s="18"/>
      <c r="C38" s="18"/>
      <c r="D38" s="18"/>
    </row>
    <row r="39">
      <c r="B39" s="18"/>
      <c r="C39" s="18"/>
      <c r="D39" s="18"/>
    </row>
    <row r="40">
      <c r="B40" s="18"/>
      <c r="C40" s="18"/>
      <c r="D40" s="18"/>
    </row>
    <row r="41">
      <c r="B41" s="18"/>
      <c r="C41" s="18"/>
      <c r="D41" s="18"/>
    </row>
    <row r="42">
      <c r="B42" s="18"/>
      <c r="C42" s="18"/>
      <c r="D42" s="18"/>
    </row>
    <row r="43">
      <c r="B43" s="18"/>
      <c r="C43" s="18"/>
      <c r="D43" s="18"/>
    </row>
    <row r="44">
      <c r="B44" s="18"/>
      <c r="C44" s="18"/>
      <c r="D44" s="18"/>
    </row>
    <row r="45">
      <c r="B45" s="18"/>
      <c r="C45" s="18"/>
      <c r="D45" s="18"/>
    </row>
    <row r="46">
      <c r="B46" s="18"/>
      <c r="C46" s="18"/>
      <c r="D46" s="18"/>
    </row>
    <row r="47">
      <c r="B47" s="18"/>
      <c r="C47" s="18"/>
      <c r="D47" s="18"/>
    </row>
    <row r="48">
      <c r="B48" s="18"/>
      <c r="C48" s="18"/>
      <c r="D48" s="18"/>
    </row>
    <row r="49">
      <c r="B49" s="18"/>
      <c r="C49" s="18"/>
      <c r="D49" s="18"/>
    </row>
    <row r="50">
      <c r="B50" s="18"/>
      <c r="C50" s="18"/>
      <c r="D50" s="18"/>
    </row>
    <row r="51">
      <c r="B51" s="18"/>
      <c r="C51" s="18"/>
      <c r="D51" s="18"/>
    </row>
    <row r="52">
      <c r="B52" s="18"/>
      <c r="C52" s="18"/>
      <c r="D52" s="18"/>
    </row>
    <row r="53">
      <c r="B53" s="18"/>
      <c r="C53" s="18"/>
      <c r="D53" s="18"/>
    </row>
    <row r="54">
      <c r="B54" s="18"/>
      <c r="C54" s="18"/>
      <c r="D54" s="18"/>
    </row>
    <row r="55">
      <c r="B55" s="18"/>
      <c r="C55" s="18"/>
      <c r="D55" s="18"/>
    </row>
    <row r="56">
      <c r="B56" s="18"/>
      <c r="C56" s="18"/>
      <c r="D56" s="18"/>
    </row>
    <row r="57">
      <c r="B57" s="18"/>
      <c r="C57" s="18"/>
      <c r="D57" s="18"/>
    </row>
    <row r="58">
      <c r="B58" s="18"/>
      <c r="C58" s="18"/>
      <c r="D58" s="18"/>
    </row>
    <row r="59">
      <c r="B59" s="18"/>
      <c r="C59" s="18"/>
      <c r="D59" s="18"/>
    </row>
    <row r="60">
      <c r="B60" s="18"/>
      <c r="C60" s="18"/>
      <c r="D60" s="18"/>
    </row>
    <row r="61">
      <c r="B61" s="18"/>
      <c r="C61" s="18"/>
      <c r="D61" s="18"/>
    </row>
    <row r="62">
      <c r="B62" s="18"/>
      <c r="C62" s="18"/>
      <c r="D62" s="18"/>
    </row>
    <row r="63">
      <c r="B63" s="18"/>
      <c r="C63" s="18"/>
      <c r="D63" s="18"/>
    </row>
    <row r="64">
      <c r="B64" s="18"/>
      <c r="C64" s="18"/>
      <c r="D64" s="18"/>
    </row>
    <row r="65">
      <c r="B65" s="18"/>
      <c r="C65" s="18"/>
      <c r="D65" s="18"/>
    </row>
    <row r="66">
      <c r="B66" s="18"/>
      <c r="C66" s="18"/>
      <c r="D66" s="18"/>
    </row>
    <row r="67">
      <c r="B67" s="18"/>
      <c r="C67" s="18"/>
      <c r="D67" s="18"/>
    </row>
    <row r="68">
      <c r="B68" s="18"/>
      <c r="C68" s="18"/>
      <c r="D68" s="18"/>
    </row>
    <row r="69">
      <c r="B69" s="18"/>
      <c r="C69" s="18"/>
      <c r="D69" s="18"/>
    </row>
    <row r="70">
      <c r="B70" s="18"/>
      <c r="C70" s="18"/>
      <c r="D70" s="18"/>
    </row>
    <row r="71">
      <c r="B71" s="18"/>
      <c r="C71" s="18"/>
      <c r="D71" s="18"/>
    </row>
    <row r="72">
      <c r="B72" s="18"/>
      <c r="C72" s="18"/>
      <c r="D72" s="18"/>
    </row>
    <row r="73">
      <c r="B73" s="18"/>
      <c r="C73" s="18"/>
      <c r="D73" s="18"/>
    </row>
    <row r="74">
      <c r="B74" s="18"/>
      <c r="C74" s="18"/>
      <c r="D74" s="18"/>
    </row>
    <row r="75">
      <c r="B75" s="18"/>
      <c r="C75" s="18"/>
      <c r="D75" s="18"/>
    </row>
    <row r="76">
      <c r="B76" s="18"/>
      <c r="C76" s="18"/>
      <c r="D76" s="18"/>
    </row>
    <row r="77">
      <c r="B77" s="18"/>
      <c r="C77" s="18"/>
      <c r="D77" s="18"/>
    </row>
    <row r="78">
      <c r="B78" s="18"/>
      <c r="C78" s="18"/>
      <c r="D78" s="18"/>
    </row>
    <row r="79">
      <c r="B79" s="18"/>
      <c r="C79" s="18"/>
      <c r="D79" s="18"/>
    </row>
    <row r="80">
      <c r="B80" s="18"/>
      <c r="C80" s="18"/>
      <c r="D80" s="18"/>
    </row>
    <row r="81">
      <c r="B81" s="18"/>
      <c r="C81" s="18"/>
      <c r="D81" s="18"/>
    </row>
    <row r="82">
      <c r="B82" s="18"/>
      <c r="C82" s="18"/>
      <c r="D82" s="18"/>
    </row>
    <row r="83">
      <c r="B83" s="18"/>
      <c r="C83" s="18"/>
      <c r="D83" s="18"/>
    </row>
    <row r="84">
      <c r="B84" s="18"/>
      <c r="C84" s="18"/>
      <c r="D84" s="18"/>
    </row>
    <row r="85">
      <c r="B85" s="18"/>
      <c r="C85" s="18"/>
      <c r="D85" s="18"/>
    </row>
    <row r="86">
      <c r="B86" s="18"/>
      <c r="C86" s="18"/>
      <c r="D86" s="18"/>
    </row>
    <row r="87">
      <c r="B87" s="18"/>
      <c r="C87" s="18"/>
      <c r="D87" s="18"/>
    </row>
    <row r="88">
      <c r="B88" s="18"/>
      <c r="C88" s="18"/>
      <c r="D88" s="18"/>
    </row>
    <row r="89">
      <c r="B89" s="18"/>
      <c r="C89" s="18"/>
      <c r="D89" s="18"/>
    </row>
    <row r="90">
      <c r="B90" s="18"/>
      <c r="C90" s="18"/>
      <c r="D90" s="18"/>
    </row>
    <row r="91">
      <c r="B91" s="18"/>
      <c r="C91" s="18"/>
      <c r="D91" s="18"/>
    </row>
    <row r="92">
      <c r="B92" s="18"/>
      <c r="C92" s="18"/>
      <c r="D92" s="18"/>
    </row>
    <row r="93">
      <c r="B93" s="18"/>
      <c r="C93" s="18"/>
      <c r="D93" s="18"/>
    </row>
    <row r="94">
      <c r="B94" s="18"/>
      <c r="C94" s="18"/>
      <c r="D94" s="18"/>
    </row>
    <row r="95">
      <c r="B95" s="18"/>
      <c r="C95" s="18"/>
      <c r="D95" s="18"/>
    </row>
    <row r="96">
      <c r="B96" s="18"/>
      <c r="C96" s="18"/>
      <c r="D96" s="18"/>
    </row>
    <row r="97">
      <c r="B97" s="18"/>
      <c r="C97" s="18"/>
      <c r="D97" s="18"/>
    </row>
    <row r="98">
      <c r="B98" s="18"/>
      <c r="C98" s="18"/>
      <c r="D98" s="18"/>
    </row>
    <row r="99">
      <c r="B99" s="18"/>
      <c r="C99" s="18"/>
      <c r="D99" s="18"/>
    </row>
    <row r="100">
      <c r="B100" s="18"/>
      <c r="C100" s="18"/>
      <c r="D100" s="18"/>
    </row>
    <row r="101">
      <c r="B101" s="18"/>
      <c r="C101" s="18"/>
      <c r="D101" s="18"/>
    </row>
    <row r="102">
      <c r="B102" s="18"/>
      <c r="C102" s="18"/>
      <c r="D102" s="18"/>
    </row>
    <row r="103">
      <c r="B103" s="18"/>
      <c r="C103" s="18"/>
      <c r="D103" s="18"/>
    </row>
    <row r="104">
      <c r="B104" s="18"/>
      <c r="C104" s="18"/>
      <c r="D104" s="18"/>
    </row>
    <row r="105">
      <c r="B105" s="18"/>
      <c r="C105" s="18"/>
      <c r="D105" s="18"/>
    </row>
    <row r="106">
      <c r="B106" s="18"/>
      <c r="C106" s="18"/>
      <c r="D106" s="18"/>
    </row>
    <row r="107">
      <c r="B107" s="18"/>
      <c r="C107" s="18"/>
      <c r="D107" s="18"/>
    </row>
    <row r="108">
      <c r="B108" s="18"/>
      <c r="C108" s="18"/>
      <c r="D108" s="18"/>
    </row>
    <row r="109">
      <c r="B109" s="18"/>
      <c r="C109" s="18"/>
      <c r="D109" s="18"/>
    </row>
    <row r="110">
      <c r="B110" s="18"/>
      <c r="C110" s="18"/>
      <c r="D110" s="18"/>
    </row>
    <row r="111">
      <c r="B111" s="18"/>
      <c r="C111" s="18"/>
      <c r="D111" s="18"/>
    </row>
    <row r="112">
      <c r="B112" s="18"/>
      <c r="C112" s="18"/>
      <c r="D112" s="18"/>
    </row>
    <row r="113">
      <c r="B113" s="18"/>
      <c r="C113" s="18"/>
      <c r="D113" s="18"/>
    </row>
    <row r="114">
      <c r="B114" s="18"/>
      <c r="C114" s="18"/>
      <c r="D114" s="18"/>
    </row>
    <row r="115">
      <c r="B115" s="18"/>
      <c r="C115" s="18"/>
      <c r="D115" s="18"/>
    </row>
    <row r="116">
      <c r="B116" s="18"/>
      <c r="C116" s="18"/>
      <c r="D116" s="18"/>
    </row>
    <row r="117">
      <c r="B117" s="18"/>
      <c r="C117" s="18"/>
      <c r="D117" s="18"/>
    </row>
    <row r="118">
      <c r="B118" s="18"/>
      <c r="C118" s="18"/>
      <c r="D118" s="18"/>
    </row>
    <row r="119">
      <c r="B119" s="18"/>
      <c r="C119" s="18"/>
      <c r="D119" s="18"/>
    </row>
    <row r="120">
      <c r="B120" s="18"/>
      <c r="C120" s="18"/>
      <c r="D120" s="18"/>
    </row>
    <row r="121">
      <c r="B121" s="18"/>
      <c r="C121" s="18"/>
      <c r="D121" s="18"/>
    </row>
    <row r="122">
      <c r="B122" s="18"/>
      <c r="C122" s="18"/>
      <c r="D122" s="18"/>
    </row>
    <row r="123">
      <c r="B123" s="18"/>
      <c r="C123" s="18"/>
      <c r="D123" s="18"/>
    </row>
    <row r="124">
      <c r="B124" s="18"/>
      <c r="C124" s="18"/>
      <c r="D124" s="18"/>
    </row>
    <row r="125">
      <c r="B125" s="18"/>
      <c r="C125" s="18"/>
      <c r="D125" s="18"/>
    </row>
    <row r="126">
      <c r="B126" s="18"/>
      <c r="C126" s="18"/>
      <c r="D126" s="18"/>
    </row>
    <row r="127">
      <c r="B127" s="18"/>
      <c r="C127" s="18"/>
      <c r="D127" s="18"/>
    </row>
    <row r="128">
      <c r="B128" s="18"/>
      <c r="C128" s="18"/>
      <c r="D128" s="18"/>
    </row>
    <row r="129">
      <c r="B129" s="18"/>
      <c r="C129" s="18"/>
      <c r="D129" s="18"/>
    </row>
    <row r="130">
      <c r="B130" s="18"/>
      <c r="C130" s="18"/>
      <c r="D130" s="18"/>
    </row>
    <row r="131">
      <c r="B131" s="18"/>
      <c r="C131" s="18"/>
      <c r="D131" s="18"/>
    </row>
    <row r="132">
      <c r="B132" s="18"/>
      <c r="C132" s="18"/>
      <c r="D132" s="18"/>
    </row>
    <row r="133">
      <c r="B133" s="18"/>
      <c r="C133" s="18"/>
      <c r="D133" s="18"/>
    </row>
    <row r="134">
      <c r="B134" s="18"/>
      <c r="C134" s="18"/>
      <c r="D134" s="18"/>
    </row>
    <row r="135">
      <c r="B135" s="18"/>
      <c r="C135" s="18"/>
      <c r="D135" s="18"/>
    </row>
    <row r="136">
      <c r="B136" s="18"/>
      <c r="C136" s="18"/>
      <c r="D136" s="18"/>
    </row>
    <row r="137">
      <c r="B137" s="18"/>
      <c r="C137" s="18"/>
      <c r="D137" s="18"/>
    </row>
    <row r="138">
      <c r="B138" s="18"/>
      <c r="C138" s="18"/>
      <c r="D138" s="18"/>
    </row>
    <row r="139">
      <c r="B139" s="18"/>
      <c r="C139" s="18"/>
      <c r="D139" s="18"/>
    </row>
    <row r="140">
      <c r="B140" s="18"/>
      <c r="C140" s="18"/>
      <c r="D140" s="18"/>
    </row>
    <row r="141">
      <c r="B141" s="18"/>
      <c r="C141" s="18"/>
      <c r="D141" s="18"/>
    </row>
    <row r="142">
      <c r="B142" s="18"/>
      <c r="C142" s="18"/>
      <c r="D142" s="18"/>
    </row>
    <row r="143">
      <c r="B143" s="18"/>
      <c r="C143" s="18"/>
      <c r="D143" s="18"/>
    </row>
    <row r="144">
      <c r="B144" s="18"/>
      <c r="C144" s="18"/>
      <c r="D144" s="18"/>
    </row>
    <row r="145">
      <c r="B145" s="18"/>
      <c r="C145" s="18"/>
      <c r="D145" s="18"/>
    </row>
    <row r="146">
      <c r="B146" s="18"/>
      <c r="C146" s="18"/>
      <c r="D146" s="18"/>
    </row>
    <row r="147">
      <c r="B147" s="18"/>
      <c r="C147" s="18"/>
      <c r="D147" s="18"/>
    </row>
    <row r="148">
      <c r="B148" s="18"/>
      <c r="C148" s="18"/>
      <c r="D148" s="18"/>
    </row>
    <row r="149">
      <c r="B149" s="18"/>
      <c r="C149" s="18"/>
      <c r="D149" s="18"/>
    </row>
    <row r="150">
      <c r="B150" s="18"/>
      <c r="C150" s="18"/>
      <c r="D150" s="18"/>
    </row>
    <row r="151">
      <c r="B151" s="18"/>
      <c r="C151" s="18"/>
      <c r="D151" s="18"/>
    </row>
    <row r="152">
      <c r="B152" s="18"/>
      <c r="C152" s="18"/>
      <c r="D152" s="18"/>
    </row>
    <row r="153">
      <c r="B153" s="18"/>
      <c r="C153" s="18"/>
      <c r="D153" s="18"/>
    </row>
    <row r="154">
      <c r="B154" s="18"/>
      <c r="C154" s="18"/>
      <c r="D154" s="18"/>
    </row>
    <row r="155">
      <c r="B155" s="18"/>
      <c r="C155" s="18"/>
      <c r="D155" s="18"/>
    </row>
    <row r="156">
      <c r="B156" s="18"/>
      <c r="C156" s="18"/>
      <c r="D156" s="18"/>
    </row>
    <row r="157">
      <c r="B157" s="18"/>
      <c r="C157" s="18"/>
      <c r="D157" s="18"/>
    </row>
    <row r="158">
      <c r="B158" s="18"/>
      <c r="C158" s="18"/>
      <c r="D158" s="18"/>
    </row>
    <row r="159">
      <c r="B159" s="18"/>
      <c r="C159" s="18"/>
      <c r="D159" s="18"/>
    </row>
    <row r="160">
      <c r="B160" s="18"/>
      <c r="C160" s="18"/>
      <c r="D160" s="18"/>
    </row>
    <row r="161">
      <c r="B161" s="18"/>
      <c r="C161" s="18"/>
      <c r="D161" s="18"/>
    </row>
    <row r="162">
      <c r="B162" s="18"/>
      <c r="C162" s="18"/>
      <c r="D162" s="18"/>
    </row>
    <row r="163">
      <c r="B163" s="18"/>
      <c r="C163" s="18"/>
      <c r="D163" s="18"/>
    </row>
    <row r="164">
      <c r="B164" s="18"/>
      <c r="C164" s="18"/>
      <c r="D164" s="18"/>
    </row>
    <row r="165">
      <c r="B165" s="18"/>
      <c r="C165" s="18"/>
      <c r="D165" s="18"/>
    </row>
    <row r="166">
      <c r="B166" s="18"/>
      <c r="C166" s="18"/>
      <c r="D166" s="18"/>
    </row>
    <row r="167">
      <c r="B167" s="18"/>
      <c r="C167" s="18"/>
      <c r="D167" s="18"/>
    </row>
    <row r="168">
      <c r="B168" s="18"/>
      <c r="C168" s="18"/>
      <c r="D168" s="18"/>
    </row>
    <row r="169">
      <c r="B169" s="18"/>
      <c r="C169" s="18"/>
      <c r="D169" s="18"/>
    </row>
    <row r="170">
      <c r="B170" s="18"/>
      <c r="C170" s="18"/>
      <c r="D170" s="18"/>
    </row>
    <row r="171">
      <c r="B171" s="18"/>
      <c r="C171" s="18"/>
      <c r="D171" s="18"/>
    </row>
    <row r="172">
      <c r="B172" s="18"/>
      <c r="C172" s="18"/>
      <c r="D172" s="18"/>
    </row>
    <row r="173">
      <c r="B173" s="18"/>
      <c r="C173" s="18"/>
      <c r="D173" s="18"/>
    </row>
    <row r="174">
      <c r="B174" s="18"/>
      <c r="C174" s="18"/>
      <c r="D174" s="18"/>
    </row>
    <row r="175">
      <c r="B175" s="18"/>
      <c r="C175" s="18"/>
      <c r="D175" s="18"/>
    </row>
    <row r="176">
      <c r="B176" s="18"/>
      <c r="C176" s="18"/>
      <c r="D176" s="18"/>
    </row>
    <row r="177">
      <c r="B177" s="18"/>
      <c r="C177" s="18"/>
      <c r="D177" s="18"/>
    </row>
    <row r="178">
      <c r="B178" s="18"/>
      <c r="C178" s="18"/>
      <c r="D178" s="18"/>
    </row>
    <row r="179">
      <c r="B179" s="18"/>
      <c r="C179" s="18"/>
      <c r="D179" s="18"/>
    </row>
    <row r="180">
      <c r="B180" s="18"/>
      <c r="C180" s="18"/>
      <c r="D180" s="18"/>
    </row>
    <row r="181">
      <c r="B181" s="18"/>
      <c r="C181" s="18"/>
      <c r="D181" s="18"/>
    </row>
    <row r="182">
      <c r="B182" s="18"/>
      <c r="C182" s="18"/>
      <c r="D182" s="18"/>
    </row>
    <row r="183">
      <c r="B183" s="18"/>
      <c r="C183" s="18"/>
      <c r="D183" s="18"/>
    </row>
    <row r="184">
      <c r="B184" s="18"/>
      <c r="C184" s="18"/>
      <c r="D184" s="18"/>
    </row>
    <row r="185">
      <c r="B185" s="18"/>
      <c r="C185" s="18"/>
      <c r="D185" s="18"/>
    </row>
    <row r="186">
      <c r="B186" s="18"/>
      <c r="C186" s="18"/>
      <c r="D186" s="18"/>
    </row>
    <row r="187">
      <c r="B187" s="18"/>
      <c r="C187" s="18"/>
      <c r="D187" s="18"/>
    </row>
    <row r="188">
      <c r="B188" s="18"/>
      <c r="C188" s="18"/>
      <c r="D188" s="18"/>
    </row>
    <row r="189">
      <c r="B189" s="18"/>
      <c r="C189" s="18"/>
      <c r="D189" s="18"/>
    </row>
    <row r="190">
      <c r="B190" s="18"/>
      <c r="C190" s="18"/>
      <c r="D190" s="18"/>
    </row>
    <row r="191">
      <c r="B191" s="18"/>
      <c r="C191" s="18"/>
      <c r="D191" s="18"/>
    </row>
    <row r="192">
      <c r="B192" s="18"/>
      <c r="C192" s="18"/>
      <c r="D192" s="18"/>
    </row>
    <row r="193">
      <c r="B193" s="18"/>
      <c r="C193" s="18"/>
      <c r="D193" s="18"/>
    </row>
    <row r="194">
      <c r="B194" s="18"/>
      <c r="C194" s="18"/>
      <c r="D194" s="18"/>
    </row>
    <row r="195">
      <c r="B195" s="18"/>
      <c r="C195" s="18"/>
      <c r="D195" s="18"/>
    </row>
    <row r="196">
      <c r="B196" s="18"/>
      <c r="C196" s="18"/>
      <c r="D196" s="18"/>
    </row>
    <row r="197">
      <c r="B197" s="18"/>
      <c r="C197" s="18"/>
      <c r="D197" s="18"/>
    </row>
    <row r="198">
      <c r="B198" s="18"/>
      <c r="C198" s="18"/>
      <c r="D198" s="18"/>
    </row>
    <row r="199">
      <c r="B199" s="18"/>
      <c r="C199" s="18"/>
      <c r="D199" s="18"/>
    </row>
    <row r="200">
      <c r="B200" s="18"/>
      <c r="C200" s="18"/>
      <c r="D200" s="18"/>
    </row>
    <row r="201">
      <c r="B201" s="18"/>
      <c r="C201" s="18"/>
      <c r="D201" s="18"/>
    </row>
    <row r="202">
      <c r="B202" s="18"/>
      <c r="C202" s="18"/>
      <c r="D202" s="18"/>
    </row>
    <row r="203">
      <c r="B203" s="18"/>
      <c r="C203" s="18"/>
      <c r="D203" s="18"/>
    </row>
    <row r="204">
      <c r="B204" s="18"/>
      <c r="C204" s="18"/>
      <c r="D204" s="18"/>
    </row>
    <row r="205">
      <c r="B205" s="18"/>
      <c r="C205" s="18"/>
      <c r="D205" s="18"/>
    </row>
    <row r="206">
      <c r="B206" s="18"/>
      <c r="C206" s="18"/>
      <c r="D206" s="18"/>
    </row>
    <row r="207">
      <c r="B207" s="18"/>
      <c r="C207" s="18"/>
      <c r="D207" s="18"/>
    </row>
    <row r="208">
      <c r="B208" s="18"/>
      <c r="C208" s="18"/>
      <c r="D208" s="18"/>
    </row>
    <row r="209">
      <c r="B209" s="18"/>
      <c r="C209" s="18"/>
      <c r="D209" s="18"/>
    </row>
    <row r="210">
      <c r="B210" s="18"/>
      <c r="C210" s="18"/>
      <c r="D210" s="18"/>
    </row>
    <row r="211">
      <c r="B211" s="18"/>
      <c r="C211" s="18"/>
      <c r="D211" s="18"/>
    </row>
    <row r="212">
      <c r="B212" s="18"/>
      <c r="C212" s="18"/>
      <c r="D212" s="18"/>
    </row>
    <row r="213">
      <c r="B213" s="18"/>
      <c r="C213" s="18"/>
      <c r="D213" s="18"/>
    </row>
    <row r="214">
      <c r="B214" s="18"/>
      <c r="C214" s="18"/>
      <c r="D214" s="18"/>
    </row>
    <row r="215">
      <c r="B215" s="18"/>
      <c r="C215" s="18"/>
      <c r="D215" s="18"/>
    </row>
    <row r="216">
      <c r="B216" s="18"/>
      <c r="C216" s="18"/>
      <c r="D216" s="18"/>
    </row>
    <row r="217">
      <c r="B217" s="18"/>
      <c r="C217" s="18"/>
      <c r="D217" s="18"/>
    </row>
    <row r="218">
      <c r="B218" s="18"/>
      <c r="C218" s="18"/>
      <c r="D218" s="18"/>
    </row>
    <row r="219">
      <c r="B219" s="18"/>
      <c r="C219" s="18"/>
      <c r="D219" s="18"/>
    </row>
    <row r="220">
      <c r="B220" s="18"/>
      <c r="C220" s="18"/>
      <c r="D220" s="18"/>
    </row>
    <row r="221">
      <c r="B221" s="18"/>
      <c r="C221" s="18"/>
      <c r="D221" s="18"/>
    </row>
    <row r="222">
      <c r="B222" s="18"/>
      <c r="C222" s="18"/>
      <c r="D222" s="18"/>
    </row>
    <row r="223">
      <c r="B223" s="18"/>
      <c r="C223" s="18"/>
      <c r="D223" s="18"/>
    </row>
    <row r="224">
      <c r="B224" s="18"/>
      <c r="C224" s="18"/>
      <c r="D224" s="18"/>
    </row>
    <row r="225">
      <c r="B225" s="18"/>
      <c r="C225" s="18"/>
      <c r="D225" s="18"/>
    </row>
    <row r="226">
      <c r="B226" s="18"/>
      <c r="C226" s="18"/>
      <c r="D226" s="18"/>
    </row>
    <row r="227">
      <c r="B227" s="18"/>
      <c r="C227" s="18"/>
      <c r="D227" s="18"/>
    </row>
    <row r="228">
      <c r="B228" s="18"/>
      <c r="C228" s="18"/>
      <c r="D228" s="18"/>
    </row>
    <row r="229">
      <c r="B229" s="18"/>
      <c r="C229" s="18"/>
      <c r="D229" s="18"/>
    </row>
    <row r="230">
      <c r="B230" s="18"/>
      <c r="C230" s="18"/>
      <c r="D230" s="18"/>
    </row>
    <row r="231">
      <c r="B231" s="18"/>
      <c r="C231" s="18"/>
      <c r="D231" s="18"/>
    </row>
    <row r="232">
      <c r="B232" s="18"/>
      <c r="C232" s="18"/>
      <c r="D232" s="18"/>
    </row>
    <row r="233">
      <c r="B233" s="18"/>
      <c r="C233" s="18"/>
      <c r="D233" s="18"/>
    </row>
    <row r="234">
      <c r="B234" s="18"/>
      <c r="C234" s="18"/>
      <c r="D234" s="18"/>
    </row>
    <row r="235">
      <c r="B235" s="18"/>
      <c r="C235" s="18"/>
      <c r="D235" s="18"/>
    </row>
    <row r="236">
      <c r="B236" s="18"/>
      <c r="C236" s="18"/>
      <c r="D236" s="18"/>
    </row>
    <row r="237">
      <c r="B237" s="18"/>
      <c r="C237" s="18"/>
      <c r="D237" s="18"/>
    </row>
    <row r="238">
      <c r="B238" s="18"/>
      <c r="C238" s="18"/>
      <c r="D238" s="18"/>
    </row>
    <row r="239">
      <c r="B239" s="18"/>
      <c r="C239" s="18"/>
      <c r="D239" s="18"/>
    </row>
    <row r="240">
      <c r="B240" s="18"/>
      <c r="C240" s="18"/>
      <c r="D240" s="18"/>
    </row>
    <row r="241">
      <c r="B241" s="18"/>
      <c r="C241" s="18"/>
      <c r="D241" s="18"/>
    </row>
    <row r="242">
      <c r="B242" s="18"/>
      <c r="C242" s="18"/>
      <c r="D242" s="18"/>
    </row>
    <row r="243">
      <c r="B243" s="18"/>
      <c r="C243" s="18"/>
      <c r="D243" s="18"/>
    </row>
    <row r="244">
      <c r="B244" s="18"/>
      <c r="C244" s="18"/>
      <c r="D244" s="18"/>
    </row>
    <row r="245">
      <c r="B245" s="18"/>
      <c r="C245" s="18"/>
      <c r="D245" s="18"/>
    </row>
    <row r="246">
      <c r="B246" s="18"/>
      <c r="C246" s="18"/>
      <c r="D246" s="18"/>
    </row>
    <row r="247">
      <c r="B247" s="18"/>
      <c r="C247" s="18"/>
      <c r="D247" s="18"/>
    </row>
    <row r="248">
      <c r="B248" s="18"/>
      <c r="C248" s="18"/>
      <c r="D248" s="18"/>
    </row>
    <row r="249">
      <c r="B249" s="18"/>
      <c r="C249" s="18"/>
      <c r="D249" s="18"/>
    </row>
    <row r="250">
      <c r="B250" s="18"/>
      <c r="C250" s="18"/>
      <c r="D250" s="18"/>
    </row>
    <row r="251">
      <c r="B251" s="18"/>
      <c r="C251" s="18"/>
      <c r="D251" s="18"/>
    </row>
    <row r="252">
      <c r="B252" s="18"/>
      <c r="C252" s="18"/>
      <c r="D252" s="18"/>
    </row>
    <row r="253">
      <c r="B253" s="18"/>
      <c r="C253" s="18"/>
      <c r="D253" s="18"/>
    </row>
    <row r="254">
      <c r="B254" s="18"/>
      <c r="C254" s="18"/>
      <c r="D254" s="18"/>
    </row>
    <row r="255">
      <c r="B255" s="18"/>
      <c r="C255" s="18"/>
      <c r="D255" s="18"/>
    </row>
    <row r="256">
      <c r="B256" s="18"/>
      <c r="C256" s="18"/>
      <c r="D256" s="18"/>
    </row>
    <row r="257">
      <c r="B257" s="18"/>
      <c r="C257" s="18"/>
      <c r="D257" s="18"/>
    </row>
    <row r="258">
      <c r="B258" s="18"/>
      <c r="C258" s="18"/>
      <c r="D258" s="18"/>
    </row>
    <row r="259">
      <c r="B259" s="18"/>
      <c r="C259" s="18"/>
      <c r="D259" s="18"/>
    </row>
    <row r="260">
      <c r="B260" s="18"/>
      <c r="C260" s="18"/>
      <c r="D260" s="18"/>
    </row>
    <row r="261">
      <c r="B261" s="18"/>
      <c r="C261" s="18"/>
      <c r="D261" s="18"/>
    </row>
    <row r="262">
      <c r="B262" s="18"/>
      <c r="C262" s="18"/>
      <c r="D262" s="18"/>
    </row>
    <row r="263">
      <c r="B263" s="18"/>
      <c r="C263" s="18"/>
      <c r="D263" s="18"/>
    </row>
    <row r="264">
      <c r="B264" s="18"/>
      <c r="C264" s="18"/>
      <c r="D264" s="18"/>
    </row>
    <row r="265">
      <c r="B265" s="18"/>
      <c r="C265" s="18"/>
      <c r="D265" s="18"/>
    </row>
    <row r="266">
      <c r="B266" s="18"/>
      <c r="C266" s="18"/>
      <c r="D266" s="18"/>
    </row>
    <row r="267">
      <c r="B267" s="18"/>
      <c r="C267" s="18"/>
      <c r="D267" s="18"/>
    </row>
    <row r="268">
      <c r="B268" s="18"/>
      <c r="C268" s="18"/>
      <c r="D268" s="18"/>
    </row>
    <row r="269">
      <c r="B269" s="18"/>
      <c r="C269" s="18"/>
      <c r="D269" s="18"/>
    </row>
    <row r="270">
      <c r="B270" s="18"/>
      <c r="C270" s="18"/>
      <c r="D270" s="18"/>
    </row>
    <row r="271">
      <c r="B271" s="18"/>
      <c r="C271" s="18"/>
      <c r="D271" s="18"/>
    </row>
    <row r="272">
      <c r="B272" s="18"/>
      <c r="C272" s="18"/>
      <c r="D272" s="18"/>
    </row>
    <row r="273">
      <c r="B273" s="18"/>
      <c r="C273" s="18"/>
      <c r="D273" s="18"/>
    </row>
    <row r="274">
      <c r="B274" s="18"/>
      <c r="C274" s="18"/>
      <c r="D274" s="18"/>
    </row>
    <row r="275">
      <c r="B275" s="18"/>
      <c r="C275" s="18"/>
      <c r="D275" s="18"/>
    </row>
    <row r="276">
      <c r="B276" s="18"/>
      <c r="C276" s="18"/>
      <c r="D276" s="18"/>
    </row>
    <row r="277">
      <c r="B277" s="18"/>
      <c r="C277" s="18"/>
      <c r="D277" s="18"/>
    </row>
    <row r="278">
      <c r="B278" s="18"/>
      <c r="C278" s="18"/>
      <c r="D278" s="18"/>
    </row>
    <row r="279">
      <c r="B279" s="18"/>
      <c r="C279" s="18"/>
      <c r="D279" s="18"/>
    </row>
    <row r="280">
      <c r="B280" s="18"/>
      <c r="C280" s="18"/>
      <c r="D280" s="18"/>
    </row>
    <row r="281">
      <c r="B281" s="18"/>
      <c r="C281" s="18"/>
      <c r="D281" s="18"/>
    </row>
    <row r="282">
      <c r="B282" s="18"/>
      <c r="C282" s="18"/>
      <c r="D282" s="18"/>
    </row>
    <row r="283">
      <c r="B283" s="18"/>
      <c r="C283" s="18"/>
      <c r="D283" s="18"/>
    </row>
    <row r="284">
      <c r="B284" s="18"/>
      <c r="C284" s="18"/>
      <c r="D284" s="18"/>
    </row>
    <row r="285">
      <c r="B285" s="18"/>
      <c r="C285" s="18"/>
      <c r="D285" s="18"/>
    </row>
    <row r="286">
      <c r="B286" s="18"/>
      <c r="C286" s="18"/>
      <c r="D286" s="18"/>
    </row>
    <row r="287">
      <c r="B287" s="18"/>
      <c r="C287" s="18"/>
      <c r="D287" s="18"/>
    </row>
    <row r="288">
      <c r="B288" s="18"/>
      <c r="C288" s="18"/>
      <c r="D288" s="18"/>
    </row>
    <row r="289">
      <c r="B289" s="18"/>
      <c r="C289" s="18"/>
      <c r="D289" s="18"/>
    </row>
    <row r="290">
      <c r="B290" s="18"/>
      <c r="C290" s="18"/>
      <c r="D290" s="18"/>
    </row>
    <row r="291">
      <c r="B291" s="18"/>
      <c r="C291" s="18"/>
      <c r="D291" s="18"/>
    </row>
    <row r="292">
      <c r="B292" s="18"/>
      <c r="C292" s="18"/>
      <c r="D292" s="18"/>
    </row>
    <row r="293">
      <c r="B293" s="18"/>
      <c r="C293" s="18"/>
      <c r="D293" s="18"/>
    </row>
    <row r="294">
      <c r="B294" s="18"/>
      <c r="C294" s="18"/>
      <c r="D294" s="18"/>
    </row>
    <row r="295">
      <c r="B295" s="18"/>
      <c r="C295" s="18"/>
      <c r="D295" s="18"/>
    </row>
    <row r="296">
      <c r="B296" s="18"/>
      <c r="C296" s="18"/>
      <c r="D296" s="18"/>
    </row>
    <row r="297">
      <c r="B297" s="18"/>
      <c r="C297" s="18"/>
      <c r="D297" s="18"/>
    </row>
    <row r="298">
      <c r="B298" s="18"/>
      <c r="C298" s="18"/>
      <c r="D298" s="18"/>
    </row>
    <row r="299">
      <c r="B299" s="18"/>
      <c r="C299" s="18"/>
      <c r="D299" s="18"/>
    </row>
    <row r="300">
      <c r="B300" s="18"/>
      <c r="C300" s="18"/>
      <c r="D300" s="18"/>
    </row>
    <row r="301">
      <c r="B301" s="18"/>
      <c r="C301" s="18"/>
      <c r="D301" s="18"/>
    </row>
    <row r="302">
      <c r="B302" s="18"/>
      <c r="C302" s="18"/>
      <c r="D302" s="18"/>
    </row>
    <row r="303">
      <c r="B303" s="18"/>
      <c r="C303" s="18"/>
      <c r="D303" s="18"/>
    </row>
    <row r="304">
      <c r="B304" s="18"/>
      <c r="C304" s="18"/>
      <c r="D304" s="18"/>
    </row>
    <row r="305">
      <c r="B305" s="18"/>
      <c r="C305" s="18"/>
      <c r="D305" s="18"/>
    </row>
    <row r="306">
      <c r="B306" s="18"/>
      <c r="C306" s="18"/>
      <c r="D306" s="18"/>
    </row>
    <row r="307">
      <c r="B307" s="18"/>
      <c r="C307" s="18"/>
      <c r="D307" s="18"/>
    </row>
    <row r="308">
      <c r="B308" s="18"/>
      <c r="C308" s="18"/>
      <c r="D308" s="18"/>
    </row>
    <row r="309">
      <c r="B309" s="18"/>
      <c r="C309" s="18"/>
      <c r="D309" s="18"/>
    </row>
    <row r="310">
      <c r="B310" s="18"/>
      <c r="C310" s="18"/>
      <c r="D310" s="18"/>
    </row>
    <row r="311">
      <c r="B311" s="18"/>
      <c r="C311" s="18"/>
      <c r="D311" s="18"/>
    </row>
    <row r="312">
      <c r="B312" s="18"/>
      <c r="C312" s="18"/>
      <c r="D312" s="18"/>
    </row>
    <row r="313">
      <c r="B313" s="18"/>
      <c r="C313" s="18"/>
      <c r="D313" s="18"/>
    </row>
    <row r="314">
      <c r="B314" s="18"/>
      <c r="C314" s="18"/>
      <c r="D314" s="18"/>
    </row>
    <row r="315">
      <c r="B315" s="18"/>
      <c r="C315" s="18"/>
      <c r="D315" s="18"/>
    </row>
    <row r="316">
      <c r="B316" s="18"/>
      <c r="C316" s="18"/>
      <c r="D316" s="18"/>
    </row>
    <row r="317">
      <c r="B317" s="18"/>
      <c r="C317" s="18"/>
      <c r="D317" s="18"/>
    </row>
    <row r="318">
      <c r="B318" s="18"/>
      <c r="C318" s="18"/>
      <c r="D318" s="18"/>
    </row>
    <row r="319">
      <c r="B319" s="18"/>
      <c r="C319" s="18"/>
      <c r="D319" s="18"/>
    </row>
    <row r="320">
      <c r="B320" s="18"/>
      <c r="C320" s="18"/>
      <c r="D320" s="18"/>
    </row>
    <row r="321">
      <c r="B321" s="18"/>
      <c r="C321" s="18"/>
      <c r="D321" s="18"/>
    </row>
    <row r="322">
      <c r="B322" s="18"/>
      <c r="C322" s="18"/>
      <c r="D322" s="18"/>
    </row>
    <row r="323">
      <c r="B323" s="18"/>
      <c r="C323" s="18"/>
      <c r="D323" s="18"/>
    </row>
    <row r="324">
      <c r="B324" s="18"/>
      <c r="C324" s="18"/>
      <c r="D324" s="18"/>
    </row>
    <row r="325">
      <c r="B325" s="18"/>
      <c r="C325" s="18"/>
      <c r="D325" s="18"/>
    </row>
    <row r="326">
      <c r="B326" s="18"/>
      <c r="C326" s="18"/>
      <c r="D326" s="18"/>
    </row>
    <row r="327">
      <c r="B327" s="18"/>
      <c r="C327" s="18"/>
      <c r="D327" s="18"/>
    </row>
    <row r="328">
      <c r="B328" s="18"/>
      <c r="C328" s="18"/>
      <c r="D328" s="18"/>
    </row>
    <row r="329">
      <c r="B329" s="18"/>
      <c r="C329" s="18"/>
      <c r="D329" s="18"/>
    </row>
    <row r="330">
      <c r="B330" s="18"/>
      <c r="C330" s="18"/>
      <c r="D330" s="18"/>
    </row>
    <row r="331">
      <c r="B331" s="18"/>
      <c r="C331" s="18"/>
      <c r="D331" s="18"/>
    </row>
    <row r="332">
      <c r="B332" s="18"/>
      <c r="C332" s="18"/>
      <c r="D332" s="18"/>
    </row>
    <row r="333">
      <c r="B333" s="18"/>
      <c r="C333" s="18"/>
      <c r="D333" s="18"/>
    </row>
    <row r="334">
      <c r="B334" s="18"/>
      <c r="C334" s="18"/>
      <c r="D334" s="18"/>
    </row>
    <row r="335">
      <c r="B335" s="18"/>
      <c r="C335" s="18"/>
      <c r="D335" s="18"/>
    </row>
    <row r="336">
      <c r="B336" s="18"/>
      <c r="C336" s="18"/>
      <c r="D336" s="18"/>
    </row>
    <row r="337">
      <c r="B337" s="18"/>
      <c r="C337" s="18"/>
      <c r="D337" s="18"/>
    </row>
    <row r="338">
      <c r="B338" s="18"/>
      <c r="C338" s="18"/>
      <c r="D338" s="18"/>
    </row>
    <row r="339">
      <c r="B339" s="18"/>
      <c r="C339" s="18"/>
      <c r="D339" s="18"/>
    </row>
    <row r="340">
      <c r="B340" s="18"/>
      <c r="C340" s="18"/>
      <c r="D340" s="18"/>
    </row>
    <row r="341">
      <c r="B341" s="18"/>
      <c r="C341" s="18"/>
      <c r="D341" s="18"/>
    </row>
    <row r="342">
      <c r="B342" s="18"/>
      <c r="C342" s="18"/>
      <c r="D342" s="18"/>
    </row>
    <row r="343">
      <c r="B343" s="18"/>
      <c r="C343" s="18"/>
      <c r="D343" s="18"/>
    </row>
    <row r="344">
      <c r="B344" s="18"/>
      <c r="C344" s="18"/>
      <c r="D344" s="18"/>
    </row>
    <row r="345">
      <c r="B345" s="18"/>
      <c r="C345" s="18"/>
      <c r="D345" s="18"/>
    </row>
    <row r="346">
      <c r="B346" s="18"/>
      <c r="C346" s="18"/>
      <c r="D346" s="18"/>
    </row>
    <row r="347">
      <c r="B347" s="18"/>
      <c r="C347" s="18"/>
      <c r="D347" s="18"/>
    </row>
    <row r="348">
      <c r="B348" s="18"/>
      <c r="C348" s="18"/>
      <c r="D348" s="18"/>
    </row>
    <row r="349">
      <c r="B349" s="18"/>
      <c r="C349" s="18"/>
      <c r="D349" s="18"/>
    </row>
    <row r="350">
      <c r="B350" s="18"/>
      <c r="C350" s="18"/>
      <c r="D350" s="18"/>
    </row>
    <row r="351">
      <c r="B351" s="18"/>
      <c r="C351" s="18"/>
      <c r="D351" s="18"/>
    </row>
    <row r="352">
      <c r="B352" s="18"/>
      <c r="C352" s="18"/>
      <c r="D352" s="18"/>
    </row>
    <row r="353">
      <c r="B353" s="18"/>
      <c r="C353" s="18"/>
      <c r="D353" s="18"/>
    </row>
    <row r="354">
      <c r="B354" s="18"/>
      <c r="C354" s="18"/>
      <c r="D354" s="18"/>
    </row>
    <row r="355">
      <c r="B355" s="18"/>
      <c r="C355" s="18"/>
      <c r="D355" s="18"/>
    </row>
    <row r="356">
      <c r="B356" s="18"/>
      <c r="C356" s="18"/>
      <c r="D356" s="18"/>
    </row>
    <row r="357">
      <c r="B357" s="18"/>
      <c r="C357" s="18"/>
      <c r="D357" s="18"/>
    </row>
    <row r="358">
      <c r="B358" s="18"/>
      <c r="C358" s="18"/>
      <c r="D358" s="18"/>
    </row>
    <row r="359">
      <c r="B359" s="18"/>
      <c r="C359" s="18"/>
      <c r="D359" s="18"/>
    </row>
    <row r="360">
      <c r="B360" s="18"/>
      <c r="C360" s="18"/>
      <c r="D360" s="18"/>
    </row>
    <row r="361">
      <c r="B361" s="18"/>
      <c r="C361" s="18"/>
      <c r="D361" s="18"/>
    </row>
    <row r="362">
      <c r="B362" s="18"/>
      <c r="C362" s="18"/>
      <c r="D362" s="18"/>
    </row>
    <row r="363">
      <c r="B363" s="18"/>
      <c r="C363" s="18"/>
      <c r="D363" s="18"/>
    </row>
    <row r="364">
      <c r="B364" s="18"/>
      <c r="C364" s="18"/>
      <c r="D364" s="18"/>
    </row>
    <row r="365">
      <c r="B365" s="18"/>
      <c r="C365" s="18"/>
      <c r="D365" s="18"/>
    </row>
    <row r="366">
      <c r="B366" s="18"/>
      <c r="C366" s="18"/>
      <c r="D366" s="18"/>
    </row>
    <row r="367">
      <c r="B367" s="18"/>
      <c r="C367" s="18"/>
      <c r="D367" s="18"/>
    </row>
    <row r="368">
      <c r="B368" s="18"/>
      <c r="C368" s="18"/>
      <c r="D368" s="18"/>
    </row>
    <row r="369">
      <c r="B369" s="18"/>
      <c r="C369" s="18"/>
      <c r="D369" s="18"/>
    </row>
    <row r="370">
      <c r="B370" s="18"/>
      <c r="C370" s="18"/>
      <c r="D370" s="18"/>
    </row>
    <row r="371">
      <c r="B371" s="18"/>
      <c r="C371" s="18"/>
      <c r="D371" s="18"/>
    </row>
    <row r="372">
      <c r="B372" s="18"/>
      <c r="C372" s="18"/>
      <c r="D372" s="18"/>
    </row>
    <row r="373">
      <c r="B373" s="18"/>
      <c r="C373" s="18"/>
      <c r="D373" s="18"/>
    </row>
    <row r="374">
      <c r="B374" s="18"/>
      <c r="C374" s="18"/>
      <c r="D374" s="18"/>
    </row>
    <row r="375">
      <c r="B375" s="18"/>
      <c r="C375" s="18"/>
      <c r="D375" s="18"/>
    </row>
    <row r="376">
      <c r="B376" s="18"/>
      <c r="C376" s="18"/>
      <c r="D376" s="18"/>
    </row>
    <row r="377">
      <c r="B377" s="18"/>
      <c r="C377" s="18"/>
      <c r="D377" s="18"/>
    </row>
    <row r="378">
      <c r="B378" s="18"/>
      <c r="C378" s="18"/>
      <c r="D378" s="18"/>
    </row>
    <row r="379">
      <c r="B379" s="18"/>
      <c r="C379" s="18"/>
      <c r="D379" s="18"/>
    </row>
    <row r="380">
      <c r="B380" s="18"/>
      <c r="C380" s="18"/>
      <c r="D380" s="18"/>
    </row>
    <row r="381">
      <c r="B381" s="18"/>
      <c r="C381" s="18"/>
      <c r="D381" s="18"/>
    </row>
    <row r="382">
      <c r="B382" s="18"/>
      <c r="C382" s="18"/>
      <c r="D382" s="18"/>
    </row>
    <row r="383">
      <c r="B383" s="18"/>
      <c r="C383" s="18"/>
      <c r="D383" s="18"/>
    </row>
    <row r="384">
      <c r="B384" s="18"/>
      <c r="C384" s="18"/>
      <c r="D384" s="18"/>
    </row>
    <row r="385">
      <c r="B385" s="18"/>
      <c r="C385" s="18"/>
      <c r="D385" s="18"/>
    </row>
    <row r="386">
      <c r="B386" s="18"/>
      <c r="C386" s="18"/>
      <c r="D386" s="18"/>
    </row>
    <row r="387">
      <c r="B387" s="18"/>
      <c r="C387" s="18"/>
      <c r="D387" s="18"/>
    </row>
    <row r="388">
      <c r="B388" s="18"/>
      <c r="C388" s="18"/>
      <c r="D388" s="18"/>
    </row>
    <row r="389">
      <c r="B389" s="18"/>
      <c r="C389" s="18"/>
      <c r="D389" s="18"/>
    </row>
    <row r="390">
      <c r="B390" s="18"/>
      <c r="C390" s="18"/>
      <c r="D390" s="18"/>
    </row>
    <row r="391">
      <c r="B391" s="18"/>
      <c r="C391" s="18"/>
      <c r="D391" s="18"/>
    </row>
    <row r="392">
      <c r="B392" s="18"/>
      <c r="C392" s="18"/>
      <c r="D392" s="18"/>
    </row>
    <row r="393">
      <c r="B393" s="18"/>
      <c r="C393" s="18"/>
      <c r="D393" s="18"/>
    </row>
    <row r="394">
      <c r="B394" s="18"/>
      <c r="C394" s="18"/>
      <c r="D394" s="18"/>
    </row>
    <row r="395">
      <c r="B395" s="18"/>
      <c r="C395" s="18"/>
      <c r="D395" s="18"/>
    </row>
    <row r="396">
      <c r="B396" s="18"/>
      <c r="C396" s="18"/>
      <c r="D396" s="18"/>
    </row>
    <row r="397">
      <c r="B397" s="18"/>
      <c r="C397" s="18"/>
      <c r="D397" s="18"/>
    </row>
    <row r="398">
      <c r="B398" s="18"/>
      <c r="C398" s="18"/>
      <c r="D398" s="18"/>
    </row>
    <row r="399">
      <c r="B399" s="18"/>
      <c r="C399" s="18"/>
      <c r="D399" s="18"/>
    </row>
    <row r="400">
      <c r="B400" s="18"/>
      <c r="C400" s="18"/>
      <c r="D400" s="18"/>
    </row>
    <row r="401">
      <c r="B401" s="18"/>
      <c r="C401" s="18"/>
      <c r="D401" s="18"/>
    </row>
    <row r="402">
      <c r="B402" s="18"/>
      <c r="C402" s="18"/>
      <c r="D402" s="18"/>
    </row>
    <row r="403">
      <c r="B403" s="18"/>
      <c r="C403" s="18"/>
      <c r="D403" s="18"/>
    </row>
    <row r="404">
      <c r="B404" s="18"/>
      <c r="C404" s="18"/>
      <c r="D404" s="18"/>
    </row>
    <row r="405">
      <c r="B405" s="18"/>
      <c r="C405" s="18"/>
      <c r="D405" s="18"/>
    </row>
    <row r="406">
      <c r="B406" s="18"/>
      <c r="C406" s="18"/>
      <c r="D406" s="18"/>
    </row>
    <row r="407">
      <c r="B407" s="18"/>
      <c r="C407" s="18"/>
      <c r="D407" s="18"/>
    </row>
    <row r="408">
      <c r="B408" s="18"/>
      <c r="C408" s="18"/>
      <c r="D408" s="18"/>
    </row>
    <row r="409">
      <c r="B409" s="18"/>
      <c r="C409" s="18"/>
      <c r="D409" s="18"/>
    </row>
    <row r="410">
      <c r="B410" s="18"/>
      <c r="C410" s="18"/>
      <c r="D410" s="18"/>
    </row>
    <row r="411">
      <c r="B411" s="18"/>
      <c r="C411" s="18"/>
      <c r="D411" s="18"/>
    </row>
    <row r="412">
      <c r="B412" s="18"/>
      <c r="C412" s="18"/>
      <c r="D412" s="18"/>
    </row>
    <row r="413">
      <c r="B413" s="18"/>
      <c r="C413" s="18"/>
      <c r="D413" s="18"/>
    </row>
    <row r="414">
      <c r="B414" s="18"/>
      <c r="C414" s="18"/>
      <c r="D414" s="18"/>
    </row>
    <row r="415">
      <c r="B415" s="18"/>
      <c r="C415" s="18"/>
      <c r="D415" s="18"/>
    </row>
    <row r="416">
      <c r="B416" s="18"/>
      <c r="C416" s="18"/>
      <c r="D416" s="18"/>
    </row>
    <row r="417">
      <c r="B417" s="18"/>
      <c r="C417" s="18"/>
      <c r="D417" s="18"/>
    </row>
    <row r="418">
      <c r="B418" s="18"/>
      <c r="C418" s="18"/>
      <c r="D418" s="18"/>
    </row>
    <row r="419">
      <c r="B419" s="18"/>
      <c r="C419" s="18"/>
      <c r="D419" s="18"/>
    </row>
    <row r="420">
      <c r="B420" s="18"/>
      <c r="C420" s="18"/>
      <c r="D420" s="18"/>
    </row>
    <row r="421">
      <c r="B421" s="18"/>
      <c r="C421" s="18"/>
      <c r="D421" s="18"/>
    </row>
    <row r="422">
      <c r="B422" s="18"/>
      <c r="C422" s="18"/>
      <c r="D422" s="18"/>
    </row>
    <row r="423">
      <c r="B423" s="18"/>
      <c r="C423" s="18"/>
      <c r="D423" s="18"/>
    </row>
    <row r="424">
      <c r="B424" s="18"/>
      <c r="C424" s="18"/>
      <c r="D424" s="18"/>
    </row>
    <row r="425">
      <c r="B425" s="18"/>
      <c r="C425" s="18"/>
      <c r="D425" s="18"/>
    </row>
    <row r="426">
      <c r="B426" s="18"/>
      <c r="C426" s="18"/>
      <c r="D426" s="18"/>
    </row>
    <row r="427">
      <c r="B427" s="18"/>
      <c r="C427" s="18"/>
      <c r="D427" s="18"/>
    </row>
    <row r="428">
      <c r="B428" s="18"/>
      <c r="C428" s="18"/>
      <c r="D428" s="18"/>
    </row>
    <row r="429">
      <c r="B429" s="18"/>
      <c r="C429" s="18"/>
      <c r="D429" s="18"/>
    </row>
    <row r="430">
      <c r="B430" s="18"/>
      <c r="C430" s="18"/>
      <c r="D430" s="18"/>
    </row>
    <row r="431">
      <c r="B431" s="18"/>
      <c r="C431" s="18"/>
      <c r="D431" s="18"/>
    </row>
    <row r="432">
      <c r="B432" s="18"/>
      <c r="C432" s="18"/>
      <c r="D432" s="18"/>
    </row>
    <row r="433">
      <c r="B433" s="18"/>
      <c r="C433" s="18"/>
      <c r="D433" s="18"/>
    </row>
    <row r="434">
      <c r="B434" s="18"/>
      <c r="C434" s="18"/>
      <c r="D434" s="18"/>
    </row>
    <row r="435">
      <c r="B435" s="18"/>
      <c r="C435" s="18"/>
      <c r="D435" s="18"/>
    </row>
    <row r="436">
      <c r="B436" s="18"/>
      <c r="C436" s="18"/>
      <c r="D436" s="18"/>
    </row>
    <row r="437">
      <c r="B437" s="18"/>
      <c r="C437" s="18"/>
      <c r="D437" s="18"/>
    </row>
    <row r="438">
      <c r="B438" s="18"/>
      <c r="C438" s="18"/>
      <c r="D438" s="18"/>
    </row>
    <row r="439">
      <c r="B439" s="18"/>
      <c r="C439" s="18"/>
      <c r="D439" s="18"/>
    </row>
    <row r="440">
      <c r="B440" s="18"/>
      <c r="C440" s="18"/>
      <c r="D440" s="18"/>
    </row>
    <row r="441">
      <c r="B441" s="18"/>
      <c r="C441" s="18"/>
      <c r="D441" s="18"/>
    </row>
    <row r="442">
      <c r="B442" s="18"/>
      <c r="C442" s="18"/>
      <c r="D442" s="18"/>
    </row>
    <row r="443">
      <c r="B443" s="18"/>
      <c r="C443" s="18"/>
      <c r="D443" s="18"/>
    </row>
    <row r="444">
      <c r="B444" s="18"/>
      <c r="C444" s="18"/>
      <c r="D444" s="18"/>
    </row>
    <row r="445">
      <c r="B445" s="18"/>
      <c r="C445" s="18"/>
      <c r="D445" s="18"/>
    </row>
    <row r="446">
      <c r="B446" s="18"/>
      <c r="C446" s="18"/>
      <c r="D446" s="18"/>
    </row>
    <row r="447">
      <c r="B447" s="18"/>
      <c r="C447" s="18"/>
      <c r="D447" s="18"/>
    </row>
    <row r="448">
      <c r="B448" s="18"/>
      <c r="C448" s="18"/>
      <c r="D448" s="18"/>
    </row>
    <row r="449">
      <c r="B449" s="18"/>
      <c r="C449" s="18"/>
      <c r="D449" s="18"/>
    </row>
    <row r="450">
      <c r="B450" s="18"/>
      <c r="C450" s="18"/>
      <c r="D450" s="18"/>
    </row>
    <row r="451">
      <c r="B451" s="18"/>
      <c r="C451" s="18"/>
      <c r="D451" s="18"/>
    </row>
    <row r="452">
      <c r="B452" s="18"/>
      <c r="C452" s="18"/>
      <c r="D452" s="18"/>
    </row>
    <row r="453">
      <c r="B453" s="18"/>
      <c r="C453" s="18"/>
      <c r="D453" s="18"/>
    </row>
    <row r="454">
      <c r="B454" s="18"/>
      <c r="C454" s="18"/>
      <c r="D454" s="18"/>
    </row>
    <row r="455">
      <c r="B455" s="18"/>
      <c r="C455" s="18"/>
      <c r="D455" s="18"/>
    </row>
    <row r="456">
      <c r="B456" s="18"/>
      <c r="C456" s="18"/>
      <c r="D456" s="18"/>
    </row>
    <row r="457">
      <c r="B457" s="18"/>
      <c r="C457" s="18"/>
      <c r="D457" s="18"/>
    </row>
    <row r="458">
      <c r="B458" s="18"/>
      <c r="C458" s="18"/>
      <c r="D458" s="18"/>
    </row>
    <row r="459">
      <c r="B459" s="18"/>
      <c r="C459" s="18"/>
      <c r="D459" s="18"/>
    </row>
    <row r="460">
      <c r="B460" s="18"/>
      <c r="C460" s="18"/>
      <c r="D460" s="18"/>
    </row>
    <row r="461">
      <c r="B461" s="18"/>
      <c r="C461" s="18"/>
      <c r="D461" s="18"/>
    </row>
    <row r="462">
      <c r="B462" s="18"/>
      <c r="C462" s="18"/>
      <c r="D462" s="18"/>
    </row>
    <row r="463">
      <c r="B463" s="18"/>
      <c r="C463" s="18"/>
      <c r="D463" s="18"/>
    </row>
    <row r="464">
      <c r="B464" s="18"/>
      <c r="C464" s="18"/>
      <c r="D464" s="18"/>
    </row>
    <row r="465">
      <c r="B465" s="18"/>
      <c r="C465" s="18"/>
      <c r="D465" s="18"/>
    </row>
    <row r="466">
      <c r="B466" s="18"/>
      <c r="C466" s="18"/>
      <c r="D466" s="18"/>
    </row>
    <row r="467">
      <c r="B467" s="18"/>
      <c r="C467" s="18"/>
      <c r="D467" s="18"/>
    </row>
    <row r="468">
      <c r="B468" s="18"/>
      <c r="C468" s="18"/>
      <c r="D468" s="18"/>
    </row>
    <row r="469">
      <c r="B469" s="18"/>
      <c r="C469" s="18"/>
      <c r="D469" s="18"/>
    </row>
    <row r="470">
      <c r="B470" s="18"/>
      <c r="C470" s="18"/>
      <c r="D470" s="18"/>
    </row>
    <row r="471">
      <c r="B471" s="18"/>
      <c r="C471" s="18"/>
      <c r="D471" s="18"/>
    </row>
    <row r="472">
      <c r="B472" s="18"/>
      <c r="C472" s="18"/>
      <c r="D472" s="18"/>
    </row>
    <row r="473">
      <c r="B473" s="18"/>
      <c r="C473" s="18"/>
      <c r="D473" s="18"/>
    </row>
    <row r="474">
      <c r="B474" s="18"/>
      <c r="C474" s="18"/>
      <c r="D474" s="18"/>
    </row>
    <row r="475">
      <c r="B475" s="18"/>
      <c r="C475" s="18"/>
      <c r="D475" s="18"/>
    </row>
    <row r="476">
      <c r="B476" s="18"/>
      <c r="C476" s="18"/>
      <c r="D476" s="18"/>
    </row>
    <row r="477">
      <c r="B477" s="18"/>
      <c r="C477" s="18"/>
      <c r="D477" s="18"/>
    </row>
    <row r="478">
      <c r="B478" s="18"/>
      <c r="C478" s="18"/>
      <c r="D478" s="18"/>
    </row>
    <row r="479">
      <c r="B479" s="18"/>
      <c r="C479" s="18"/>
      <c r="D479" s="18"/>
    </row>
    <row r="480">
      <c r="B480" s="18"/>
      <c r="C480" s="18"/>
      <c r="D480" s="18"/>
    </row>
    <row r="481">
      <c r="B481" s="18"/>
      <c r="C481" s="18"/>
      <c r="D481" s="18"/>
    </row>
    <row r="482">
      <c r="B482" s="18"/>
      <c r="C482" s="18"/>
      <c r="D482" s="18"/>
    </row>
    <row r="483">
      <c r="B483" s="18"/>
      <c r="C483" s="18"/>
      <c r="D483" s="18"/>
    </row>
    <row r="484">
      <c r="B484" s="18"/>
      <c r="C484" s="18"/>
      <c r="D484" s="18"/>
    </row>
    <row r="485">
      <c r="B485" s="18"/>
      <c r="C485" s="18"/>
      <c r="D485" s="18"/>
    </row>
    <row r="486">
      <c r="B486" s="18"/>
      <c r="C486" s="18"/>
      <c r="D486" s="18"/>
    </row>
    <row r="487">
      <c r="B487" s="18"/>
      <c r="C487" s="18"/>
      <c r="D487" s="18"/>
    </row>
    <row r="488">
      <c r="B488" s="18"/>
      <c r="C488" s="18"/>
      <c r="D488" s="18"/>
    </row>
    <row r="489">
      <c r="B489" s="18"/>
      <c r="C489" s="18"/>
      <c r="D489" s="18"/>
    </row>
    <row r="490">
      <c r="B490" s="18"/>
      <c r="C490" s="18"/>
      <c r="D490" s="18"/>
    </row>
    <row r="491">
      <c r="B491" s="18"/>
      <c r="C491" s="18"/>
      <c r="D491" s="18"/>
    </row>
    <row r="492">
      <c r="B492" s="18"/>
      <c r="C492" s="18"/>
      <c r="D492" s="18"/>
    </row>
    <row r="493">
      <c r="B493" s="18"/>
      <c r="C493" s="18"/>
      <c r="D493" s="18"/>
    </row>
    <row r="494">
      <c r="B494" s="18"/>
      <c r="C494" s="18"/>
      <c r="D494" s="18"/>
    </row>
    <row r="495">
      <c r="B495" s="18"/>
      <c r="C495" s="18"/>
      <c r="D495" s="18"/>
    </row>
    <row r="496">
      <c r="B496" s="18"/>
      <c r="C496" s="18"/>
      <c r="D496" s="18"/>
    </row>
    <row r="497">
      <c r="B497" s="18"/>
      <c r="C497" s="18"/>
      <c r="D497" s="18"/>
    </row>
    <row r="498">
      <c r="B498" s="18"/>
      <c r="C498" s="18"/>
      <c r="D498" s="18"/>
    </row>
    <row r="499">
      <c r="B499" s="18"/>
      <c r="C499" s="18"/>
      <c r="D499" s="18"/>
    </row>
    <row r="500">
      <c r="B500" s="18"/>
      <c r="C500" s="18"/>
      <c r="D500" s="18"/>
    </row>
    <row r="501">
      <c r="B501" s="18"/>
      <c r="C501" s="18"/>
      <c r="D501" s="18"/>
    </row>
    <row r="502">
      <c r="B502" s="18"/>
      <c r="C502" s="18"/>
      <c r="D502" s="18"/>
    </row>
    <row r="503">
      <c r="B503" s="18"/>
      <c r="C503" s="18"/>
      <c r="D503" s="18"/>
    </row>
    <row r="504">
      <c r="B504" s="18"/>
      <c r="C504" s="18"/>
      <c r="D504" s="18"/>
    </row>
    <row r="505">
      <c r="B505" s="18"/>
      <c r="C505" s="18"/>
      <c r="D505" s="18"/>
    </row>
    <row r="506">
      <c r="B506" s="18"/>
      <c r="C506" s="18"/>
      <c r="D506" s="18"/>
    </row>
    <row r="507">
      <c r="B507" s="18"/>
      <c r="C507" s="18"/>
      <c r="D507" s="18"/>
    </row>
    <row r="508">
      <c r="B508" s="18"/>
      <c r="C508" s="18"/>
      <c r="D508" s="18"/>
    </row>
    <row r="509">
      <c r="B509" s="18"/>
      <c r="C509" s="18"/>
      <c r="D509" s="18"/>
    </row>
    <row r="510">
      <c r="B510" s="18"/>
      <c r="C510" s="18"/>
      <c r="D510" s="18"/>
    </row>
    <row r="511">
      <c r="B511" s="18"/>
      <c r="C511" s="18"/>
      <c r="D511" s="18"/>
    </row>
    <row r="512">
      <c r="B512" s="18"/>
      <c r="C512" s="18"/>
      <c r="D512" s="18"/>
    </row>
    <row r="513">
      <c r="B513" s="18"/>
      <c r="C513" s="18"/>
      <c r="D513" s="18"/>
    </row>
    <row r="514">
      <c r="B514" s="18"/>
      <c r="C514" s="18"/>
      <c r="D514" s="18"/>
    </row>
    <row r="515">
      <c r="B515" s="18"/>
      <c r="C515" s="18"/>
      <c r="D515" s="18"/>
    </row>
    <row r="516">
      <c r="B516" s="18"/>
      <c r="C516" s="18"/>
      <c r="D516" s="18"/>
    </row>
    <row r="517">
      <c r="B517" s="18"/>
      <c r="C517" s="18"/>
      <c r="D517" s="18"/>
    </row>
    <row r="518">
      <c r="B518" s="18"/>
      <c r="C518" s="18"/>
      <c r="D518" s="18"/>
    </row>
    <row r="519">
      <c r="B519" s="18"/>
      <c r="C519" s="18"/>
      <c r="D519" s="18"/>
    </row>
    <row r="520">
      <c r="B520" s="18"/>
      <c r="C520" s="18"/>
      <c r="D520" s="18"/>
    </row>
    <row r="521">
      <c r="B521" s="18"/>
      <c r="C521" s="18"/>
      <c r="D521" s="18"/>
    </row>
    <row r="522">
      <c r="B522" s="18"/>
      <c r="C522" s="18"/>
      <c r="D522" s="18"/>
    </row>
    <row r="523">
      <c r="B523" s="18"/>
      <c r="C523" s="18"/>
      <c r="D523" s="18"/>
    </row>
    <row r="524">
      <c r="B524" s="18"/>
      <c r="C524" s="18"/>
      <c r="D524" s="18"/>
    </row>
    <row r="525">
      <c r="B525" s="18"/>
      <c r="C525" s="18"/>
      <c r="D525" s="18"/>
    </row>
    <row r="526">
      <c r="B526" s="18"/>
      <c r="C526" s="18"/>
      <c r="D526" s="18"/>
    </row>
    <row r="527">
      <c r="B527" s="18"/>
      <c r="C527" s="18"/>
      <c r="D527" s="18"/>
    </row>
    <row r="528">
      <c r="B528" s="18"/>
      <c r="C528" s="18"/>
      <c r="D528" s="18"/>
    </row>
    <row r="529">
      <c r="B529" s="18"/>
      <c r="C529" s="18"/>
      <c r="D529" s="18"/>
    </row>
    <row r="530">
      <c r="B530" s="18"/>
      <c r="C530" s="18"/>
      <c r="D530" s="18"/>
    </row>
    <row r="531">
      <c r="B531" s="18"/>
      <c r="C531" s="18"/>
      <c r="D531" s="18"/>
    </row>
    <row r="532">
      <c r="B532" s="18"/>
      <c r="C532" s="18"/>
      <c r="D532" s="18"/>
    </row>
    <row r="533">
      <c r="B533" s="18"/>
      <c r="C533" s="18"/>
      <c r="D533" s="18"/>
    </row>
    <row r="534">
      <c r="B534" s="18"/>
      <c r="C534" s="18"/>
      <c r="D534" s="18"/>
    </row>
    <row r="535">
      <c r="B535" s="18"/>
      <c r="C535" s="18"/>
      <c r="D535" s="18"/>
    </row>
    <row r="536">
      <c r="B536" s="18"/>
      <c r="C536" s="18"/>
      <c r="D536" s="18"/>
    </row>
    <row r="537">
      <c r="B537" s="18"/>
      <c r="C537" s="18"/>
      <c r="D537" s="18"/>
    </row>
    <row r="538">
      <c r="B538" s="18"/>
      <c r="C538" s="18"/>
      <c r="D538" s="18"/>
    </row>
    <row r="539">
      <c r="B539" s="18"/>
      <c r="C539" s="18"/>
      <c r="D539" s="18"/>
    </row>
    <row r="540">
      <c r="B540" s="18"/>
      <c r="C540" s="18"/>
      <c r="D540" s="18"/>
    </row>
    <row r="541">
      <c r="B541" s="18"/>
      <c r="C541" s="18"/>
      <c r="D541" s="18"/>
    </row>
    <row r="542">
      <c r="B542" s="18"/>
      <c r="C542" s="18"/>
      <c r="D542" s="18"/>
    </row>
    <row r="543">
      <c r="B543" s="18"/>
      <c r="C543" s="18"/>
      <c r="D543" s="18"/>
    </row>
    <row r="544">
      <c r="B544" s="18"/>
      <c r="C544" s="18"/>
      <c r="D544" s="18"/>
    </row>
    <row r="545">
      <c r="B545" s="18"/>
      <c r="C545" s="18"/>
      <c r="D545" s="18"/>
    </row>
    <row r="546">
      <c r="B546" s="18"/>
      <c r="C546" s="18"/>
      <c r="D546" s="18"/>
    </row>
    <row r="547">
      <c r="B547" s="18"/>
      <c r="C547" s="18"/>
      <c r="D547" s="18"/>
    </row>
    <row r="548">
      <c r="B548" s="18"/>
      <c r="C548" s="18"/>
      <c r="D548" s="18"/>
    </row>
    <row r="549">
      <c r="B549" s="18"/>
      <c r="C549" s="18"/>
      <c r="D549" s="18"/>
    </row>
    <row r="550">
      <c r="B550" s="18"/>
      <c r="C550" s="18"/>
      <c r="D550" s="18"/>
    </row>
    <row r="551">
      <c r="B551" s="18"/>
      <c r="C551" s="18"/>
      <c r="D551" s="18"/>
    </row>
    <row r="552">
      <c r="B552" s="18"/>
      <c r="C552" s="18"/>
      <c r="D552" s="18"/>
    </row>
    <row r="553">
      <c r="B553" s="18"/>
      <c r="C553" s="18"/>
      <c r="D553" s="18"/>
    </row>
    <row r="554">
      <c r="B554" s="18"/>
      <c r="C554" s="18"/>
      <c r="D554" s="18"/>
    </row>
    <row r="555">
      <c r="B555" s="18"/>
      <c r="C555" s="18"/>
      <c r="D555" s="18"/>
    </row>
    <row r="556">
      <c r="B556" s="18"/>
      <c r="C556" s="18"/>
      <c r="D556" s="18"/>
    </row>
    <row r="557">
      <c r="B557" s="18"/>
      <c r="C557" s="18"/>
      <c r="D557" s="18"/>
    </row>
    <row r="558">
      <c r="B558" s="18"/>
      <c r="C558" s="18"/>
      <c r="D558" s="18"/>
    </row>
    <row r="559">
      <c r="B559" s="18"/>
      <c r="C559" s="18"/>
      <c r="D559" s="18"/>
    </row>
    <row r="560">
      <c r="B560" s="18"/>
      <c r="C560" s="18"/>
      <c r="D560" s="18"/>
    </row>
    <row r="561">
      <c r="B561" s="18"/>
      <c r="C561" s="18"/>
      <c r="D561" s="18"/>
    </row>
    <row r="562">
      <c r="B562" s="18"/>
      <c r="C562" s="18"/>
      <c r="D562" s="18"/>
    </row>
    <row r="563">
      <c r="B563" s="18"/>
      <c r="C563" s="18"/>
      <c r="D563" s="18"/>
    </row>
    <row r="564">
      <c r="B564" s="18"/>
      <c r="C564" s="18"/>
      <c r="D564" s="18"/>
    </row>
    <row r="565">
      <c r="B565" s="18"/>
      <c r="C565" s="18"/>
      <c r="D565" s="18"/>
    </row>
    <row r="566">
      <c r="B566" s="18"/>
      <c r="C566" s="18"/>
      <c r="D566" s="18"/>
    </row>
    <row r="567">
      <c r="B567" s="18"/>
      <c r="C567" s="18"/>
      <c r="D567" s="18"/>
    </row>
    <row r="568">
      <c r="B568" s="18"/>
      <c r="C568" s="18"/>
      <c r="D568" s="18"/>
    </row>
    <row r="569">
      <c r="B569" s="18"/>
      <c r="C569" s="18"/>
      <c r="D569" s="18"/>
    </row>
    <row r="570">
      <c r="B570" s="18"/>
      <c r="C570" s="18"/>
      <c r="D570" s="18"/>
    </row>
    <row r="571">
      <c r="B571" s="18"/>
      <c r="C571" s="18"/>
      <c r="D571" s="18"/>
    </row>
    <row r="572">
      <c r="B572" s="18"/>
      <c r="C572" s="18"/>
      <c r="D572" s="18"/>
    </row>
    <row r="573">
      <c r="B573" s="18"/>
      <c r="C573" s="18"/>
      <c r="D573" s="18"/>
    </row>
    <row r="574">
      <c r="B574" s="18"/>
      <c r="C574" s="18"/>
      <c r="D574" s="18"/>
    </row>
    <row r="575">
      <c r="B575" s="18"/>
      <c r="C575" s="18"/>
      <c r="D575" s="18"/>
    </row>
    <row r="576">
      <c r="B576" s="18"/>
      <c r="C576" s="18"/>
      <c r="D576" s="18"/>
    </row>
    <row r="577">
      <c r="B577" s="18"/>
      <c r="C577" s="18"/>
      <c r="D577" s="18"/>
    </row>
    <row r="578">
      <c r="B578" s="18"/>
      <c r="C578" s="18"/>
      <c r="D578" s="18"/>
    </row>
    <row r="579">
      <c r="B579" s="18"/>
      <c r="C579" s="18"/>
      <c r="D579" s="18"/>
    </row>
    <row r="580">
      <c r="B580" s="18"/>
      <c r="C580" s="18"/>
      <c r="D580" s="18"/>
    </row>
    <row r="581">
      <c r="B581" s="18"/>
      <c r="C581" s="18"/>
      <c r="D581" s="18"/>
    </row>
    <row r="582">
      <c r="B582" s="18"/>
      <c r="C582" s="18"/>
      <c r="D582" s="18"/>
    </row>
    <row r="583">
      <c r="B583" s="18"/>
      <c r="C583" s="18"/>
      <c r="D583" s="18"/>
    </row>
    <row r="584">
      <c r="B584" s="18"/>
      <c r="C584" s="18"/>
      <c r="D584" s="18"/>
    </row>
    <row r="585">
      <c r="B585" s="18"/>
      <c r="C585" s="18"/>
      <c r="D585" s="18"/>
    </row>
    <row r="586">
      <c r="B586" s="18"/>
      <c r="C586" s="18"/>
      <c r="D586" s="18"/>
    </row>
    <row r="587">
      <c r="B587" s="18"/>
      <c r="C587" s="18"/>
      <c r="D587" s="18"/>
    </row>
    <row r="588">
      <c r="B588" s="18"/>
      <c r="C588" s="18"/>
      <c r="D588" s="18"/>
    </row>
    <row r="589">
      <c r="B589" s="18"/>
      <c r="C589" s="18"/>
      <c r="D589" s="18"/>
    </row>
    <row r="590">
      <c r="B590" s="18"/>
      <c r="C590" s="18"/>
      <c r="D590" s="18"/>
    </row>
    <row r="591">
      <c r="B591" s="18"/>
      <c r="C591" s="18"/>
      <c r="D591" s="18"/>
    </row>
    <row r="592">
      <c r="B592" s="18"/>
      <c r="C592" s="18"/>
      <c r="D592" s="18"/>
    </row>
    <row r="593">
      <c r="B593" s="18"/>
      <c r="C593" s="18"/>
      <c r="D593" s="18"/>
    </row>
    <row r="594">
      <c r="B594" s="18"/>
      <c r="C594" s="18"/>
      <c r="D594" s="18"/>
    </row>
    <row r="595">
      <c r="B595" s="18"/>
      <c r="C595" s="18"/>
      <c r="D595" s="18"/>
    </row>
    <row r="596">
      <c r="B596" s="18"/>
      <c r="C596" s="18"/>
      <c r="D596" s="18"/>
    </row>
    <row r="597">
      <c r="B597" s="18"/>
      <c r="C597" s="18"/>
      <c r="D597" s="18"/>
    </row>
    <row r="598">
      <c r="B598" s="18"/>
      <c r="C598" s="18"/>
      <c r="D598" s="18"/>
    </row>
    <row r="599">
      <c r="B599" s="18"/>
      <c r="C599" s="18"/>
      <c r="D599" s="18"/>
    </row>
    <row r="600">
      <c r="B600" s="18"/>
      <c r="C600" s="18"/>
      <c r="D600" s="18"/>
    </row>
    <row r="601">
      <c r="B601" s="18"/>
      <c r="C601" s="18"/>
      <c r="D601" s="18"/>
    </row>
    <row r="602">
      <c r="B602" s="18"/>
      <c r="C602" s="18"/>
      <c r="D602" s="18"/>
    </row>
    <row r="603">
      <c r="B603" s="18"/>
      <c r="C603" s="18"/>
      <c r="D603" s="18"/>
    </row>
    <row r="604">
      <c r="B604" s="18"/>
      <c r="C604" s="18"/>
      <c r="D604" s="18"/>
    </row>
    <row r="605">
      <c r="B605" s="18"/>
      <c r="C605" s="18"/>
      <c r="D605" s="18"/>
    </row>
    <row r="606">
      <c r="B606" s="18"/>
      <c r="C606" s="18"/>
      <c r="D606" s="18"/>
    </row>
    <row r="607">
      <c r="B607" s="18"/>
      <c r="C607" s="18"/>
      <c r="D607" s="18"/>
    </row>
    <row r="608">
      <c r="B608" s="18"/>
      <c r="C608" s="18"/>
      <c r="D608" s="18"/>
    </row>
    <row r="609">
      <c r="B609" s="18"/>
      <c r="C609" s="18"/>
      <c r="D609" s="18"/>
    </row>
    <row r="610">
      <c r="B610" s="18"/>
      <c r="C610" s="18"/>
      <c r="D610" s="18"/>
    </row>
    <row r="611">
      <c r="B611" s="18"/>
      <c r="C611" s="18"/>
      <c r="D611" s="18"/>
    </row>
    <row r="612">
      <c r="B612" s="18"/>
      <c r="C612" s="18"/>
      <c r="D612" s="18"/>
    </row>
    <row r="613">
      <c r="B613" s="18"/>
      <c r="C613" s="18"/>
      <c r="D613" s="18"/>
    </row>
    <row r="614">
      <c r="B614" s="18"/>
      <c r="C614" s="18"/>
      <c r="D614" s="18"/>
    </row>
    <row r="615">
      <c r="B615" s="18"/>
      <c r="C615" s="18"/>
      <c r="D615" s="18"/>
    </row>
    <row r="616">
      <c r="B616" s="18"/>
      <c r="C616" s="18"/>
      <c r="D616" s="18"/>
    </row>
    <row r="617">
      <c r="B617" s="18"/>
      <c r="C617" s="18"/>
      <c r="D617" s="18"/>
    </row>
    <row r="618">
      <c r="B618" s="18"/>
      <c r="C618" s="18"/>
      <c r="D618" s="18"/>
    </row>
    <row r="619">
      <c r="B619" s="18"/>
      <c r="C619" s="18"/>
      <c r="D619" s="18"/>
    </row>
    <row r="620">
      <c r="B620" s="18"/>
      <c r="C620" s="18"/>
      <c r="D620" s="18"/>
    </row>
    <row r="621">
      <c r="B621" s="18"/>
      <c r="C621" s="18"/>
      <c r="D621" s="18"/>
    </row>
    <row r="622">
      <c r="B622" s="18"/>
      <c r="C622" s="18"/>
      <c r="D622" s="18"/>
    </row>
    <row r="623">
      <c r="B623" s="18"/>
      <c r="C623" s="18"/>
      <c r="D623" s="18"/>
    </row>
    <row r="624">
      <c r="B624" s="18"/>
      <c r="C624" s="18"/>
      <c r="D624" s="18"/>
    </row>
    <row r="625">
      <c r="B625" s="18"/>
      <c r="C625" s="18"/>
      <c r="D625" s="18"/>
    </row>
    <row r="626">
      <c r="B626" s="18"/>
      <c r="C626" s="18"/>
      <c r="D626" s="18"/>
    </row>
    <row r="627">
      <c r="B627" s="18"/>
      <c r="C627" s="18"/>
      <c r="D627" s="18"/>
    </row>
    <row r="628">
      <c r="B628" s="18"/>
      <c r="C628" s="18"/>
      <c r="D628" s="18"/>
    </row>
    <row r="629">
      <c r="B629" s="18"/>
      <c r="C629" s="18"/>
      <c r="D629" s="18"/>
    </row>
    <row r="630">
      <c r="B630" s="18"/>
      <c r="C630" s="18"/>
      <c r="D630" s="18"/>
    </row>
    <row r="631">
      <c r="B631" s="18"/>
      <c r="C631" s="18"/>
      <c r="D631" s="18"/>
    </row>
    <row r="632">
      <c r="B632" s="18"/>
      <c r="C632" s="18"/>
      <c r="D632" s="18"/>
    </row>
    <row r="633">
      <c r="B633" s="18"/>
      <c r="C633" s="18"/>
      <c r="D633" s="18"/>
    </row>
    <row r="634">
      <c r="B634" s="18"/>
      <c r="C634" s="18"/>
      <c r="D634" s="18"/>
    </row>
    <row r="635">
      <c r="B635" s="18"/>
      <c r="C635" s="18"/>
      <c r="D635" s="18"/>
    </row>
    <row r="636">
      <c r="B636" s="18"/>
      <c r="C636" s="18"/>
      <c r="D636" s="18"/>
    </row>
    <row r="637">
      <c r="B637" s="18"/>
      <c r="C637" s="18"/>
      <c r="D637" s="18"/>
    </row>
    <row r="638">
      <c r="B638" s="18"/>
      <c r="C638" s="18"/>
      <c r="D638" s="18"/>
    </row>
    <row r="639">
      <c r="B639" s="18"/>
      <c r="C639" s="18"/>
      <c r="D639" s="18"/>
    </row>
    <row r="640">
      <c r="B640" s="18"/>
      <c r="C640" s="18"/>
      <c r="D640" s="18"/>
    </row>
    <row r="641">
      <c r="B641" s="18"/>
      <c r="C641" s="18"/>
      <c r="D641" s="18"/>
    </row>
    <row r="642">
      <c r="B642" s="18"/>
      <c r="C642" s="18"/>
      <c r="D642" s="18"/>
    </row>
    <row r="643">
      <c r="B643" s="18"/>
      <c r="C643" s="18"/>
      <c r="D643" s="18"/>
    </row>
    <row r="644">
      <c r="B644" s="18"/>
      <c r="C644" s="18"/>
      <c r="D644" s="18"/>
    </row>
    <row r="645">
      <c r="B645" s="18"/>
      <c r="C645" s="18"/>
      <c r="D645" s="18"/>
    </row>
    <row r="646">
      <c r="B646" s="18"/>
      <c r="C646" s="18"/>
      <c r="D646" s="18"/>
    </row>
    <row r="647">
      <c r="B647" s="18"/>
      <c r="C647" s="18"/>
      <c r="D647" s="18"/>
    </row>
    <row r="648">
      <c r="B648" s="18"/>
      <c r="C648" s="18"/>
      <c r="D648" s="18"/>
    </row>
    <row r="649">
      <c r="B649" s="18"/>
      <c r="C649" s="18"/>
      <c r="D649" s="18"/>
    </row>
    <row r="650">
      <c r="B650" s="18"/>
      <c r="C650" s="18"/>
      <c r="D650" s="18"/>
    </row>
    <row r="651">
      <c r="B651" s="18"/>
      <c r="C651" s="18"/>
      <c r="D651" s="18"/>
    </row>
    <row r="652">
      <c r="B652" s="18"/>
      <c r="C652" s="18"/>
      <c r="D652" s="18"/>
    </row>
    <row r="653">
      <c r="B653" s="18"/>
      <c r="C653" s="18"/>
      <c r="D653" s="18"/>
    </row>
    <row r="654">
      <c r="B654" s="18"/>
      <c r="C654" s="18"/>
      <c r="D654" s="18"/>
    </row>
    <row r="655">
      <c r="B655" s="18"/>
      <c r="C655" s="18"/>
      <c r="D655" s="18"/>
    </row>
    <row r="656">
      <c r="B656" s="18"/>
      <c r="C656" s="18"/>
      <c r="D656" s="18"/>
    </row>
    <row r="657">
      <c r="B657" s="18"/>
      <c r="C657" s="18"/>
      <c r="D657" s="18"/>
    </row>
    <row r="658">
      <c r="B658" s="18"/>
      <c r="C658" s="18"/>
      <c r="D658" s="18"/>
    </row>
    <row r="659">
      <c r="B659" s="18"/>
      <c r="C659" s="18"/>
      <c r="D659" s="18"/>
    </row>
    <row r="660">
      <c r="B660" s="18"/>
      <c r="C660" s="18"/>
      <c r="D660" s="18"/>
    </row>
    <row r="661">
      <c r="B661" s="18"/>
      <c r="C661" s="18"/>
      <c r="D661" s="18"/>
    </row>
    <row r="662">
      <c r="B662" s="18"/>
      <c r="C662" s="18"/>
      <c r="D662" s="18"/>
    </row>
    <row r="663">
      <c r="B663" s="18"/>
      <c r="C663" s="18"/>
      <c r="D663" s="18"/>
    </row>
    <row r="664">
      <c r="B664" s="18"/>
      <c r="C664" s="18"/>
      <c r="D664" s="18"/>
    </row>
    <row r="665">
      <c r="B665" s="18"/>
      <c r="C665" s="18"/>
      <c r="D665" s="18"/>
    </row>
    <row r="666">
      <c r="B666" s="18"/>
      <c r="C666" s="18"/>
      <c r="D666" s="18"/>
    </row>
    <row r="667">
      <c r="B667" s="18"/>
      <c r="C667" s="18"/>
      <c r="D667" s="18"/>
    </row>
    <row r="668">
      <c r="B668" s="18"/>
      <c r="C668" s="18"/>
      <c r="D668" s="18"/>
    </row>
    <row r="669">
      <c r="B669" s="18"/>
      <c r="C669" s="18"/>
      <c r="D669" s="18"/>
    </row>
    <row r="670">
      <c r="B670" s="18"/>
      <c r="C670" s="18"/>
      <c r="D670" s="18"/>
    </row>
    <row r="671">
      <c r="B671" s="18"/>
      <c r="C671" s="18"/>
      <c r="D671" s="18"/>
    </row>
    <row r="672">
      <c r="B672" s="18"/>
      <c r="C672" s="18"/>
      <c r="D672" s="18"/>
    </row>
    <row r="673">
      <c r="B673" s="18"/>
      <c r="C673" s="18"/>
      <c r="D673" s="18"/>
    </row>
    <row r="674">
      <c r="B674" s="18"/>
      <c r="C674" s="18"/>
      <c r="D674" s="18"/>
    </row>
    <row r="675">
      <c r="B675" s="18"/>
      <c r="C675" s="18"/>
      <c r="D675" s="18"/>
    </row>
    <row r="676">
      <c r="B676" s="18"/>
      <c r="C676" s="18"/>
      <c r="D676" s="18"/>
    </row>
    <row r="677">
      <c r="B677" s="18"/>
      <c r="C677" s="18"/>
      <c r="D677" s="18"/>
    </row>
    <row r="678">
      <c r="B678" s="18"/>
      <c r="C678" s="18"/>
      <c r="D678" s="18"/>
    </row>
    <row r="679">
      <c r="B679" s="18"/>
      <c r="C679" s="18"/>
      <c r="D679" s="18"/>
    </row>
    <row r="680">
      <c r="B680" s="18"/>
      <c r="C680" s="18"/>
      <c r="D680" s="18"/>
    </row>
    <row r="681">
      <c r="B681" s="18"/>
      <c r="C681" s="18"/>
      <c r="D681" s="18"/>
    </row>
    <row r="682">
      <c r="B682" s="18"/>
      <c r="C682" s="18"/>
      <c r="D682" s="18"/>
    </row>
    <row r="683">
      <c r="B683" s="18"/>
      <c r="C683" s="18"/>
      <c r="D683" s="18"/>
    </row>
    <row r="684">
      <c r="B684" s="18"/>
      <c r="C684" s="18"/>
      <c r="D684" s="18"/>
    </row>
    <row r="685">
      <c r="B685" s="18"/>
      <c r="C685" s="18"/>
      <c r="D685" s="18"/>
    </row>
    <row r="686">
      <c r="B686" s="18"/>
      <c r="C686" s="18"/>
      <c r="D686" s="18"/>
    </row>
    <row r="687">
      <c r="B687" s="18"/>
      <c r="C687" s="18"/>
      <c r="D687" s="18"/>
    </row>
    <row r="688">
      <c r="B688" s="18"/>
      <c r="C688" s="18"/>
      <c r="D688" s="18"/>
    </row>
    <row r="689">
      <c r="B689" s="18"/>
      <c r="C689" s="18"/>
      <c r="D689" s="18"/>
    </row>
    <row r="690">
      <c r="B690" s="18"/>
      <c r="C690" s="18"/>
      <c r="D690" s="18"/>
    </row>
    <row r="691">
      <c r="B691" s="18"/>
      <c r="C691" s="18"/>
      <c r="D691" s="18"/>
    </row>
    <row r="692">
      <c r="B692" s="18"/>
      <c r="C692" s="18"/>
      <c r="D692" s="18"/>
    </row>
    <row r="693">
      <c r="B693" s="18"/>
      <c r="C693" s="18"/>
      <c r="D693" s="18"/>
    </row>
    <row r="694">
      <c r="B694" s="18"/>
      <c r="C694" s="18"/>
      <c r="D694" s="18"/>
    </row>
    <row r="695">
      <c r="B695" s="18"/>
      <c r="C695" s="18"/>
      <c r="D695" s="18"/>
    </row>
    <row r="696">
      <c r="B696" s="18"/>
      <c r="C696" s="18"/>
      <c r="D696" s="18"/>
    </row>
    <row r="697">
      <c r="B697" s="18"/>
      <c r="C697" s="18"/>
      <c r="D697" s="18"/>
    </row>
    <row r="698">
      <c r="B698" s="18"/>
      <c r="C698" s="18"/>
      <c r="D698" s="18"/>
    </row>
    <row r="699">
      <c r="B699" s="18"/>
      <c r="C699" s="18"/>
      <c r="D699" s="18"/>
    </row>
    <row r="700">
      <c r="B700" s="18"/>
      <c r="C700" s="18"/>
      <c r="D700" s="18"/>
    </row>
    <row r="701">
      <c r="B701" s="18"/>
      <c r="C701" s="18"/>
      <c r="D701" s="18"/>
    </row>
    <row r="702">
      <c r="B702" s="18"/>
      <c r="C702" s="18"/>
      <c r="D702" s="18"/>
    </row>
    <row r="703">
      <c r="B703" s="18"/>
      <c r="C703" s="18"/>
      <c r="D703" s="18"/>
    </row>
    <row r="704">
      <c r="B704" s="18"/>
      <c r="C704" s="18"/>
      <c r="D704" s="18"/>
    </row>
    <row r="705">
      <c r="B705" s="18"/>
      <c r="C705" s="18"/>
      <c r="D705" s="18"/>
    </row>
    <row r="706">
      <c r="B706" s="18"/>
      <c r="C706" s="18"/>
      <c r="D706" s="18"/>
    </row>
    <row r="707">
      <c r="B707" s="18"/>
      <c r="C707" s="18"/>
      <c r="D707" s="18"/>
    </row>
    <row r="708">
      <c r="B708" s="18"/>
      <c r="C708" s="18"/>
      <c r="D708" s="18"/>
    </row>
    <row r="709">
      <c r="B709" s="18"/>
      <c r="C709" s="18"/>
      <c r="D709" s="18"/>
    </row>
    <row r="710">
      <c r="B710" s="18"/>
      <c r="C710" s="18"/>
      <c r="D710" s="18"/>
    </row>
    <row r="711">
      <c r="B711" s="18"/>
      <c r="C711" s="18"/>
      <c r="D711" s="18"/>
    </row>
    <row r="712">
      <c r="B712" s="18"/>
      <c r="C712" s="18"/>
      <c r="D712" s="18"/>
    </row>
    <row r="713">
      <c r="B713" s="18"/>
      <c r="C713" s="18"/>
      <c r="D713" s="18"/>
    </row>
    <row r="714">
      <c r="B714" s="18"/>
      <c r="C714" s="18"/>
      <c r="D714" s="18"/>
    </row>
    <row r="715">
      <c r="B715" s="18"/>
      <c r="C715" s="18"/>
      <c r="D715" s="18"/>
    </row>
    <row r="716">
      <c r="B716" s="18"/>
      <c r="C716" s="18"/>
      <c r="D716" s="18"/>
    </row>
    <row r="717">
      <c r="B717" s="18"/>
      <c r="C717" s="18"/>
      <c r="D717" s="18"/>
    </row>
    <row r="718">
      <c r="B718" s="18"/>
      <c r="C718" s="18"/>
      <c r="D718" s="18"/>
    </row>
    <row r="719">
      <c r="B719" s="18"/>
      <c r="C719" s="18"/>
      <c r="D719" s="18"/>
    </row>
    <row r="720">
      <c r="B720" s="18"/>
      <c r="C720" s="18"/>
      <c r="D720" s="18"/>
    </row>
    <row r="721">
      <c r="B721" s="18"/>
      <c r="C721" s="18"/>
      <c r="D721" s="18"/>
    </row>
    <row r="722">
      <c r="B722" s="18"/>
      <c r="C722" s="18"/>
      <c r="D722" s="18"/>
    </row>
    <row r="723">
      <c r="B723" s="18"/>
      <c r="C723" s="18"/>
      <c r="D723" s="18"/>
    </row>
    <row r="724">
      <c r="B724" s="18"/>
      <c r="C724" s="18"/>
      <c r="D724" s="18"/>
    </row>
    <row r="725">
      <c r="B725" s="18"/>
      <c r="C725" s="18"/>
      <c r="D725" s="18"/>
    </row>
    <row r="726">
      <c r="B726" s="18"/>
      <c r="C726" s="18"/>
      <c r="D726" s="18"/>
    </row>
    <row r="727">
      <c r="B727" s="18"/>
      <c r="C727" s="18"/>
      <c r="D727" s="18"/>
    </row>
    <row r="728">
      <c r="B728" s="18"/>
      <c r="C728" s="18"/>
      <c r="D728" s="18"/>
    </row>
    <row r="729">
      <c r="B729" s="18"/>
      <c r="C729" s="18"/>
      <c r="D729" s="18"/>
    </row>
    <row r="730">
      <c r="B730" s="18"/>
      <c r="C730" s="18"/>
      <c r="D730" s="18"/>
    </row>
    <row r="731">
      <c r="B731" s="18"/>
      <c r="C731" s="18"/>
      <c r="D731" s="18"/>
    </row>
    <row r="732">
      <c r="B732" s="18"/>
      <c r="C732" s="18"/>
      <c r="D732" s="18"/>
    </row>
    <row r="733">
      <c r="B733" s="18"/>
      <c r="C733" s="18"/>
      <c r="D733" s="18"/>
    </row>
    <row r="734">
      <c r="B734" s="18"/>
      <c r="C734" s="18"/>
      <c r="D734" s="18"/>
    </row>
    <row r="735">
      <c r="B735" s="18"/>
      <c r="C735" s="18"/>
      <c r="D735" s="18"/>
    </row>
    <row r="736">
      <c r="B736" s="18"/>
      <c r="C736" s="18"/>
      <c r="D736" s="18"/>
    </row>
    <row r="737">
      <c r="B737" s="18"/>
      <c r="C737" s="18"/>
      <c r="D737" s="18"/>
    </row>
    <row r="738">
      <c r="B738" s="18"/>
      <c r="C738" s="18"/>
      <c r="D738" s="18"/>
    </row>
    <row r="739">
      <c r="B739" s="18"/>
      <c r="C739" s="18"/>
      <c r="D739" s="18"/>
    </row>
    <row r="740">
      <c r="B740" s="18"/>
      <c r="C740" s="18"/>
      <c r="D740" s="18"/>
    </row>
    <row r="741">
      <c r="B741" s="18"/>
      <c r="C741" s="18"/>
      <c r="D741" s="18"/>
    </row>
    <row r="742">
      <c r="B742" s="18"/>
      <c r="C742" s="18"/>
      <c r="D742" s="18"/>
    </row>
    <row r="743">
      <c r="B743" s="18"/>
      <c r="C743" s="18"/>
      <c r="D743" s="18"/>
    </row>
    <row r="744">
      <c r="B744" s="18"/>
      <c r="C744" s="18"/>
      <c r="D744" s="18"/>
    </row>
    <row r="745">
      <c r="B745" s="18"/>
      <c r="C745" s="18"/>
      <c r="D745" s="18"/>
    </row>
    <row r="746">
      <c r="B746" s="18"/>
      <c r="C746" s="18"/>
      <c r="D746" s="18"/>
    </row>
    <row r="747">
      <c r="B747" s="18"/>
      <c r="C747" s="18"/>
      <c r="D747" s="18"/>
    </row>
    <row r="748">
      <c r="B748" s="18"/>
      <c r="C748" s="18"/>
      <c r="D748" s="18"/>
    </row>
    <row r="749">
      <c r="B749" s="18"/>
      <c r="C749" s="18"/>
      <c r="D749" s="18"/>
    </row>
    <row r="750">
      <c r="B750" s="18"/>
      <c r="C750" s="18"/>
      <c r="D750" s="18"/>
    </row>
    <row r="751">
      <c r="B751" s="18"/>
      <c r="C751" s="18"/>
      <c r="D751" s="18"/>
    </row>
    <row r="752">
      <c r="B752" s="18"/>
      <c r="C752" s="18"/>
      <c r="D752" s="18"/>
    </row>
    <row r="753">
      <c r="B753" s="18"/>
      <c r="C753" s="18"/>
      <c r="D753" s="18"/>
    </row>
    <row r="754">
      <c r="B754" s="18"/>
      <c r="C754" s="18"/>
      <c r="D754" s="18"/>
    </row>
    <row r="755">
      <c r="B755" s="18"/>
      <c r="C755" s="18"/>
      <c r="D755" s="18"/>
    </row>
    <row r="756">
      <c r="B756" s="18"/>
      <c r="C756" s="18"/>
      <c r="D756" s="18"/>
    </row>
    <row r="757">
      <c r="B757" s="18"/>
      <c r="C757" s="18"/>
      <c r="D757" s="18"/>
    </row>
    <row r="758">
      <c r="B758" s="18"/>
      <c r="C758" s="18"/>
      <c r="D758" s="18"/>
    </row>
    <row r="759">
      <c r="B759" s="18"/>
      <c r="C759" s="18"/>
      <c r="D759" s="18"/>
    </row>
    <row r="760">
      <c r="B760" s="18"/>
      <c r="C760" s="18"/>
      <c r="D760" s="18"/>
    </row>
    <row r="761">
      <c r="B761" s="18"/>
      <c r="C761" s="18"/>
      <c r="D761" s="18"/>
    </row>
    <row r="762">
      <c r="B762" s="18"/>
      <c r="C762" s="18"/>
      <c r="D762" s="18"/>
    </row>
    <row r="763">
      <c r="B763" s="18"/>
      <c r="C763" s="18"/>
      <c r="D763" s="18"/>
    </row>
    <row r="764">
      <c r="B764" s="18"/>
      <c r="C764" s="18"/>
      <c r="D764" s="18"/>
    </row>
    <row r="765">
      <c r="B765" s="18"/>
      <c r="C765" s="18"/>
      <c r="D765" s="18"/>
    </row>
    <row r="766">
      <c r="B766" s="18"/>
      <c r="C766" s="18"/>
      <c r="D766" s="18"/>
    </row>
    <row r="767">
      <c r="B767" s="18"/>
      <c r="C767" s="18"/>
      <c r="D767" s="18"/>
    </row>
    <row r="768">
      <c r="B768" s="18"/>
      <c r="C768" s="18"/>
      <c r="D768" s="18"/>
    </row>
    <row r="769">
      <c r="B769" s="18"/>
      <c r="C769" s="18"/>
      <c r="D769" s="18"/>
    </row>
    <row r="770">
      <c r="B770" s="18"/>
      <c r="C770" s="18"/>
      <c r="D770" s="18"/>
    </row>
    <row r="771">
      <c r="B771" s="18"/>
      <c r="C771" s="18"/>
      <c r="D771" s="18"/>
    </row>
    <row r="772">
      <c r="B772" s="18"/>
      <c r="C772" s="18"/>
      <c r="D772" s="18"/>
    </row>
    <row r="773">
      <c r="B773" s="18"/>
      <c r="C773" s="18"/>
      <c r="D773" s="18"/>
    </row>
    <row r="774">
      <c r="B774" s="18"/>
      <c r="C774" s="18"/>
      <c r="D774" s="18"/>
    </row>
    <row r="775">
      <c r="B775" s="18"/>
      <c r="C775" s="18"/>
      <c r="D775" s="18"/>
    </row>
    <row r="776">
      <c r="B776" s="18"/>
      <c r="C776" s="18"/>
      <c r="D776" s="18"/>
    </row>
    <row r="777">
      <c r="B777" s="18"/>
      <c r="C777" s="18"/>
      <c r="D777" s="18"/>
    </row>
    <row r="778">
      <c r="B778" s="18"/>
      <c r="C778" s="18"/>
      <c r="D778" s="18"/>
    </row>
    <row r="779">
      <c r="B779" s="18"/>
      <c r="C779" s="18"/>
      <c r="D779" s="18"/>
    </row>
    <row r="780">
      <c r="B780" s="18"/>
      <c r="C780" s="18"/>
      <c r="D780" s="18"/>
    </row>
    <row r="781">
      <c r="B781" s="18"/>
      <c r="C781" s="18"/>
      <c r="D781" s="18"/>
    </row>
    <row r="782">
      <c r="B782" s="18"/>
      <c r="C782" s="18"/>
      <c r="D782" s="18"/>
    </row>
    <row r="783">
      <c r="B783" s="18"/>
      <c r="C783" s="18"/>
      <c r="D783" s="18"/>
    </row>
    <row r="784">
      <c r="B784" s="18"/>
      <c r="C784" s="18"/>
      <c r="D784" s="18"/>
    </row>
    <row r="785">
      <c r="B785" s="18"/>
      <c r="C785" s="18"/>
      <c r="D785" s="18"/>
    </row>
    <row r="786">
      <c r="B786" s="18"/>
      <c r="C786" s="18"/>
      <c r="D786" s="18"/>
    </row>
    <row r="787">
      <c r="B787" s="18"/>
      <c r="C787" s="18"/>
      <c r="D787" s="18"/>
    </row>
    <row r="788">
      <c r="B788" s="18"/>
      <c r="C788" s="18"/>
      <c r="D788" s="18"/>
    </row>
    <row r="789">
      <c r="B789" s="18"/>
      <c r="C789" s="18"/>
      <c r="D789" s="18"/>
    </row>
    <row r="790">
      <c r="B790" s="18"/>
      <c r="C790" s="18"/>
      <c r="D790" s="18"/>
    </row>
    <row r="791">
      <c r="B791" s="18"/>
      <c r="C791" s="18"/>
      <c r="D791" s="18"/>
    </row>
    <row r="792">
      <c r="B792" s="18"/>
      <c r="C792" s="18"/>
      <c r="D792" s="18"/>
    </row>
    <row r="793">
      <c r="B793" s="18"/>
      <c r="C793" s="18"/>
      <c r="D793" s="18"/>
    </row>
    <row r="794">
      <c r="B794" s="18"/>
      <c r="C794" s="18"/>
      <c r="D794" s="18"/>
    </row>
    <row r="795">
      <c r="B795" s="18"/>
      <c r="C795" s="18"/>
      <c r="D795" s="18"/>
    </row>
    <row r="796">
      <c r="B796" s="18"/>
      <c r="C796" s="18"/>
      <c r="D796" s="18"/>
    </row>
    <row r="797">
      <c r="B797" s="18"/>
      <c r="C797" s="18"/>
      <c r="D797" s="18"/>
    </row>
    <row r="798">
      <c r="B798" s="18"/>
      <c r="C798" s="18"/>
      <c r="D798" s="18"/>
    </row>
    <row r="799">
      <c r="B799" s="18"/>
      <c r="C799" s="18"/>
      <c r="D799" s="18"/>
    </row>
    <row r="800">
      <c r="B800" s="18"/>
      <c r="C800" s="18"/>
      <c r="D800" s="18"/>
    </row>
    <row r="801">
      <c r="B801" s="18"/>
      <c r="C801" s="18"/>
      <c r="D801" s="18"/>
    </row>
    <row r="802">
      <c r="B802" s="18"/>
      <c r="C802" s="18"/>
      <c r="D802" s="18"/>
    </row>
    <row r="803">
      <c r="B803" s="18"/>
      <c r="C803" s="18"/>
      <c r="D803" s="18"/>
    </row>
    <row r="804">
      <c r="B804" s="18"/>
      <c r="C804" s="18"/>
      <c r="D804" s="18"/>
    </row>
    <row r="805">
      <c r="B805" s="18"/>
      <c r="C805" s="18"/>
      <c r="D805" s="18"/>
    </row>
    <row r="806">
      <c r="B806" s="18"/>
      <c r="C806" s="18"/>
      <c r="D806" s="18"/>
    </row>
    <row r="807">
      <c r="B807" s="18"/>
      <c r="C807" s="18"/>
      <c r="D807" s="18"/>
    </row>
    <row r="808">
      <c r="B808" s="18"/>
      <c r="C808" s="18"/>
      <c r="D808" s="18"/>
    </row>
    <row r="809">
      <c r="B809" s="18"/>
      <c r="C809" s="18"/>
      <c r="D809" s="18"/>
    </row>
    <row r="810">
      <c r="B810" s="18"/>
      <c r="C810" s="18"/>
      <c r="D810" s="18"/>
    </row>
    <row r="811">
      <c r="B811" s="18"/>
      <c r="C811" s="18"/>
      <c r="D811" s="18"/>
    </row>
    <row r="812">
      <c r="B812" s="18"/>
      <c r="C812" s="18"/>
      <c r="D812" s="18"/>
    </row>
    <row r="813">
      <c r="B813" s="18"/>
      <c r="C813" s="18"/>
      <c r="D813" s="18"/>
    </row>
    <row r="814">
      <c r="B814" s="18"/>
      <c r="C814" s="18"/>
      <c r="D814" s="18"/>
    </row>
    <row r="815">
      <c r="B815" s="18"/>
      <c r="C815" s="18"/>
      <c r="D815" s="18"/>
    </row>
    <row r="816">
      <c r="B816" s="18"/>
      <c r="C816" s="18"/>
      <c r="D816" s="18"/>
    </row>
    <row r="817">
      <c r="B817" s="18"/>
      <c r="C817" s="18"/>
      <c r="D817" s="18"/>
    </row>
    <row r="818">
      <c r="B818" s="18"/>
      <c r="C818" s="18"/>
      <c r="D818" s="18"/>
    </row>
    <row r="819">
      <c r="B819" s="18"/>
      <c r="C819" s="18"/>
      <c r="D819" s="18"/>
    </row>
    <row r="820">
      <c r="B820" s="18"/>
      <c r="C820" s="18"/>
      <c r="D820" s="18"/>
    </row>
    <row r="821">
      <c r="B821" s="18"/>
      <c r="C821" s="18"/>
      <c r="D821" s="18"/>
    </row>
    <row r="822">
      <c r="B822" s="18"/>
      <c r="C822" s="18"/>
      <c r="D822" s="18"/>
    </row>
    <row r="823">
      <c r="B823" s="18"/>
      <c r="C823" s="18"/>
      <c r="D823" s="18"/>
    </row>
    <row r="824">
      <c r="B824" s="18"/>
      <c r="C824" s="18"/>
      <c r="D824" s="18"/>
    </row>
    <row r="825">
      <c r="B825" s="18"/>
      <c r="C825" s="18"/>
      <c r="D825" s="18"/>
    </row>
    <row r="826">
      <c r="B826" s="18"/>
      <c r="C826" s="18"/>
      <c r="D826" s="18"/>
    </row>
    <row r="827">
      <c r="B827" s="18"/>
      <c r="C827" s="18"/>
      <c r="D827" s="18"/>
    </row>
    <row r="828">
      <c r="B828" s="18"/>
      <c r="C828" s="18"/>
      <c r="D828" s="18"/>
    </row>
    <row r="829">
      <c r="B829" s="18"/>
      <c r="C829" s="18"/>
      <c r="D829" s="18"/>
    </row>
    <row r="830">
      <c r="B830" s="18"/>
      <c r="C830" s="18"/>
      <c r="D830" s="18"/>
    </row>
    <row r="831">
      <c r="B831" s="18"/>
      <c r="C831" s="18"/>
      <c r="D831" s="18"/>
    </row>
    <row r="832">
      <c r="B832" s="18"/>
      <c r="C832" s="18"/>
      <c r="D832" s="18"/>
    </row>
    <row r="833">
      <c r="B833" s="18"/>
      <c r="C833" s="18"/>
      <c r="D833" s="18"/>
    </row>
    <row r="834">
      <c r="B834" s="18"/>
      <c r="C834" s="18"/>
      <c r="D834" s="18"/>
    </row>
    <row r="835">
      <c r="B835" s="18"/>
      <c r="C835" s="18"/>
      <c r="D835" s="18"/>
    </row>
    <row r="836">
      <c r="B836" s="18"/>
      <c r="C836" s="18"/>
      <c r="D836" s="18"/>
    </row>
    <row r="837">
      <c r="B837" s="18"/>
      <c r="C837" s="18"/>
      <c r="D837" s="18"/>
    </row>
    <row r="838">
      <c r="B838" s="18"/>
      <c r="C838" s="18"/>
      <c r="D838" s="18"/>
    </row>
    <row r="839">
      <c r="B839" s="18"/>
      <c r="C839" s="18"/>
      <c r="D839" s="18"/>
    </row>
    <row r="840">
      <c r="B840" s="18"/>
      <c r="C840" s="18"/>
      <c r="D840" s="18"/>
    </row>
    <row r="841">
      <c r="B841" s="18"/>
      <c r="C841" s="18"/>
      <c r="D841" s="18"/>
    </row>
    <row r="842">
      <c r="B842" s="18"/>
      <c r="C842" s="18"/>
      <c r="D842" s="18"/>
    </row>
    <row r="843">
      <c r="B843" s="18"/>
      <c r="C843" s="18"/>
      <c r="D843" s="18"/>
    </row>
    <row r="844">
      <c r="B844" s="18"/>
      <c r="C844" s="18"/>
      <c r="D844" s="18"/>
    </row>
    <row r="845">
      <c r="B845" s="18"/>
      <c r="C845" s="18"/>
      <c r="D845" s="18"/>
    </row>
    <row r="846">
      <c r="B846" s="18"/>
      <c r="C846" s="18"/>
      <c r="D846" s="18"/>
    </row>
    <row r="847">
      <c r="B847" s="18"/>
      <c r="C847" s="18"/>
      <c r="D847" s="18"/>
    </row>
    <row r="848">
      <c r="B848" s="18"/>
      <c r="C848" s="18"/>
      <c r="D848" s="18"/>
    </row>
    <row r="849">
      <c r="B849" s="18"/>
      <c r="C849" s="18"/>
      <c r="D849" s="18"/>
    </row>
    <row r="850">
      <c r="B850" s="18"/>
      <c r="C850" s="18"/>
      <c r="D850" s="18"/>
    </row>
    <row r="851">
      <c r="B851" s="18"/>
      <c r="C851" s="18"/>
      <c r="D851" s="18"/>
    </row>
    <row r="852">
      <c r="B852" s="18"/>
      <c r="C852" s="18"/>
      <c r="D852" s="18"/>
    </row>
    <row r="853">
      <c r="B853" s="18"/>
      <c r="C853" s="18"/>
      <c r="D853" s="18"/>
    </row>
    <row r="854">
      <c r="B854" s="18"/>
      <c r="C854" s="18"/>
      <c r="D854" s="18"/>
    </row>
    <row r="855">
      <c r="B855" s="18"/>
      <c r="C855" s="18"/>
      <c r="D855" s="18"/>
    </row>
    <row r="856">
      <c r="B856" s="18"/>
      <c r="C856" s="18"/>
      <c r="D856" s="18"/>
    </row>
    <row r="857">
      <c r="B857" s="18"/>
      <c r="C857" s="18"/>
      <c r="D857" s="18"/>
    </row>
    <row r="858">
      <c r="B858" s="18"/>
      <c r="C858" s="18"/>
      <c r="D858" s="18"/>
    </row>
    <row r="859">
      <c r="B859" s="18"/>
      <c r="C859" s="18"/>
      <c r="D859" s="18"/>
    </row>
    <row r="860">
      <c r="B860" s="18"/>
      <c r="C860" s="18"/>
      <c r="D860" s="18"/>
    </row>
    <row r="861">
      <c r="B861" s="18"/>
      <c r="C861" s="18"/>
      <c r="D861" s="18"/>
    </row>
    <row r="862">
      <c r="B862" s="18"/>
      <c r="C862" s="18"/>
      <c r="D862" s="18"/>
    </row>
    <row r="863">
      <c r="B863" s="18"/>
      <c r="C863" s="18"/>
      <c r="D863" s="18"/>
    </row>
    <row r="864">
      <c r="B864" s="18"/>
      <c r="C864" s="18"/>
      <c r="D864" s="18"/>
    </row>
    <row r="865">
      <c r="B865" s="18"/>
      <c r="C865" s="18"/>
      <c r="D865" s="18"/>
    </row>
    <row r="866">
      <c r="B866" s="18"/>
      <c r="C866" s="18"/>
      <c r="D866" s="18"/>
    </row>
    <row r="867">
      <c r="B867" s="18"/>
      <c r="C867" s="18"/>
      <c r="D867" s="18"/>
    </row>
    <row r="868">
      <c r="B868" s="18"/>
      <c r="C868" s="18"/>
      <c r="D868" s="18"/>
    </row>
    <row r="869">
      <c r="B869" s="18"/>
      <c r="C869" s="18"/>
      <c r="D869" s="18"/>
    </row>
    <row r="870">
      <c r="B870" s="18"/>
      <c r="C870" s="18"/>
      <c r="D870" s="18"/>
    </row>
    <row r="871">
      <c r="B871" s="18"/>
      <c r="C871" s="18"/>
      <c r="D871" s="18"/>
    </row>
    <row r="872">
      <c r="B872" s="18"/>
      <c r="C872" s="18"/>
      <c r="D872" s="18"/>
    </row>
    <row r="873">
      <c r="B873" s="18"/>
      <c r="C873" s="18"/>
      <c r="D873" s="18"/>
    </row>
    <row r="874">
      <c r="B874" s="18"/>
      <c r="C874" s="18"/>
      <c r="D874" s="18"/>
    </row>
    <row r="875">
      <c r="B875" s="18"/>
      <c r="C875" s="18"/>
      <c r="D875" s="18"/>
    </row>
    <row r="876">
      <c r="B876" s="18"/>
      <c r="C876" s="18"/>
      <c r="D876" s="18"/>
    </row>
    <row r="877">
      <c r="B877" s="18"/>
      <c r="C877" s="18"/>
      <c r="D877" s="18"/>
    </row>
    <row r="878">
      <c r="B878" s="18"/>
      <c r="C878" s="18"/>
      <c r="D878" s="18"/>
    </row>
    <row r="879">
      <c r="B879" s="18"/>
      <c r="C879" s="18"/>
      <c r="D879" s="18"/>
    </row>
    <row r="880">
      <c r="B880" s="18"/>
      <c r="C880" s="18"/>
      <c r="D880" s="18"/>
    </row>
    <row r="881">
      <c r="B881" s="18"/>
      <c r="C881" s="18"/>
      <c r="D881" s="18"/>
    </row>
    <row r="882">
      <c r="B882" s="18"/>
      <c r="C882" s="18"/>
      <c r="D882" s="18"/>
    </row>
    <row r="883">
      <c r="B883" s="18"/>
      <c r="C883" s="18"/>
      <c r="D883" s="18"/>
    </row>
    <row r="884">
      <c r="B884" s="18"/>
      <c r="C884" s="18"/>
      <c r="D884" s="18"/>
    </row>
    <row r="885">
      <c r="B885" s="18"/>
      <c r="C885" s="18"/>
      <c r="D885" s="18"/>
    </row>
    <row r="886">
      <c r="B886" s="18"/>
      <c r="C886" s="18"/>
      <c r="D886" s="18"/>
    </row>
    <row r="887">
      <c r="B887" s="18"/>
      <c r="C887" s="18"/>
      <c r="D887" s="18"/>
    </row>
    <row r="888">
      <c r="B888" s="18"/>
      <c r="C888" s="18"/>
      <c r="D888" s="18"/>
    </row>
    <row r="889">
      <c r="B889" s="18"/>
      <c r="C889" s="18"/>
      <c r="D889" s="18"/>
    </row>
    <row r="890">
      <c r="B890" s="18"/>
      <c r="C890" s="18"/>
      <c r="D890" s="18"/>
    </row>
    <row r="891">
      <c r="B891" s="18"/>
      <c r="C891" s="18"/>
      <c r="D891" s="18"/>
    </row>
    <row r="892">
      <c r="B892" s="18"/>
      <c r="C892" s="18"/>
      <c r="D892" s="18"/>
    </row>
    <row r="893">
      <c r="B893" s="18"/>
      <c r="C893" s="18"/>
      <c r="D893" s="18"/>
    </row>
    <row r="894">
      <c r="B894" s="18"/>
      <c r="C894" s="18"/>
      <c r="D894" s="18"/>
    </row>
    <row r="895">
      <c r="B895" s="18"/>
      <c r="C895" s="18"/>
      <c r="D895" s="18"/>
    </row>
    <row r="896">
      <c r="B896" s="18"/>
      <c r="C896" s="18"/>
      <c r="D896" s="18"/>
    </row>
    <row r="897">
      <c r="B897" s="18"/>
      <c r="C897" s="18"/>
      <c r="D897" s="18"/>
    </row>
    <row r="898">
      <c r="B898" s="18"/>
      <c r="C898" s="18"/>
      <c r="D898" s="18"/>
    </row>
    <row r="899">
      <c r="B899" s="18"/>
      <c r="C899" s="18"/>
      <c r="D899" s="18"/>
    </row>
    <row r="900">
      <c r="B900" s="18"/>
      <c r="C900" s="18"/>
      <c r="D900" s="18"/>
    </row>
    <row r="901">
      <c r="B901" s="18"/>
      <c r="C901" s="18"/>
      <c r="D901" s="18"/>
    </row>
    <row r="902">
      <c r="B902" s="18"/>
      <c r="C902" s="18"/>
      <c r="D902" s="18"/>
    </row>
    <row r="903">
      <c r="B903" s="18"/>
      <c r="C903" s="18"/>
      <c r="D903" s="18"/>
    </row>
    <row r="904">
      <c r="B904" s="18"/>
      <c r="C904" s="18"/>
      <c r="D904" s="18"/>
    </row>
    <row r="905">
      <c r="B905" s="18"/>
      <c r="C905" s="18"/>
      <c r="D905" s="18"/>
    </row>
    <row r="906">
      <c r="B906" s="18"/>
      <c r="C906" s="18"/>
      <c r="D906" s="18"/>
    </row>
    <row r="907">
      <c r="B907" s="18"/>
      <c r="C907" s="18"/>
      <c r="D907" s="18"/>
    </row>
    <row r="908">
      <c r="B908" s="18"/>
      <c r="C908" s="18"/>
      <c r="D908" s="18"/>
    </row>
    <row r="909">
      <c r="B909" s="18"/>
      <c r="C909" s="18"/>
      <c r="D909" s="18"/>
    </row>
    <row r="910">
      <c r="B910" s="18"/>
      <c r="C910" s="18"/>
      <c r="D910" s="18"/>
    </row>
    <row r="911">
      <c r="B911" s="18"/>
      <c r="C911" s="18"/>
      <c r="D911" s="18"/>
    </row>
    <row r="912">
      <c r="B912" s="18"/>
      <c r="C912" s="18"/>
      <c r="D912" s="18"/>
    </row>
    <row r="913">
      <c r="B913" s="18"/>
      <c r="C913" s="18"/>
      <c r="D913" s="18"/>
    </row>
    <row r="914">
      <c r="B914" s="18"/>
      <c r="C914" s="18"/>
      <c r="D914" s="18"/>
    </row>
    <row r="915">
      <c r="B915" s="18"/>
      <c r="C915" s="18"/>
      <c r="D915" s="18"/>
    </row>
    <row r="916">
      <c r="B916" s="18"/>
      <c r="C916" s="18"/>
      <c r="D916" s="18"/>
    </row>
    <row r="917">
      <c r="B917" s="18"/>
      <c r="C917" s="18"/>
      <c r="D917" s="18"/>
    </row>
    <row r="918">
      <c r="B918" s="18"/>
      <c r="C918" s="18"/>
      <c r="D918" s="18"/>
    </row>
    <row r="919">
      <c r="B919" s="18"/>
      <c r="C919" s="18"/>
      <c r="D919" s="18"/>
    </row>
    <row r="920">
      <c r="B920" s="18"/>
      <c r="C920" s="18"/>
      <c r="D920" s="18"/>
    </row>
    <row r="921">
      <c r="B921" s="18"/>
      <c r="C921" s="18"/>
      <c r="D921" s="18"/>
    </row>
    <row r="922">
      <c r="B922" s="18"/>
      <c r="C922" s="18"/>
      <c r="D922" s="18"/>
    </row>
    <row r="923">
      <c r="B923" s="18"/>
      <c r="C923" s="18"/>
      <c r="D923" s="18"/>
    </row>
    <row r="924">
      <c r="B924" s="18"/>
      <c r="C924" s="18"/>
      <c r="D924" s="18"/>
    </row>
    <row r="925">
      <c r="B925" s="18"/>
      <c r="C925" s="18"/>
      <c r="D925" s="18"/>
    </row>
    <row r="926">
      <c r="B926" s="18"/>
      <c r="C926" s="18"/>
      <c r="D926" s="18"/>
    </row>
    <row r="927">
      <c r="B927" s="18"/>
      <c r="C927" s="18"/>
      <c r="D927" s="18"/>
    </row>
    <row r="928">
      <c r="B928" s="18"/>
      <c r="C928" s="18"/>
      <c r="D928" s="18"/>
    </row>
    <row r="929">
      <c r="B929" s="18"/>
      <c r="C929" s="18"/>
      <c r="D929" s="18"/>
    </row>
    <row r="930">
      <c r="B930" s="18"/>
      <c r="C930" s="18"/>
      <c r="D930" s="18"/>
    </row>
    <row r="931">
      <c r="B931" s="18"/>
      <c r="C931" s="18"/>
      <c r="D931" s="18"/>
    </row>
    <row r="932">
      <c r="B932" s="18"/>
      <c r="C932" s="18"/>
      <c r="D932" s="18"/>
    </row>
    <row r="933">
      <c r="B933" s="18"/>
      <c r="C933" s="18"/>
      <c r="D933" s="18"/>
    </row>
    <row r="934">
      <c r="B934" s="18"/>
      <c r="C934" s="18"/>
      <c r="D934" s="18"/>
    </row>
    <row r="935">
      <c r="B935" s="18"/>
      <c r="C935" s="18"/>
      <c r="D935" s="18"/>
    </row>
    <row r="936">
      <c r="B936" s="18"/>
      <c r="C936" s="18"/>
      <c r="D936" s="18"/>
    </row>
    <row r="937">
      <c r="B937" s="18"/>
      <c r="C937" s="18"/>
      <c r="D937" s="18"/>
    </row>
    <row r="938">
      <c r="B938" s="18"/>
      <c r="C938" s="18"/>
      <c r="D938" s="18"/>
    </row>
    <row r="939">
      <c r="B939" s="18"/>
      <c r="C939" s="18"/>
      <c r="D939" s="18"/>
    </row>
    <row r="940">
      <c r="B940" s="18"/>
      <c r="C940" s="18"/>
      <c r="D940" s="18"/>
    </row>
    <row r="941">
      <c r="B941" s="18"/>
      <c r="C941" s="18"/>
      <c r="D941" s="18"/>
    </row>
    <row r="942">
      <c r="B942" s="18"/>
      <c r="C942" s="18"/>
      <c r="D942" s="18"/>
    </row>
    <row r="943">
      <c r="B943" s="18"/>
      <c r="C943" s="18"/>
      <c r="D943" s="18"/>
    </row>
    <row r="944">
      <c r="B944" s="18"/>
      <c r="C944" s="18"/>
      <c r="D944" s="18"/>
    </row>
    <row r="945">
      <c r="B945" s="18"/>
      <c r="C945" s="18"/>
      <c r="D945" s="18"/>
    </row>
    <row r="946">
      <c r="B946" s="18"/>
      <c r="C946" s="18"/>
      <c r="D946" s="18"/>
    </row>
    <row r="947">
      <c r="B947" s="18"/>
      <c r="C947" s="18"/>
      <c r="D947" s="18"/>
    </row>
    <row r="948">
      <c r="B948" s="18"/>
      <c r="C948" s="18"/>
      <c r="D948" s="18"/>
    </row>
    <row r="949">
      <c r="B949" s="18"/>
      <c r="C949" s="18"/>
      <c r="D949" s="18"/>
    </row>
    <row r="950">
      <c r="B950" s="18"/>
      <c r="C950" s="18"/>
      <c r="D950" s="18"/>
    </row>
    <row r="951">
      <c r="B951" s="18"/>
      <c r="C951" s="18"/>
      <c r="D951" s="18"/>
    </row>
    <row r="952">
      <c r="B952" s="18"/>
      <c r="C952" s="18"/>
      <c r="D952" s="18"/>
    </row>
    <row r="953">
      <c r="B953" s="18"/>
      <c r="C953" s="18"/>
      <c r="D953" s="18"/>
    </row>
    <row r="954">
      <c r="B954" s="18"/>
      <c r="C954" s="18"/>
      <c r="D954" s="18"/>
    </row>
    <row r="955">
      <c r="B955" s="18"/>
      <c r="C955" s="18"/>
      <c r="D955" s="18"/>
    </row>
    <row r="956">
      <c r="B956" s="18"/>
      <c r="C956" s="18"/>
      <c r="D956" s="18"/>
    </row>
    <row r="957">
      <c r="B957" s="18"/>
      <c r="C957" s="18"/>
      <c r="D957" s="18"/>
    </row>
    <row r="958">
      <c r="B958" s="18"/>
      <c r="C958" s="18"/>
      <c r="D958" s="18"/>
    </row>
    <row r="959">
      <c r="B959" s="18"/>
      <c r="C959" s="18"/>
      <c r="D959" s="18"/>
    </row>
    <row r="960">
      <c r="B960" s="18"/>
      <c r="C960" s="18"/>
      <c r="D960" s="18"/>
    </row>
    <row r="961">
      <c r="B961" s="18"/>
      <c r="C961" s="18"/>
      <c r="D961" s="18"/>
    </row>
    <row r="962">
      <c r="B962" s="18"/>
      <c r="C962" s="18"/>
      <c r="D962" s="18"/>
    </row>
    <row r="963">
      <c r="B963" s="18"/>
      <c r="C963" s="18"/>
      <c r="D963" s="18"/>
    </row>
    <row r="964">
      <c r="B964" s="18"/>
      <c r="C964" s="18"/>
      <c r="D964" s="18"/>
    </row>
    <row r="965">
      <c r="B965" s="18"/>
      <c r="C965" s="18"/>
      <c r="D965" s="18"/>
    </row>
    <row r="966">
      <c r="B966" s="18"/>
      <c r="C966" s="18"/>
      <c r="D966" s="18"/>
    </row>
    <row r="967">
      <c r="B967" s="18"/>
      <c r="C967" s="18"/>
      <c r="D967" s="18"/>
    </row>
    <row r="968">
      <c r="B968" s="18"/>
      <c r="C968" s="18"/>
      <c r="D968" s="18"/>
    </row>
    <row r="969">
      <c r="B969" s="18"/>
      <c r="C969" s="18"/>
      <c r="D969" s="18"/>
    </row>
    <row r="970">
      <c r="B970" s="18"/>
      <c r="C970" s="18"/>
      <c r="D970" s="18"/>
    </row>
    <row r="971">
      <c r="B971" s="18"/>
      <c r="C971" s="18"/>
      <c r="D971" s="18"/>
    </row>
    <row r="972">
      <c r="B972" s="18"/>
      <c r="C972" s="18"/>
      <c r="D972" s="18"/>
    </row>
    <row r="973">
      <c r="B973" s="18"/>
      <c r="C973" s="18"/>
      <c r="D973" s="18"/>
    </row>
    <row r="974">
      <c r="B974" s="18"/>
      <c r="C974" s="18"/>
      <c r="D974" s="18"/>
    </row>
    <row r="975">
      <c r="B975" s="18"/>
      <c r="C975" s="18"/>
      <c r="D975" s="18"/>
    </row>
    <row r="976">
      <c r="B976" s="18"/>
      <c r="C976" s="18"/>
      <c r="D976" s="18"/>
    </row>
    <row r="977">
      <c r="B977" s="18"/>
      <c r="C977" s="18"/>
      <c r="D977" s="18"/>
    </row>
    <row r="978">
      <c r="B978" s="18"/>
      <c r="C978" s="18"/>
      <c r="D978" s="18"/>
    </row>
    <row r="979">
      <c r="B979" s="18"/>
      <c r="C979" s="18"/>
      <c r="D979" s="18"/>
    </row>
    <row r="980">
      <c r="B980" s="18"/>
      <c r="C980" s="18"/>
      <c r="D980" s="18"/>
    </row>
    <row r="981">
      <c r="B981" s="18"/>
      <c r="C981" s="18"/>
      <c r="D981" s="18"/>
    </row>
    <row r="982">
      <c r="B982" s="18"/>
      <c r="C982" s="18"/>
      <c r="D982" s="18"/>
    </row>
    <row r="983">
      <c r="B983" s="18"/>
      <c r="C983" s="18"/>
      <c r="D983" s="18"/>
    </row>
    <row r="984">
      <c r="B984" s="18"/>
      <c r="C984" s="18"/>
      <c r="D984" s="18"/>
    </row>
    <row r="985">
      <c r="B985" s="18"/>
      <c r="C985" s="18"/>
      <c r="D985" s="18"/>
    </row>
    <row r="986">
      <c r="B986" s="18"/>
      <c r="C986" s="18"/>
      <c r="D986" s="18"/>
    </row>
    <row r="987">
      <c r="B987" s="18"/>
      <c r="C987" s="18"/>
      <c r="D987" s="18"/>
    </row>
    <row r="988">
      <c r="B988" s="18"/>
      <c r="C988" s="18"/>
      <c r="D988" s="18"/>
    </row>
    <row r="989">
      <c r="B989" s="18"/>
      <c r="C989" s="18"/>
      <c r="D989" s="18"/>
    </row>
    <row r="990">
      <c r="B990" s="18"/>
      <c r="C990" s="18"/>
      <c r="D990" s="18"/>
    </row>
    <row r="991">
      <c r="B991" s="18"/>
      <c r="C991" s="18"/>
      <c r="D991" s="18"/>
    </row>
    <row r="992">
      <c r="B992" s="18"/>
      <c r="C992" s="18"/>
      <c r="D992" s="18"/>
    </row>
    <row r="993">
      <c r="B993" s="18"/>
      <c r="C993" s="18"/>
      <c r="D993" s="18"/>
    </row>
    <row r="994">
      <c r="B994" s="18"/>
      <c r="C994" s="18"/>
      <c r="D994" s="18"/>
    </row>
    <row r="995">
      <c r="B995" s="18"/>
      <c r="C995" s="18"/>
      <c r="D995" s="18"/>
    </row>
    <row r="996">
      <c r="B996" s="18"/>
      <c r="C996" s="18"/>
      <c r="D996" s="18"/>
    </row>
    <row r="997">
      <c r="B997" s="18"/>
      <c r="C997" s="18"/>
      <c r="D997" s="18"/>
    </row>
    <row r="998">
      <c r="B998" s="18"/>
      <c r="C998" s="18"/>
      <c r="D998" s="18"/>
    </row>
    <row r="999">
      <c r="B999" s="18"/>
      <c r="C999" s="18"/>
      <c r="D999" s="18"/>
    </row>
    <row r="1000">
      <c r="B1000" s="18"/>
      <c r="C1000" s="18"/>
      <c r="D1000" s="18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0"/>
    <col customWidth="1" min="3" max="3" width="14.38"/>
  </cols>
  <sheetData>
    <row r="1">
      <c r="I1" s="17" t="s">
        <v>4</v>
      </c>
      <c r="J1" s="17" t="s">
        <v>19</v>
      </c>
      <c r="K1" s="18" t="s">
        <v>835</v>
      </c>
    </row>
    <row r="2">
      <c r="I2" s="17" t="s">
        <v>15</v>
      </c>
      <c r="J2" s="25">
        <v>25.5</v>
      </c>
      <c r="K2" s="18">
        <v>1.8934358669999998E7</v>
      </c>
    </row>
    <row r="3">
      <c r="I3" s="17" t="s">
        <v>24</v>
      </c>
      <c r="J3" s="25">
        <v>25.0</v>
      </c>
      <c r="K3" s="18">
        <v>4.577449898199999E8</v>
      </c>
    </row>
    <row r="4">
      <c r="K4" s="18"/>
    </row>
    <row r="5">
      <c r="K5" s="18"/>
    </row>
    <row r="6">
      <c r="K6" s="18"/>
    </row>
    <row r="7">
      <c r="K7" s="18"/>
    </row>
    <row r="8">
      <c r="K8" s="18"/>
    </row>
    <row r="9">
      <c r="K9" s="18"/>
    </row>
    <row r="10">
      <c r="K10" s="18"/>
    </row>
    <row r="11">
      <c r="K11" s="18"/>
    </row>
    <row r="12">
      <c r="K12" s="18"/>
    </row>
    <row r="13">
      <c r="K13" s="18"/>
    </row>
    <row r="14">
      <c r="C14" s="18"/>
      <c r="K14" s="18"/>
    </row>
    <row r="15">
      <c r="C15" s="18"/>
      <c r="K15" s="18"/>
    </row>
    <row r="16">
      <c r="C16" s="18"/>
      <c r="K16" s="18"/>
    </row>
    <row r="17">
      <c r="C17" s="18"/>
      <c r="K17" s="18"/>
    </row>
    <row r="18">
      <c r="C18" s="18"/>
      <c r="K18" s="18"/>
    </row>
    <row r="19">
      <c r="C19" s="18"/>
      <c r="K19" s="18"/>
    </row>
    <row r="20">
      <c r="C20" s="18"/>
      <c r="K20" s="18"/>
    </row>
    <row r="21">
      <c r="C21" s="18"/>
      <c r="K21" s="18"/>
    </row>
    <row r="22">
      <c r="C22" s="18"/>
      <c r="K22" s="18"/>
    </row>
    <row r="23">
      <c r="C23" s="18"/>
      <c r="K23" s="18"/>
    </row>
    <row r="24">
      <c r="C24" s="18"/>
      <c r="K24" s="18"/>
    </row>
    <row r="25">
      <c r="C25" s="18"/>
      <c r="K25" s="18"/>
    </row>
    <row r="26">
      <c r="C26" s="18"/>
      <c r="K26" s="18"/>
    </row>
    <row r="27">
      <c r="C27" s="18"/>
      <c r="K27" s="18"/>
    </row>
    <row r="28">
      <c r="C28" s="18"/>
      <c r="K28" s="18"/>
    </row>
    <row r="29">
      <c r="C29" s="18"/>
      <c r="K29" s="18"/>
    </row>
    <row r="30">
      <c r="C30" s="18"/>
      <c r="K30" s="18"/>
    </row>
    <row r="31">
      <c r="C31" s="18"/>
      <c r="K31" s="18"/>
    </row>
    <row r="32">
      <c r="C32" s="18"/>
      <c r="K32" s="18"/>
    </row>
    <row r="33">
      <c r="C33" s="18"/>
      <c r="K33" s="18"/>
    </row>
    <row r="34">
      <c r="C34" s="18"/>
      <c r="K34" s="18"/>
    </row>
    <row r="35">
      <c r="C35" s="18"/>
      <c r="K35" s="18"/>
    </row>
    <row r="36">
      <c r="C36" s="18"/>
      <c r="K36" s="18"/>
    </row>
    <row r="37">
      <c r="C37" s="18"/>
      <c r="K37" s="18"/>
    </row>
    <row r="38">
      <c r="C38" s="18"/>
      <c r="K38" s="18"/>
    </row>
    <row r="39">
      <c r="C39" s="18"/>
      <c r="K39" s="18"/>
    </row>
    <row r="40">
      <c r="C40" s="18"/>
      <c r="K40" s="18"/>
    </row>
    <row r="41">
      <c r="C41" s="18"/>
      <c r="K41" s="18"/>
    </row>
    <row r="42">
      <c r="C42" s="18"/>
      <c r="K42" s="18"/>
    </row>
    <row r="43">
      <c r="C43" s="18"/>
      <c r="K43" s="18"/>
    </row>
    <row r="44">
      <c r="C44" s="18"/>
      <c r="K44" s="18"/>
    </row>
    <row r="45">
      <c r="C45" s="18"/>
      <c r="K45" s="18"/>
    </row>
    <row r="46">
      <c r="C46" s="18"/>
      <c r="K46" s="18"/>
    </row>
    <row r="47">
      <c r="C47" s="18"/>
      <c r="G47" s="18"/>
      <c r="K47" s="18"/>
    </row>
    <row r="48">
      <c r="C48" s="18"/>
      <c r="G48" s="18"/>
      <c r="K48" s="18"/>
    </row>
    <row r="49">
      <c r="C49" s="18"/>
      <c r="G49" s="18"/>
      <c r="K49" s="18"/>
    </row>
    <row r="50">
      <c r="C50" s="18"/>
      <c r="G50" s="18"/>
      <c r="K50" s="18"/>
    </row>
    <row r="51">
      <c r="C51" s="18"/>
      <c r="G51" s="18"/>
      <c r="K51" s="18"/>
    </row>
    <row r="52">
      <c r="C52" s="18"/>
      <c r="G52" s="18"/>
      <c r="K52" s="18"/>
    </row>
    <row r="53">
      <c r="C53" s="18"/>
      <c r="G53" s="18"/>
      <c r="K53" s="18"/>
    </row>
    <row r="54">
      <c r="C54" s="18"/>
      <c r="G54" s="18"/>
      <c r="K54" s="18"/>
    </row>
    <row r="55">
      <c r="C55" s="18"/>
      <c r="G55" s="18"/>
      <c r="K55" s="18"/>
    </row>
    <row r="56">
      <c r="C56" s="18"/>
      <c r="G56" s="18"/>
      <c r="K56" s="18"/>
    </row>
    <row r="57">
      <c r="C57" s="18"/>
      <c r="G57" s="18"/>
      <c r="K57" s="18"/>
    </row>
    <row r="58">
      <c r="C58" s="18"/>
      <c r="G58" s="18"/>
      <c r="K58" s="18"/>
    </row>
    <row r="59">
      <c r="C59" s="18"/>
      <c r="G59" s="18"/>
      <c r="K59" s="18"/>
    </row>
    <row r="60">
      <c r="C60" s="18"/>
      <c r="G60" s="18"/>
      <c r="K60" s="18"/>
    </row>
    <row r="61">
      <c r="C61" s="18"/>
      <c r="G61" s="18"/>
      <c r="K61" s="18"/>
    </row>
    <row r="62">
      <c r="C62" s="18"/>
      <c r="G62" s="18"/>
      <c r="K62" s="18"/>
    </row>
    <row r="63">
      <c r="C63" s="18"/>
      <c r="G63" s="18"/>
      <c r="K63" s="18"/>
    </row>
    <row r="64">
      <c r="C64" s="18"/>
      <c r="G64" s="18"/>
      <c r="K64" s="18"/>
    </row>
    <row r="65">
      <c r="C65" s="18"/>
      <c r="G65" s="18"/>
      <c r="K65" s="18"/>
    </row>
    <row r="66">
      <c r="C66" s="18"/>
      <c r="G66" s="18"/>
      <c r="K66" s="18"/>
    </row>
    <row r="67">
      <c r="C67" s="18"/>
      <c r="G67" s="18"/>
      <c r="K67" s="18"/>
    </row>
    <row r="68">
      <c r="C68" s="18"/>
      <c r="G68" s="18"/>
      <c r="K68" s="18"/>
    </row>
    <row r="69">
      <c r="C69" s="18"/>
      <c r="G69" s="18"/>
      <c r="K69" s="18"/>
    </row>
    <row r="70">
      <c r="C70" s="18"/>
      <c r="G70" s="18"/>
      <c r="K70" s="18"/>
    </row>
    <row r="71">
      <c r="C71" s="18"/>
      <c r="G71" s="18"/>
      <c r="K71" s="18"/>
    </row>
    <row r="72">
      <c r="C72" s="18"/>
      <c r="G72" s="18"/>
      <c r="K72" s="18"/>
    </row>
    <row r="73">
      <c r="C73" s="18"/>
      <c r="G73" s="18"/>
      <c r="K73" s="18"/>
    </row>
    <row r="74">
      <c r="C74" s="18"/>
      <c r="G74" s="18"/>
      <c r="K74" s="18"/>
    </row>
    <row r="75">
      <c r="C75" s="18"/>
      <c r="G75" s="18"/>
      <c r="K75" s="18"/>
    </row>
    <row r="76">
      <c r="C76" s="18"/>
      <c r="G76" s="18"/>
      <c r="K76" s="18"/>
    </row>
    <row r="77">
      <c r="C77" s="18"/>
      <c r="G77" s="18"/>
      <c r="K77" s="18"/>
    </row>
    <row r="78">
      <c r="C78" s="18"/>
      <c r="G78" s="18"/>
      <c r="K78" s="18"/>
    </row>
    <row r="79">
      <c r="C79" s="18"/>
      <c r="G79" s="18"/>
      <c r="K79" s="18"/>
    </row>
    <row r="80">
      <c r="C80" s="18"/>
      <c r="G80" s="18"/>
      <c r="K80" s="18"/>
    </row>
    <row r="81">
      <c r="C81" s="18"/>
      <c r="G81" s="18"/>
      <c r="K81" s="18"/>
    </row>
    <row r="82">
      <c r="C82" s="18"/>
      <c r="G82" s="18"/>
      <c r="K82" s="18"/>
    </row>
    <row r="83">
      <c r="C83" s="18"/>
      <c r="G83" s="18"/>
      <c r="K83" s="18"/>
    </row>
    <row r="84">
      <c r="C84" s="18"/>
      <c r="G84" s="18"/>
      <c r="K84" s="18"/>
    </row>
    <row r="85">
      <c r="C85" s="18"/>
      <c r="G85" s="18"/>
      <c r="K85" s="18"/>
    </row>
    <row r="86">
      <c r="C86" s="18"/>
      <c r="G86" s="18"/>
      <c r="K86" s="18"/>
    </row>
    <row r="87">
      <c r="C87" s="18"/>
      <c r="G87" s="18"/>
      <c r="K87" s="18"/>
    </row>
    <row r="88">
      <c r="C88" s="18"/>
      <c r="G88" s="18"/>
      <c r="K88" s="18"/>
    </row>
    <row r="89">
      <c r="C89" s="18"/>
      <c r="G89" s="18"/>
      <c r="K89" s="18"/>
    </row>
    <row r="90">
      <c r="C90" s="18"/>
      <c r="G90" s="18"/>
      <c r="K90" s="18"/>
    </row>
    <row r="91">
      <c r="C91" s="18"/>
      <c r="G91" s="18"/>
      <c r="K91" s="18"/>
    </row>
    <row r="92">
      <c r="C92" s="18"/>
      <c r="G92" s="18"/>
      <c r="K92" s="18"/>
    </row>
    <row r="93">
      <c r="C93" s="18"/>
      <c r="G93" s="18"/>
      <c r="K93" s="18"/>
    </row>
    <row r="94">
      <c r="C94" s="18"/>
      <c r="G94" s="18"/>
      <c r="K94" s="18"/>
    </row>
    <row r="95">
      <c r="C95" s="18"/>
      <c r="G95" s="18"/>
      <c r="K95" s="18"/>
    </row>
    <row r="96">
      <c r="C96" s="18"/>
      <c r="G96" s="18"/>
      <c r="K96" s="18"/>
    </row>
    <row r="97">
      <c r="C97" s="18"/>
      <c r="G97" s="18"/>
      <c r="K97" s="18"/>
    </row>
    <row r="98">
      <c r="C98" s="18"/>
      <c r="G98" s="18"/>
      <c r="K98" s="18"/>
    </row>
    <row r="99">
      <c r="C99" s="18"/>
      <c r="G99" s="18"/>
      <c r="K99" s="18"/>
    </row>
    <row r="100">
      <c r="C100" s="18"/>
      <c r="G100" s="18"/>
      <c r="K100" s="18"/>
    </row>
    <row r="101">
      <c r="C101" s="18"/>
      <c r="G101" s="18"/>
      <c r="K101" s="18"/>
    </row>
    <row r="102">
      <c r="C102" s="18"/>
      <c r="G102" s="18"/>
      <c r="K102" s="18"/>
    </row>
    <row r="103">
      <c r="C103" s="18"/>
      <c r="G103" s="18"/>
      <c r="K103" s="18"/>
    </row>
    <row r="104">
      <c r="C104" s="18"/>
      <c r="G104" s="18"/>
      <c r="K104" s="18"/>
    </row>
    <row r="105">
      <c r="C105" s="18"/>
      <c r="G105" s="18"/>
      <c r="K105" s="18"/>
    </row>
    <row r="106">
      <c r="C106" s="18"/>
      <c r="G106" s="18"/>
      <c r="K106" s="18"/>
    </row>
    <row r="107">
      <c r="C107" s="18"/>
      <c r="G107" s="18"/>
      <c r="K107" s="18"/>
    </row>
    <row r="108">
      <c r="C108" s="18"/>
      <c r="G108" s="18"/>
      <c r="K108" s="18"/>
    </row>
    <row r="109">
      <c r="C109" s="18"/>
      <c r="G109" s="18"/>
      <c r="K109" s="18"/>
    </row>
    <row r="110">
      <c r="C110" s="18"/>
      <c r="G110" s="18"/>
      <c r="K110" s="18"/>
    </row>
    <row r="111">
      <c r="C111" s="18"/>
      <c r="G111" s="18"/>
      <c r="K111" s="18"/>
    </row>
    <row r="112">
      <c r="C112" s="18"/>
      <c r="G112" s="18"/>
      <c r="K112" s="18"/>
    </row>
    <row r="113">
      <c r="C113" s="18"/>
      <c r="G113" s="18"/>
      <c r="K113" s="18"/>
    </row>
    <row r="114">
      <c r="C114" s="18"/>
      <c r="G114" s="18"/>
      <c r="K114" s="18"/>
    </row>
    <row r="115">
      <c r="C115" s="18"/>
      <c r="G115" s="18"/>
      <c r="K115" s="18"/>
    </row>
    <row r="116">
      <c r="C116" s="18"/>
      <c r="G116" s="18"/>
      <c r="K116" s="18"/>
    </row>
    <row r="117">
      <c r="C117" s="18"/>
      <c r="G117" s="18"/>
      <c r="K117" s="18"/>
    </row>
    <row r="118">
      <c r="C118" s="18"/>
      <c r="G118" s="18"/>
      <c r="K118" s="18"/>
    </row>
    <row r="119">
      <c r="C119" s="18"/>
      <c r="G119" s="18"/>
      <c r="K119" s="18"/>
    </row>
    <row r="120">
      <c r="C120" s="18"/>
      <c r="G120" s="18"/>
      <c r="K120" s="18"/>
    </row>
    <row r="121">
      <c r="C121" s="18"/>
      <c r="G121" s="18"/>
      <c r="K121" s="18"/>
    </row>
    <row r="122">
      <c r="C122" s="18"/>
      <c r="G122" s="18"/>
      <c r="K122" s="18"/>
    </row>
    <row r="123">
      <c r="C123" s="18"/>
      <c r="G123" s="18"/>
      <c r="K123" s="18"/>
    </row>
    <row r="124">
      <c r="C124" s="18"/>
      <c r="G124" s="18"/>
      <c r="K124" s="18"/>
    </row>
    <row r="125">
      <c r="C125" s="18"/>
      <c r="G125" s="18"/>
      <c r="K125" s="18"/>
    </row>
    <row r="126">
      <c r="C126" s="18"/>
      <c r="G126" s="18"/>
      <c r="K126" s="18"/>
    </row>
    <row r="127">
      <c r="C127" s="18"/>
      <c r="G127" s="18"/>
      <c r="K127" s="18"/>
    </row>
    <row r="128">
      <c r="C128" s="18"/>
      <c r="G128" s="18"/>
      <c r="K128" s="18"/>
    </row>
    <row r="129">
      <c r="C129" s="18"/>
      <c r="G129" s="18"/>
      <c r="K129" s="18"/>
    </row>
    <row r="130">
      <c r="C130" s="18"/>
      <c r="G130" s="18"/>
      <c r="K130" s="18"/>
    </row>
    <row r="131">
      <c r="C131" s="18"/>
      <c r="G131" s="18"/>
      <c r="K131" s="18"/>
    </row>
    <row r="132">
      <c r="C132" s="18"/>
      <c r="G132" s="18"/>
      <c r="K132" s="18"/>
    </row>
    <row r="133">
      <c r="C133" s="18"/>
      <c r="G133" s="18"/>
      <c r="K133" s="18"/>
    </row>
    <row r="134">
      <c r="C134" s="18"/>
      <c r="G134" s="18"/>
      <c r="K134" s="18"/>
    </row>
    <row r="135">
      <c r="C135" s="18"/>
      <c r="G135" s="18"/>
      <c r="K135" s="18"/>
    </row>
    <row r="136">
      <c r="C136" s="18"/>
      <c r="G136" s="18"/>
      <c r="K136" s="18"/>
    </row>
    <row r="137">
      <c r="C137" s="18"/>
      <c r="G137" s="18"/>
      <c r="K137" s="18"/>
    </row>
    <row r="138">
      <c r="C138" s="18"/>
      <c r="G138" s="18"/>
      <c r="K138" s="18"/>
    </row>
    <row r="139">
      <c r="C139" s="18"/>
      <c r="G139" s="18"/>
      <c r="K139" s="18"/>
    </row>
    <row r="140">
      <c r="C140" s="18"/>
      <c r="G140" s="18"/>
      <c r="K140" s="18"/>
    </row>
    <row r="141">
      <c r="C141" s="18"/>
      <c r="G141" s="18"/>
      <c r="K141" s="18"/>
    </row>
    <row r="142">
      <c r="C142" s="18"/>
      <c r="G142" s="18"/>
      <c r="K142" s="18"/>
    </row>
    <row r="143">
      <c r="C143" s="18"/>
      <c r="G143" s="18"/>
      <c r="K143" s="18"/>
    </row>
    <row r="144">
      <c r="C144" s="18"/>
      <c r="G144" s="18"/>
      <c r="K144" s="18"/>
    </row>
    <row r="145">
      <c r="C145" s="18"/>
      <c r="G145" s="18"/>
      <c r="K145" s="18"/>
    </row>
    <row r="146">
      <c r="C146" s="18"/>
      <c r="G146" s="18"/>
      <c r="K146" s="18"/>
    </row>
    <row r="147">
      <c r="C147" s="18"/>
      <c r="G147" s="18"/>
      <c r="K147" s="18"/>
    </row>
    <row r="148">
      <c r="C148" s="18"/>
      <c r="G148" s="18"/>
      <c r="K148" s="18"/>
    </row>
    <row r="149">
      <c r="C149" s="18"/>
      <c r="G149" s="18"/>
      <c r="K149" s="18"/>
    </row>
    <row r="150">
      <c r="C150" s="18"/>
      <c r="G150" s="18"/>
      <c r="K150" s="18"/>
    </row>
    <row r="151">
      <c r="C151" s="18"/>
      <c r="G151" s="18"/>
      <c r="K151" s="18"/>
    </row>
    <row r="152">
      <c r="C152" s="18"/>
      <c r="G152" s="18"/>
      <c r="K152" s="18"/>
    </row>
    <row r="153">
      <c r="C153" s="18"/>
      <c r="G153" s="18"/>
      <c r="K153" s="18"/>
    </row>
    <row r="154">
      <c r="C154" s="18"/>
      <c r="G154" s="18"/>
      <c r="K154" s="18"/>
    </row>
    <row r="155">
      <c r="C155" s="18"/>
      <c r="G155" s="18"/>
      <c r="K155" s="18"/>
    </row>
    <row r="156">
      <c r="C156" s="18"/>
      <c r="G156" s="18"/>
      <c r="K156" s="18"/>
    </row>
    <row r="157">
      <c r="C157" s="18"/>
      <c r="G157" s="18"/>
      <c r="K157" s="18"/>
    </row>
    <row r="158">
      <c r="C158" s="18"/>
      <c r="G158" s="18"/>
      <c r="K158" s="18"/>
    </row>
    <row r="159">
      <c r="C159" s="18"/>
      <c r="G159" s="18"/>
      <c r="K159" s="18"/>
    </row>
    <row r="160">
      <c r="C160" s="18"/>
      <c r="G160" s="18"/>
      <c r="K160" s="18"/>
    </row>
    <row r="161">
      <c r="C161" s="18"/>
      <c r="G161" s="18"/>
      <c r="K161" s="18"/>
    </row>
    <row r="162">
      <c r="C162" s="18"/>
      <c r="G162" s="18"/>
      <c r="K162" s="18"/>
    </row>
    <row r="163">
      <c r="C163" s="18"/>
      <c r="G163" s="18"/>
      <c r="K163" s="18"/>
    </row>
    <row r="164">
      <c r="C164" s="18"/>
      <c r="G164" s="18"/>
      <c r="K164" s="18"/>
    </row>
    <row r="165">
      <c r="C165" s="18"/>
      <c r="G165" s="18"/>
      <c r="K165" s="18"/>
    </row>
    <row r="166">
      <c r="C166" s="18"/>
      <c r="G166" s="18"/>
      <c r="K166" s="18"/>
    </row>
    <row r="167">
      <c r="C167" s="18"/>
      <c r="G167" s="18"/>
      <c r="K167" s="18"/>
    </row>
    <row r="168">
      <c r="C168" s="18"/>
      <c r="G168" s="18"/>
      <c r="K168" s="18"/>
    </row>
    <row r="169">
      <c r="C169" s="18"/>
      <c r="G169" s="18"/>
      <c r="K169" s="18"/>
    </row>
    <row r="170">
      <c r="C170" s="18"/>
      <c r="G170" s="18"/>
      <c r="K170" s="18"/>
    </row>
    <row r="171">
      <c r="C171" s="18"/>
      <c r="G171" s="18"/>
      <c r="K171" s="18"/>
    </row>
    <row r="172">
      <c r="C172" s="18"/>
      <c r="G172" s="18"/>
      <c r="K172" s="18"/>
    </row>
    <row r="173">
      <c r="C173" s="18"/>
      <c r="G173" s="18"/>
      <c r="K173" s="18"/>
    </row>
    <row r="174">
      <c r="C174" s="18"/>
      <c r="G174" s="18"/>
      <c r="K174" s="18"/>
    </row>
    <row r="175">
      <c r="C175" s="18"/>
      <c r="G175" s="18"/>
      <c r="K175" s="18"/>
    </row>
    <row r="176">
      <c r="C176" s="18"/>
      <c r="G176" s="18"/>
      <c r="K176" s="18"/>
    </row>
    <row r="177">
      <c r="C177" s="18"/>
      <c r="G177" s="18"/>
      <c r="K177" s="18"/>
    </row>
    <row r="178">
      <c r="C178" s="18"/>
      <c r="G178" s="18"/>
      <c r="K178" s="18"/>
    </row>
    <row r="179">
      <c r="C179" s="18"/>
      <c r="G179" s="18"/>
      <c r="K179" s="18"/>
    </row>
    <row r="180">
      <c r="C180" s="18"/>
      <c r="G180" s="18"/>
      <c r="K180" s="18"/>
    </row>
    <row r="181">
      <c r="C181" s="18"/>
      <c r="G181" s="18"/>
      <c r="K181" s="18"/>
    </row>
    <row r="182">
      <c r="C182" s="18"/>
      <c r="G182" s="18"/>
      <c r="K182" s="18"/>
    </row>
    <row r="183">
      <c r="C183" s="18"/>
      <c r="G183" s="18"/>
      <c r="K183" s="18"/>
    </row>
    <row r="184">
      <c r="C184" s="18"/>
      <c r="G184" s="18"/>
      <c r="K184" s="18"/>
    </row>
    <row r="185">
      <c r="C185" s="18"/>
      <c r="G185" s="18"/>
      <c r="K185" s="18"/>
    </row>
    <row r="186">
      <c r="C186" s="18"/>
      <c r="G186" s="18"/>
      <c r="K186" s="18"/>
    </row>
    <row r="187">
      <c r="C187" s="18"/>
      <c r="G187" s="18"/>
      <c r="K187" s="18"/>
    </row>
    <row r="188">
      <c r="C188" s="18"/>
      <c r="G188" s="18"/>
      <c r="K188" s="18"/>
    </row>
    <row r="189">
      <c r="C189" s="18"/>
      <c r="G189" s="18"/>
      <c r="K189" s="18"/>
    </row>
    <row r="190">
      <c r="C190" s="18"/>
      <c r="G190" s="18"/>
      <c r="K190" s="18"/>
    </row>
    <row r="191">
      <c r="C191" s="18"/>
      <c r="G191" s="18"/>
      <c r="K191" s="18"/>
    </row>
    <row r="192">
      <c r="C192" s="18"/>
      <c r="G192" s="18"/>
      <c r="K192" s="18"/>
    </row>
    <row r="193">
      <c r="C193" s="18"/>
      <c r="G193" s="18"/>
      <c r="K193" s="18"/>
    </row>
    <row r="194">
      <c r="C194" s="18"/>
      <c r="G194" s="18"/>
      <c r="K194" s="18"/>
    </row>
    <row r="195">
      <c r="C195" s="18"/>
      <c r="G195" s="18"/>
      <c r="K195" s="18"/>
    </row>
    <row r="196">
      <c r="C196" s="18"/>
      <c r="G196" s="18"/>
      <c r="K196" s="18"/>
    </row>
    <row r="197">
      <c r="C197" s="18"/>
      <c r="G197" s="18"/>
      <c r="K197" s="18"/>
    </row>
    <row r="198">
      <c r="C198" s="18"/>
      <c r="G198" s="18"/>
      <c r="K198" s="18"/>
    </row>
    <row r="199">
      <c r="C199" s="18"/>
      <c r="G199" s="18"/>
      <c r="K199" s="18"/>
    </row>
    <row r="200">
      <c r="C200" s="18"/>
      <c r="G200" s="18"/>
      <c r="K200" s="18"/>
    </row>
    <row r="201">
      <c r="C201" s="18"/>
      <c r="G201" s="18"/>
      <c r="K201" s="18"/>
    </row>
    <row r="202">
      <c r="C202" s="18"/>
      <c r="G202" s="18"/>
      <c r="K202" s="18"/>
    </row>
    <row r="203">
      <c r="C203" s="18"/>
      <c r="G203" s="18"/>
      <c r="K203" s="18"/>
    </row>
    <row r="204">
      <c r="C204" s="18"/>
      <c r="G204" s="18"/>
      <c r="K204" s="18"/>
    </row>
    <row r="205">
      <c r="C205" s="18"/>
      <c r="G205" s="18"/>
      <c r="K205" s="18"/>
    </row>
    <row r="206">
      <c r="C206" s="18"/>
      <c r="G206" s="18"/>
      <c r="K206" s="18"/>
    </row>
    <row r="207">
      <c r="C207" s="18"/>
      <c r="G207" s="18"/>
      <c r="K207" s="18"/>
    </row>
    <row r="208">
      <c r="C208" s="18"/>
      <c r="G208" s="18"/>
      <c r="K208" s="18"/>
    </row>
    <row r="209">
      <c r="C209" s="18"/>
      <c r="G209" s="18"/>
      <c r="K209" s="18"/>
    </row>
    <row r="210">
      <c r="C210" s="18"/>
      <c r="G210" s="18"/>
      <c r="K210" s="18"/>
    </row>
    <row r="211">
      <c r="C211" s="18"/>
      <c r="G211" s="18"/>
      <c r="K211" s="18"/>
    </row>
    <row r="212">
      <c r="C212" s="18"/>
      <c r="G212" s="18"/>
      <c r="K212" s="18"/>
    </row>
    <row r="213">
      <c r="C213" s="18"/>
      <c r="G213" s="18"/>
      <c r="K213" s="18"/>
    </row>
    <row r="214">
      <c r="C214" s="18"/>
      <c r="G214" s="18"/>
      <c r="K214" s="18"/>
    </row>
    <row r="215">
      <c r="C215" s="18"/>
      <c r="G215" s="18"/>
      <c r="K215" s="18"/>
    </row>
    <row r="216">
      <c r="C216" s="18"/>
      <c r="G216" s="18"/>
      <c r="K216" s="18"/>
    </row>
    <row r="217">
      <c r="C217" s="18"/>
      <c r="G217" s="18"/>
      <c r="K217" s="18"/>
    </row>
    <row r="218">
      <c r="C218" s="18"/>
      <c r="G218" s="18"/>
      <c r="K218" s="18"/>
    </row>
    <row r="219">
      <c r="C219" s="18"/>
      <c r="G219" s="18"/>
      <c r="K219" s="18"/>
    </row>
    <row r="220">
      <c r="C220" s="18"/>
      <c r="G220" s="18"/>
      <c r="K220" s="18"/>
    </row>
    <row r="221">
      <c r="C221" s="18"/>
      <c r="G221" s="18"/>
      <c r="K221" s="18"/>
    </row>
    <row r="222">
      <c r="C222" s="18"/>
      <c r="G222" s="18"/>
      <c r="K222" s="18"/>
    </row>
    <row r="223">
      <c r="C223" s="18"/>
      <c r="G223" s="18"/>
      <c r="K223" s="18"/>
    </row>
    <row r="224">
      <c r="C224" s="18"/>
      <c r="G224" s="18"/>
      <c r="K224" s="18"/>
    </row>
    <row r="225">
      <c r="C225" s="18"/>
      <c r="G225" s="18"/>
      <c r="K225" s="18"/>
    </row>
    <row r="226">
      <c r="C226" s="18"/>
      <c r="G226" s="18"/>
      <c r="K226" s="18"/>
    </row>
    <row r="227">
      <c r="C227" s="18"/>
      <c r="G227" s="18"/>
      <c r="K227" s="18"/>
    </row>
    <row r="228">
      <c r="C228" s="18"/>
      <c r="G228" s="18"/>
      <c r="K228" s="18"/>
    </row>
    <row r="229">
      <c r="C229" s="18"/>
      <c r="G229" s="18"/>
      <c r="K229" s="18"/>
    </row>
    <row r="230">
      <c r="C230" s="18"/>
      <c r="G230" s="18"/>
      <c r="K230" s="18"/>
    </row>
    <row r="231">
      <c r="C231" s="18"/>
      <c r="G231" s="18"/>
      <c r="K231" s="18"/>
    </row>
    <row r="232">
      <c r="C232" s="18"/>
      <c r="G232" s="18"/>
      <c r="K232" s="18"/>
    </row>
    <row r="233">
      <c r="C233" s="18"/>
      <c r="G233" s="18"/>
      <c r="K233" s="18"/>
    </row>
    <row r="234">
      <c r="C234" s="18"/>
      <c r="G234" s="18"/>
      <c r="K234" s="18"/>
    </row>
    <row r="235">
      <c r="C235" s="18"/>
      <c r="G235" s="18"/>
      <c r="K235" s="18"/>
    </row>
    <row r="236">
      <c r="C236" s="18"/>
      <c r="G236" s="18"/>
      <c r="K236" s="18"/>
    </row>
    <row r="237">
      <c r="C237" s="18"/>
      <c r="G237" s="18"/>
      <c r="K237" s="18"/>
    </row>
    <row r="238">
      <c r="C238" s="18"/>
      <c r="G238" s="18"/>
      <c r="K238" s="18"/>
    </row>
    <row r="239">
      <c r="C239" s="18"/>
      <c r="G239" s="18"/>
      <c r="K239" s="18"/>
    </row>
    <row r="240">
      <c r="C240" s="18"/>
      <c r="G240" s="18"/>
      <c r="K240" s="18"/>
    </row>
    <row r="241">
      <c r="C241" s="18"/>
      <c r="G241" s="18"/>
      <c r="K241" s="18"/>
    </row>
    <row r="242">
      <c r="C242" s="18"/>
      <c r="G242" s="18"/>
      <c r="K242" s="18"/>
    </row>
    <row r="243">
      <c r="C243" s="18"/>
      <c r="G243" s="18"/>
      <c r="K243" s="18"/>
    </row>
    <row r="244">
      <c r="C244" s="18"/>
      <c r="G244" s="18"/>
      <c r="K244" s="18"/>
    </row>
    <row r="245">
      <c r="C245" s="18"/>
      <c r="G245" s="18"/>
      <c r="K245" s="18"/>
    </row>
    <row r="246">
      <c r="C246" s="18"/>
      <c r="G246" s="18"/>
      <c r="K246" s="18"/>
    </row>
    <row r="247">
      <c r="C247" s="18"/>
      <c r="G247" s="18"/>
      <c r="K247" s="18"/>
    </row>
    <row r="248">
      <c r="C248" s="18"/>
      <c r="G248" s="18"/>
      <c r="K248" s="18"/>
    </row>
    <row r="249">
      <c r="C249" s="18"/>
      <c r="G249" s="18"/>
      <c r="K249" s="18"/>
    </row>
    <row r="250">
      <c r="C250" s="18"/>
      <c r="G250" s="18"/>
      <c r="K250" s="18"/>
    </row>
    <row r="251">
      <c r="C251" s="18"/>
      <c r="G251" s="18"/>
      <c r="K251" s="18"/>
    </row>
    <row r="252">
      <c r="C252" s="18"/>
      <c r="G252" s="18"/>
      <c r="K252" s="18"/>
    </row>
    <row r="253">
      <c r="C253" s="18"/>
      <c r="G253" s="18"/>
      <c r="K253" s="18"/>
    </row>
    <row r="254">
      <c r="C254" s="18"/>
      <c r="G254" s="18"/>
      <c r="K254" s="18"/>
    </row>
    <row r="255">
      <c r="C255" s="18"/>
      <c r="G255" s="18"/>
      <c r="K255" s="18"/>
    </row>
    <row r="256">
      <c r="C256" s="18"/>
      <c r="G256" s="18"/>
      <c r="K256" s="18"/>
    </row>
    <row r="257">
      <c r="C257" s="18"/>
      <c r="G257" s="18"/>
      <c r="K257" s="18"/>
    </row>
    <row r="258">
      <c r="C258" s="18"/>
      <c r="G258" s="18"/>
      <c r="K258" s="18"/>
    </row>
    <row r="259">
      <c r="C259" s="18"/>
      <c r="G259" s="18"/>
      <c r="K259" s="18"/>
    </row>
    <row r="260">
      <c r="C260" s="18"/>
      <c r="G260" s="18"/>
      <c r="K260" s="18"/>
    </row>
    <row r="261">
      <c r="C261" s="18"/>
      <c r="G261" s="18"/>
      <c r="K261" s="18"/>
    </row>
    <row r="262">
      <c r="C262" s="18"/>
      <c r="G262" s="18"/>
      <c r="K262" s="18"/>
    </row>
    <row r="263">
      <c r="C263" s="18"/>
      <c r="G263" s="18"/>
      <c r="K263" s="18"/>
    </row>
    <row r="264">
      <c r="C264" s="18"/>
      <c r="G264" s="18"/>
      <c r="K264" s="18"/>
    </row>
    <row r="265">
      <c r="C265" s="18"/>
      <c r="G265" s="18"/>
      <c r="K265" s="18"/>
    </row>
    <row r="266">
      <c r="C266" s="18"/>
      <c r="G266" s="18"/>
      <c r="K266" s="18"/>
    </row>
    <row r="267">
      <c r="C267" s="18"/>
      <c r="G267" s="18"/>
      <c r="K267" s="18"/>
    </row>
    <row r="268">
      <c r="C268" s="18"/>
      <c r="G268" s="18"/>
      <c r="K268" s="18"/>
    </row>
    <row r="269">
      <c r="C269" s="18"/>
      <c r="G269" s="18"/>
      <c r="K269" s="18"/>
    </row>
    <row r="270">
      <c r="C270" s="18"/>
      <c r="G270" s="18"/>
      <c r="K270" s="18"/>
    </row>
    <row r="271">
      <c r="C271" s="18"/>
      <c r="G271" s="18"/>
      <c r="K271" s="18"/>
    </row>
    <row r="272">
      <c r="C272" s="18"/>
      <c r="G272" s="18"/>
      <c r="K272" s="18"/>
    </row>
    <row r="273">
      <c r="C273" s="18"/>
      <c r="G273" s="18"/>
      <c r="K273" s="18"/>
    </row>
    <row r="274">
      <c r="C274" s="18"/>
      <c r="G274" s="18"/>
      <c r="K274" s="18"/>
    </row>
    <row r="275">
      <c r="C275" s="18"/>
      <c r="G275" s="18"/>
      <c r="K275" s="18"/>
    </row>
    <row r="276">
      <c r="C276" s="18"/>
      <c r="G276" s="18"/>
      <c r="K276" s="18"/>
    </row>
    <row r="277">
      <c r="C277" s="18"/>
      <c r="G277" s="18"/>
      <c r="K277" s="18"/>
    </row>
    <row r="278">
      <c r="C278" s="18"/>
      <c r="G278" s="18"/>
      <c r="K278" s="18"/>
    </row>
    <row r="279">
      <c r="C279" s="18"/>
      <c r="G279" s="18"/>
      <c r="K279" s="18"/>
    </row>
    <row r="280">
      <c r="C280" s="18"/>
      <c r="G280" s="18"/>
      <c r="K280" s="18"/>
    </row>
    <row r="281">
      <c r="C281" s="18"/>
      <c r="G281" s="18"/>
      <c r="K281" s="18"/>
    </row>
    <row r="282">
      <c r="C282" s="18"/>
      <c r="G282" s="18"/>
      <c r="K282" s="18"/>
    </row>
    <row r="283">
      <c r="C283" s="18"/>
      <c r="G283" s="18"/>
      <c r="K283" s="18"/>
    </row>
    <row r="284">
      <c r="C284" s="18"/>
      <c r="G284" s="18"/>
      <c r="K284" s="18"/>
    </row>
    <row r="285">
      <c r="C285" s="18"/>
      <c r="G285" s="18"/>
      <c r="K285" s="18"/>
    </row>
    <row r="286">
      <c r="C286" s="18"/>
      <c r="G286" s="18"/>
      <c r="K286" s="18"/>
    </row>
    <row r="287">
      <c r="C287" s="18"/>
      <c r="G287" s="18"/>
      <c r="K287" s="18"/>
    </row>
    <row r="288">
      <c r="C288" s="18"/>
      <c r="G288" s="18"/>
      <c r="K288" s="18"/>
    </row>
    <row r="289">
      <c r="C289" s="18"/>
      <c r="G289" s="18"/>
      <c r="K289" s="18"/>
    </row>
    <row r="290">
      <c r="C290" s="18"/>
      <c r="G290" s="18"/>
      <c r="K290" s="18"/>
    </row>
    <row r="291">
      <c r="C291" s="18"/>
      <c r="G291" s="18"/>
      <c r="K291" s="18"/>
    </row>
    <row r="292">
      <c r="C292" s="18"/>
      <c r="G292" s="18"/>
      <c r="K292" s="18"/>
    </row>
    <row r="293">
      <c r="C293" s="18"/>
      <c r="G293" s="18"/>
      <c r="K293" s="18"/>
    </row>
    <row r="294">
      <c r="C294" s="18"/>
      <c r="G294" s="18"/>
      <c r="K294" s="18"/>
    </row>
    <row r="295">
      <c r="C295" s="18"/>
      <c r="G295" s="18"/>
      <c r="K295" s="18"/>
    </row>
    <row r="296">
      <c r="C296" s="18"/>
      <c r="G296" s="18"/>
      <c r="K296" s="18"/>
    </row>
    <row r="297">
      <c r="C297" s="18"/>
      <c r="G297" s="18"/>
      <c r="K297" s="18"/>
    </row>
    <row r="298">
      <c r="C298" s="18"/>
      <c r="G298" s="18"/>
      <c r="K298" s="18"/>
    </row>
    <row r="299">
      <c r="C299" s="18"/>
      <c r="G299" s="18"/>
      <c r="K299" s="18"/>
    </row>
    <row r="300">
      <c r="C300" s="18"/>
      <c r="G300" s="18"/>
      <c r="K300" s="18"/>
    </row>
    <row r="301">
      <c r="C301" s="18"/>
      <c r="G301" s="18"/>
      <c r="K301" s="18"/>
    </row>
    <row r="302">
      <c r="C302" s="18"/>
      <c r="G302" s="18"/>
      <c r="K302" s="18"/>
    </row>
    <row r="303">
      <c r="C303" s="18"/>
      <c r="G303" s="18"/>
      <c r="K303" s="18"/>
    </row>
    <row r="304">
      <c r="C304" s="18"/>
      <c r="G304" s="18"/>
      <c r="K304" s="18"/>
    </row>
    <row r="305">
      <c r="C305" s="18"/>
      <c r="G305" s="18"/>
      <c r="K305" s="18"/>
    </row>
    <row r="306">
      <c r="C306" s="18"/>
      <c r="G306" s="18"/>
      <c r="K306" s="18"/>
    </row>
    <row r="307">
      <c r="C307" s="18"/>
      <c r="G307" s="18"/>
      <c r="K307" s="18"/>
    </row>
    <row r="308">
      <c r="C308" s="18"/>
      <c r="G308" s="18"/>
      <c r="K308" s="18"/>
    </row>
    <row r="309">
      <c r="C309" s="18"/>
      <c r="G309" s="18"/>
      <c r="K309" s="18"/>
    </row>
    <row r="310">
      <c r="C310" s="18"/>
      <c r="G310" s="18"/>
      <c r="K310" s="18"/>
    </row>
    <row r="311">
      <c r="C311" s="18"/>
      <c r="G311" s="18"/>
      <c r="K311" s="18"/>
    </row>
    <row r="312">
      <c r="C312" s="18"/>
      <c r="G312" s="18"/>
      <c r="K312" s="18"/>
    </row>
    <row r="313">
      <c r="C313" s="18"/>
      <c r="G313" s="18"/>
      <c r="K313" s="18"/>
    </row>
    <row r="314">
      <c r="C314" s="18"/>
      <c r="G314" s="18"/>
      <c r="K314" s="18"/>
    </row>
    <row r="315">
      <c r="C315" s="18"/>
      <c r="G315" s="18"/>
      <c r="K315" s="18"/>
    </row>
    <row r="316">
      <c r="C316" s="18"/>
      <c r="G316" s="18"/>
      <c r="K316" s="18"/>
    </row>
    <row r="317">
      <c r="C317" s="18"/>
      <c r="G317" s="18"/>
      <c r="K317" s="18"/>
    </row>
    <row r="318">
      <c r="C318" s="18"/>
      <c r="G318" s="18"/>
      <c r="K318" s="18"/>
    </row>
    <row r="319">
      <c r="C319" s="18"/>
      <c r="G319" s="18"/>
      <c r="K319" s="18"/>
    </row>
    <row r="320">
      <c r="C320" s="18"/>
      <c r="G320" s="18"/>
      <c r="K320" s="18"/>
    </row>
    <row r="321">
      <c r="C321" s="18"/>
      <c r="G321" s="18"/>
      <c r="K321" s="18"/>
    </row>
    <row r="322">
      <c r="C322" s="18"/>
      <c r="G322" s="18"/>
      <c r="K322" s="18"/>
    </row>
    <row r="323">
      <c r="C323" s="18"/>
      <c r="G323" s="18"/>
      <c r="K323" s="18"/>
    </row>
    <row r="324">
      <c r="C324" s="18"/>
      <c r="G324" s="18"/>
      <c r="K324" s="18"/>
    </row>
    <row r="325">
      <c r="C325" s="18"/>
      <c r="G325" s="18"/>
      <c r="K325" s="18"/>
    </row>
    <row r="326">
      <c r="C326" s="18"/>
      <c r="G326" s="18"/>
      <c r="K326" s="18"/>
    </row>
    <row r="327">
      <c r="C327" s="18"/>
      <c r="G327" s="18"/>
      <c r="K327" s="18"/>
    </row>
    <row r="328">
      <c r="C328" s="18"/>
      <c r="G328" s="18"/>
      <c r="K328" s="18"/>
    </row>
    <row r="329">
      <c r="C329" s="18"/>
      <c r="G329" s="18"/>
      <c r="K329" s="18"/>
    </row>
    <row r="330">
      <c r="C330" s="18"/>
      <c r="G330" s="18"/>
      <c r="K330" s="18"/>
    </row>
    <row r="331">
      <c r="C331" s="18"/>
      <c r="G331" s="18"/>
      <c r="K331" s="18"/>
    </row>
    <row r="332">
      <c r="C332" s="18"/>
      <c r="G332" s="18"/>
      <c r="K332" s="18"/>
    </row>
    <row r="333">
      <c r="C333" s="18"/>
      <c r="G333" s="18"/>
      <c r="K333" s="18"/>
    </row>
    <row r="334">
      <c r="C334" s="18"/>
      <c r="G334" s="18"/>
      <c r="K334" s="18"/>
    </row>
    <row r="335">
      <c r="C335" s="18"/>
      <c r="G335" s="18"/>
      <c r="K335" s="18"/>
    </row>
    <row r="336">
      <c r="C336" s="18"/>
      <c r="G336" s="18"/>
      <c r="K336" s="18"/>
    </row>
    <row r="337">
      <c r="C337" s="18"/>
      <c r="G337" s="18"/>
      <c r="K337" s="18"/>
    </row>
    <row r="338">
      <c r="C338" s="18"/>
      <c r="G338" s="18"/>
      <c r="K338" s="18"/>
    </row>
    <row r="339">
      <c r="C339" s="18"/>
      <c r="G339" s="18"/>
      <c r="K339" s="18"/>
    </row>
    <row r="340">
      <c r="C340" s="18"/>
      <c r="G340" s="18"/>
      <c r="K340" s="18"/>
    </row>
    <row r="341">
      <c r="C341" s="18"/>
      <c r="G341" s="18"/>
      <c r="K341" s="18"/>
    </row>
    <row r="342">
      <c r="C342" s="18"/>
      <c r="G342" s="18"/>
      <c r="K342" s="18"/>
    </row>
    <row r="343">
      <c r="C343" s="18"/>
      <c r="G343" s="18"/>
      <c r="K343" s="18"/>
    </row>
    <row r="344">
      <c r="C344" s="18"/>
      <c r="G344" s="18"/>
      <c r="K344" s="18"/>
    </row>
    <row r="345">
      <c r="C345" s="18"/>
      <c r="G345" s="18"/>
      <c r="K345" s="18"/>
    </row>
    <row r="346">
      <c r="C346" s="18"/>
      <c r="G346" s="18"/>
      <c r="K346" s="18"/>
    </row>
    <row r="347">
      <c r="C347" s="18"/>
      <c r="G347" s="18"/>
      <c r="K347" s="18"/>
    </row>
    <row r="348">
      <c r="C348" s="18"/>
      <c r="G348" s="18"/>
      <c r="K348" s="18"/>
    </row>
    <row r="349">
      <c r="C349" s="18"/>
      <c r="G349" s="18"/>
      <c r="K349" s="18"/>
    </row>
    <row r="350">
      <c r="C350" s="18"/>
      <c r="G350" s="18"/>
      <c r="K350" s="18"/>
    </row>
    <row r="351">
      <c r="C351" s="18"/>
      <c r="G351" s="18"/>
      <c r="K351" s="18"/>
    </row>
    <row r="352">
      <c r="C352" s="18"/>
      <c r="G352" s="18"/>
      <c r="K352" s="18"/>
    </row>
    <row r="353">
      <c r="C353" s="18"/>
      <c r="G353" s="18"/>
      <c r="K353" s="18"/>
    </row>
    <row r="354">
      <c r="C354" s="18"/>
      <c r="G354" s="18"/>
      <c r="K354" s="18"/>
    </row>
    <row r="355">
      <c r="C355" s="18"/>
      <c r="G355" s="18"/>
      <c r="K355" s="18"/>
    </row>
    <row r="356">
      <c r="C356" s="18"/>
      <c r="G356" s="18"/>
      <c r="K356" s="18"/>
    </row>
    <row r="357">
      <c r="C357" s="18"/>
      <c r="G357" s="18"/>
      <c r="K357" s="18"/>
    </row>
    <row r="358">
      <c r="C358" s="18"/>
      <c r="G358" s="18"/>
      <c r="K358" s="18"/>
    </row>
    <row r="359">
      <c r="C359" s="18"/>
      <c r="G359" s="18"/>
      <c r="K359" s="18"/>
    </row>
    <row r="360">
      <c r="C360" s="18"/>
      <c r="G360" s="18"/>
      <c r="K360" s="18"/>
    </row>
    <row r="361">
      <c r="C361" s="18"/>
      <c r="G361" s="18"/>
      <c r="K361" s="18"/>
    </row>
    <row r="362">
      <c r="C362" s="18"/>
      <c r="G362" s="18"/>
      <c r="K362" s="18"/>
    </row>
    <row r="363">
      <c r="C363" s="18"/>
      <c r="G363" s="18"/>
      <c r="K363" s="18"/>
    </row>
    <row r="364">
      <c r="C364" s="18"/>
      <c r="G364" s="18"/>
      <c r="K364" s="18"/>
    </row>
    <row r="365">
      <c r="C365" s="18"/>
      <c r="G365" s="18"/>
      <c r="K365" s="18"/>
    </row>
    <row r="366">
      <c r="C366" s="18"/>
      <c r="G366" s="18"/>
      <c r="K366" s="18"/>
    </row>
    <row r="367">
      <c r="C367" s="18"/>
      <c r="G367" s="18"/>
      <c r="K367" s="18"/>
    </row>
    <row r="368">
      <c r="C368" s="18"/>
      <c r="G368" s="18"/>
      <c r="K368" s="18"/>
    </row>
    <row r="369">
      <c r="C369" s="18"/>
      <c r="G369" s="18"/>
      <c r="K369" s="18"/>
    </row>
    <row r="370">
      <c r="C370" s="18"/>
      <c r="G370" s="18"/>
      <c r="K370" s="18"/>
    </row>
    <row r="371">
      <c r="C371" s="18"/>
      <c r="G371" s="18"/>
      <c r="K371" s="18"/>
    </row>
    <row r="372">
      <c r="C372" s="18"/>
      <c r="G372" s="18"/>
      <c r="K372" s="18"/>
    </row>
    <row r="373">
      <c r="C373" s="18"/>
      <c r="G373" s="18"/>
      <c r="K373" s="18"/>
    </row>
    <row r="374">
      <c r="C374" s="18"/>
      <c r="G374" s="18"/>
      <c r="K374" s="18"/>
    </row>
    <row r="375">
      <c r="C375" s="18"/>
      <c r="G375" s="18"/>
      <c r="K375" s="18"/>
    </row>
    <row r="376">
      <c r="C376" s="18"/>
      <c r="G376" s="18"/>
      <c r="K376" s="18"/>
    </row>
    <row r="377">
      <c r="C377" s="18"/>
      <c r="G377" s="18"/>
      <c r="K377" s="18"/>
    </row>
    <row r="378">
      <c r="C378" s="18"/>
      <c r="G378" s="18"/>
      <c r="K378" s="18"/>
    </row>
    <row r="379">
      <c r="C379" s="18"/>
      <c r="G379" s="18"/>
      <c r="K379" s="18"/>
    </row>
    <row r="380">
      <c r="C380" s="18"/>
      <c r="G380" s="18"/>
      <c r="K380" s="18"/>
    </row>
    <row r="381">
      <c r="C381" s="18"/>
      <c r="G381" s="18"/>
      <c r="K381" s="18"/>
    </row>
    <row r="382">
      <c r="C382" s="18"/>
      <c r="G382" s="18"/>
      <c r="K382" s="18"/>
    </row>
    <row r="383">
      <c r="C383" s="18"/>
      <c r="G383" s="18"/>
      <c r="K383" s="18"/>
    </row>
    <row r="384">
      <c r="C384" s="18"/>
      <c r="G384" s="18"/>
      <c r="K384" s="18"/>
    </row>
    <row r="385">
      <c r="C385" s="18"/>
      <c r="G385" s="18"/>
      <c r="K385" s="18"/>
    </row>
    <row r="386">
      <c r="C386" s="18"/>
      <c r="G386" s="18"/>
      <c r="K386" s="18"/>
    </row>
    <row r="387">
      <c r="C387" s="18"/>
      <c r="G387" s="18"/>
      <c r="K387" s="18"/>
    </row>
    <row r="388">
      <c r="C388" s="18"/>
      <c r="G388" s="18"/>
      <c r="K388" s="18"/>
    </row>
    <row r="389">
      <c r="C389" s="18"/>
      <c r="G389" s="18"/>
      <c r="K389" s="18"/>
    </row>
    <row r="390">
      <c r="C390" s="18"/>
      <c r="G390" s="18"/>
      <c r="K390" s="18"/>
    </row>
    <row r="391">
      <c r="C391" s="18"/>
      <c r="G391" s="18"/>
      <c r="K391" s="18"/>
    </row>
    <row r="392">
      <c r="C392" s="18"/>
      <c r="G392" s="18"/>
      <c r="K392" s="18"/>
    </row>
    <row r="393">
      <c r="C393" s="18"/>
      <c r="G393" s="18"/>
      <c r="K393" s="18"/>
    </row>
    <row r="394">
      <c r="C394" s="18"/>
      <c r="G394" s="18"/>
      <c r="K394" s="18"/>
    </row>
    <row r="395">
      <c r="C395" s="18"/>
      <c r="G395" s="18"/>
      <c r="K395" s="18"/>
    </row>
    <row r="396">
      <c r="C396" s="18"/>
      <c r="G396" s="18"/>
      <c r="K396" s="18"/>
    </row>
    <row r="397">
      <c r="C397" s="18"/>
      <c r="G397" s="18"/>
      <c r="K397" s="18"/>
    </row>
    <row r="398">
      <c r="C398" s="18"/>
      <c r="G398" s="18"/>
      <c r="K398" s="18"/>
    </row>
    <row r="399">
      <c r="C399" s="18"/>
      <c r="G399" s="18"/>
      <c r="K399" s="18"/>
    </row>
    <row r="400">
      <c r="C400" s="18"/>
      <c r="G400" s="18"/>
      <c r="K400" s="18"/>
    </row>
    <row r="401">
      <c r="C401" s="18"/>
      <c r="G401" s="18"/>
      <c r="K401" s="18"/>
    </row>
    <row r="402">
      <c r="C402" s="18"/>
      <c r="G402" s="18"/>
      <c r="K402" s="18"/>
    </row>
    <row r="403">
      <c r="C403" s="18"/>
      <c r="G403" s="18"/>
      <c r="K403" s="18"/>
    </row>
    <row r="404">
      <c r="C404" s="18"/>
      <c r="G404" s="18"/>
      <c r="K404" s="18"/>
    </row>
    <row r="405">
      <c r="C405" s="18"/>
      <c r="G405" s="18"/>
      <c r="K405" s="18"/>
    </row>
    <row r="406">
      <c r="C406" s="18"/>
      <c r="G406" s="18"/>
      <c r="K406" s="18"/>
    </row>
    <row r="407">
      <c r="C407" s="18"/>
      <c r="G407" s="18"/>
      <c r="K407" s="18"/>
    </row>
    <row r="408">
      <c r="C408" s="18"/>
      <c r="G408" s="18"/>
      <c r="K408" s="18"/>
    </row>
    <row r="409">
      <c r="C409" s="18"/>
      <c r="G409" s="18"/>
      <c r="K409" s="18"/>
    </row>
    <row r="410">
      <c r="C410" s="18"/>
      <c r="G410" s="18"/>
      <c r="K410" s="18"/>
    </row>
    <row r="411">
      <c r="C411" s="18"/>
      <c r="G411" s="18"/>
      <c r="K411" s="18"/>
    </row>
    <row r="412">
      <c r="C412" s="18"/>
      <c r="G412" s="18"/>
      <c r="K412" s="18"/>
    </row>
    <row r="413">
      <c r="C413" s="18"/>
      <c r="G413" s="18"/>
      <c r="K413" s="18"/>
    </row>
    <row r="414">
      <c r="C414" s="18"/>
      <c r="G414" s="18"/>
      <c r="K414" s="18"/>
    </row>
    <row r="415">
      <c r="C415" s="18"/>
      <c r="G415" s="18"/>
      <c r="K415" s="18"/>
    </row>
    <row r="416">
      <c r="C416" s="18"/>
      <c r="G416" s="18"/>
      <c r="K416" s="18"/>
    </row>
    <row r="417">
      <c r="C417" s="18"/>
      <c r="G417" s="18"/>
      <c r="K417" s="18"/>
    </row>
    <row r="418">
      <c r="C418" s="18"/>
      <c r="G418" s="18"/>
      <c r="K418" s="18"/>
    </row>
    <row r="419">
      <c r="C419" s="18"/>
      <c r="G419" s="18"/>
      <c r="K419" s="18"/>
    </row>
    <row r="420">
      <c r="C420" s="18"/>
      <c r="G420" s="18"/>
      <c r="K420" s="18"/>
    </row>
    <row r="421">
      <c r="C421" s="18"/>
      <c r="G421" s="18"/>
      <c r="K421" s="18"/>
    </row>
    <row r="422">
      <c r="C422" s="18"/>
      <c r="G422" s="18"/>
      <c r="K422" s="18"/>
    </row>
    <row r="423">
      <c r="C423" s="18"/>
      <c r="G423" s="18"/>
      <c r="K423" s="18"/>
    </row>
    <row r="424">
      <c r="C424" s="18"/>
      <c r="G424" s="18"/>
      <c r="K424" s="18"/>
    </row>
    <row r="425">
      <c r="C425" s="18"/>
      <c r="G425" s="18"/>
      <c r="K425" s="18"/>
    </row>
    <row r="426">
      <c r="C426" s="18"/>
      <c r="G426" s="18"/>
      <c r="K426" s="18"/>
    </row>
    <row r="427">
      <c r="C427" s="18"/>
      <c r="G427" s="18"/>
      <c r="K427" s="18"/>
    </row>
    <row r="428">
      <c r="C428" s="18"/>
      <c r="G428" s="18"/>
      <c r="K428" s="18"/>
    </row>
    <row r="429">
      <c r="C429" s="18"/>
      <c r="G429" s="18"/>
      <c r="K429" s="18"/>
    </row>
    <row r="430">
      <c r="C430" s="18"/>
      <c r="G430" s="18"/>
      <c r="K430" s="18"/>
    </row>
    <row r="431">
      <c r="C431" s="18"/>
      <c r="G431" s="18"/>
      <c r="K431" s="18"/>
    </row>
    <row r="432">
      <c r="C432" s="18"/>
      <c r="G432" s="18"/>
      <c r="K432" s="18"/>
    </row>
    <row r="433">
      <c r="C433" s="18"/>
      <c r="G433" s="18"/>
      <c r="K433" s="18"/>
    </row>
    <row r="434">
      <c r="C434" s="18"/>
      <c r="G434" s="18"/>
      <c r="K434" s="18"/>
    </row>
    <row r="435">
      <c r="C435" s="18"/>
      <c r="G435" s="18"/>
      <c r="K435" s="18"/>
    </row>
    <row r="436">
      <c r="C436" s="18"/>
      <c r="G436" s="18"/>
      <c r="K436" s="18"/>
    </row>
    <row r="437">
      <c r="C437" s="18"/>
      <c r="G437" s="18"/>
      <c r="K437" s="18"/>
    </row>
    <row r="438">
      <c r="C438" s="18"/>
      <c r="G438" s="18"/>
      <c r="K438" s="18"/>
    </row>
    <row r="439">
      <c r="C439" s="18"/>
      <c r="G439" s="18"/>
      <c r="K439" s="18"/>
    </row>
    <row r="440">
      <c r="C440" s="18"/>
      <c r="G440" s="18"/>
      <c r="K440" s="18"/>
    </row>
    <row r="441">
      <c r="C441" s="18"/>
      <c r="G441" s="18"/>
      <c r="K441" s="18"/>
    </row>
    <row r="442">
      <c r="C442" s="18"/>
      <c r="G442" s="18"/>
      <c r="K442" s="18"/>
    </row>
    <row r="443">
      <c r="C443" s="18"/>
      <c r="G443" s="18"/>
      <c r="K443" s="18"/>
    </row>
    <row r="444">
      <c r="C444" s="18"/>
      <c r="G444" s="18"/>
      <c r="K444" s="18"/>
    </row>
    <row r="445">
      <c r="C445" s="18"/>
      <c r="G445" s="18"/>
      <c r="K445" s="18"/>
    </row>
    <row r="446">
      <c r="C446" s="18"/>
      <c r="G446" s="18"/>
      <c r="K446" s="18"/>
    </row>
    <row r="447">
      <c r="C447" s="18"/>
      <c r="G447" s="18"/>
      <c r="K447" s="18"/>
    </row>
    <row r="448">
      <c r="C448" s="18"/>
      <c r="G448" s="18"/>
      <c r="K448" s="18"/>
    </row>
    <row r="449">
      <c r="C449" s="18"/>
      <c r="G449" s="18"/>
      <c r="K449" s="18"/>
    </row>
    <row r="450">
      <c r="C450" s="18"/>
      <c r="G450" s="18"/>
      <c r="K450" s="18"/>
    </row>
    <row r="451">
      <c r="C451" s="18"/>
      <c r="G451" s="18"/>
      <c r="K451" s="18"/>
    </row>
    <row r="452">
      <c r="C452" s="18"/>
      <c r="G452" s="18"/>
      <c r="K452" s="18"/>
    </row>
    <row r="453">
      <c r="C453" s="18"/>
      <c r="G453" s="18"/>
      <c r="K453" s="18"/>
    </row>
    <row r="454">
      <c r="C454" s="18"/>
      <c r="G454" s="18"/>
      <c r="K454" s="18"/>
    </row>
    <row r="455">
      <c r="C455" s="18"/>
      <c r="G455" s="18"/>
      <c r="K455" s="18"/>
    </row>
    <row r="456">
      <c r="C456" s="18"/>
      <c r="G456" s="18"/>
      <c r="K456" s="18"/>
    </row>
    <row r="457">
      <c r="C457" s="18"/>
      <c r="G457" s="18"/>
      <c r="K457" s="18"/>
    </row>
    <row r="458">
      <c r="C458" s="18"/>
      <c r="G458" s="18"/>
      <c r="K458" s="18"/>
    </row>
    <row r="459">
      <c r="C459" s="18"/>
      <c r="G459" s="18"/>
      <c r="K459" s="18"/>
    </row>
    <row r="460">
      <c r="C460" s="18"/>
      <c r="G460" s="18"/>
      <c r="K460" s="18"/>
    </row>
    <row r="461">
      <c r="C461" s="18"/>
      <c r="G461" s="18"/>
      <c r="K461" s="18"/>
    </row>
    <row r="462">
      <c r="C462" s="18"/>
      <c r="G462" s="18"/>
      <c r="K462" s="18"/>
    </row>
    <row r="463">
      <c r="C463" s="18"/>
      <c r="G463" s="18"/>
      <c r="K463" s="18"/>
    </row>
    <row r="464">
      <c r="C464" s="18"/>
      <c r="G464" s="18"/>
      <c r="K464" s="18"/>
    </row>
    <row r="465">
      <c r="C465" s="18"/>
      <c r="G465" s="18"/>
      <c r="K465" s="18"/>
    </row>
    <row r="466">
      <c r="C466" s="18"/>
      <c r="G466" s="18"/>
      <c r="K466" s="18"/>
    </row>
    <row r="467">
      <c r="C467" s="18"/>
      <c r="G467" s="18"/>
      <c r="K467" s="18"/>
    </row>
    <row r="468">
      <c r="C468" s="18"/>
      <c r="G468" s="18"/>
      <c r="K468" s="18"/>
    </row>
    <row r="469">
      <c r="C469" s="18"/>
      <c r="G469" s="18"/>
      <c r="K469" s="18"/>
    </row>
    <row r="470">
      <c r="C470" s="18"/>
      <c r="G470" s="18"/>
      <c r="K470" s="18"/>
    </row>
    <row r="471">
      <c r="C471" s="18"/>
      <c r="G471" s="18"/>
      <c r="K471" s="18"/>
    </row>
    <row r="472">
      <c r="C472" s="18"/>
      <c r="G472" s="18"/>
      <c r="K472" s="18"/>
    </row>
    <row r="473">
      <c r="C473" s="18"/>
      <c r="G473" s="18"/>
      <c r="K473" s="18"/>
    </row>
    <row r="474">
      <c r="C474" s="18"/>
      <c r="G474" s="18"/>
      <c r="K474" s="18"/>
    </row>
    <row r="475">
      <c r="C475" s="18"/>
      <c r="G475" s="18"/>
      <c r="K475" s="18"/>
    </row>
    <row r="476">
      <c r="C476" s="18"/>
      <c r="G476" s="18"/>
      <c r="K476" s="18"/>
    </row>
    <row r="477">
      <c r="C477" s="18"/>
      <c r="G477" s="18"/>
      <c r="K477" s="18"/>
    </row>
    <row r="478">
      <c r="C478" s="18"/>
      <c r="G478" s="18"/>
      <c r="K478" s="18"/>
    </row>
    <row r="479">
      <c r="C479" s="18"/>
      <c r="G479" s="18"/>
      <c r="K479" s="18"/>
    </row>
    <row r="480">
      <c r="C480" s="18"/>
      <c r="G480" s="18"/>
      <c r="K480" s="18"/>
    </row>
    <row r="481">
      <c r="C481" s="18"/>
      <c r="G481" s="18"/>
      <c r="K481" s="18"/>
    </row>
    <row r="482">
      <c r="C482" s="18"/>
      <c r="G482" s="18"/>
      <c r="K482" s="18"/>
    </row>
    <row r="483">
      <c r="C483" s="18"/>
      <c r="G483" s="18"/>
      <c r="K483" s="18"/>
    </row>
    <row r="484">
      <c r="C484" s="18"/>
      <c r="G484" s="18"/>
      <c r="K484" s="18"/>
    </row>
    <row r="485">
      <c r="C485" s="18"/>
      <c r="G485" s="18"/>
      <c r="K485" s="18"/>
    </row>
    <row r="486">
      <c r="C486" s="18"/>
      <c r="G486" s="18"/>
      <c r="K486" s="18"/>
    </row>
    <row r="487">
      <c r="C487" s="18"/>
      <c r="G487" s="18"/>
      <c r="K487" s="18"/>
    </row>
    <row r="488">
      <c r="C488" s="18"/>
      <c r="G488" s="18"/>
      <c r="K488" s="18"/>
    </row>
    <row r="489">
      <c r="C489" s="18"/>
      <c r="G489" s="18"/>
      <c r="K489" s="18"/>
    </row>
    <row r="490">
      <c r="C490" s="18"/>
      <c r="G490" s="18"/>
      <c r="K490" s="18"/>
    </row>
    <row r="491">
      <c r="C491" s="18"/>
      <c r="G491" s="18"/>
      <c r="K491" s="18"/>
    </row>
    <row r="492">
      <c r="C492" s="18"/>
      <c r="G492" s="18"/>
      <c r="K492" s="18"/>
    </row>
    <row r="493">
      <c r="C493" s="18"/>
      <c r="G493" s="18"/>
      <c r="K493" s="18"/>
    </row>
    <row r="494">
      <c r="C494" s="18"/>
      <c r="G494" s="18"/>
      <c r="K494" s="18"/>
    </row>
    <row r="495">
      <c r="C495" s="18"/>
      <c r="G495" s="18"/>
      <c r="K495" s="18"/>
    </row>
    <row r="496">
      <c r="C496" s="18"/>
      <c r="G496" s="18"/>
      <c r="K496" s="18"/>
    </row>
    <row r="497">
      <c r="C497" s="18"/>
      <c r="G497" s="18"/>
      <c r="K497" s="18"/>
    </row>
    <row r="498">
      <c r="C498" s="18"/>
      <c r="G498" s="18"/>
      <c r="K498" s="18"/>
    </row>
    <row r="499">
      <c r="C499" s="18"/>
      <c r="G499" s="18"/>
      <c r="K499" s="18"/>
    </row>
    <row r="500">
      <c r="C500" s="18"/>
      <c r="G500" s="18"/>
      <c r="K500" s="18"/>
    </row>
    <row r="501">
      <c r="C501" s="18"/>
      <c r="G501" s="18"/>
      <c r="K501" s="18"/>
    </row>
    <row r="502">
      <c r="C502" s="18"/>
      <c r="G502" s="18"/>
      <c r="K502" s="18"/>
    </row>
    <row r="503">
      <c r="C503" s="18"/>
      <c r="G503" s="18"/>
      <c r="K503" s="18"/>
    </row>
    <row r="504">
      <c r="C504" s="18"/>
      <c r="G504" s="18"/>
      <c r="K504" s="18"/>
    </row>
    <row r="505">
      <c r="C505" s="18"/>
      <c r="G505" s="18"/>
      <c r="K505" s="18"/>
    </row>
    <row r="506">
      <c r="C506" s="18"/>
      <c r="G506" s="18"/>
      <c r="K506" s="18"/>
    </row>
    <row r="507">
      <c r="C507" s="18"/>
      <c r="G507" s="18"/>
      <c r="K507" s="18"/>
    </row>
    <row r="508">
      <c r="C508" s="18"/>
      <c r="G508" s="18"/>
      <c r="K508" s="18"/>
    </row>
    <row r="509">
      <c r="C509" s="18"/>
      <c r="G509" s="18"/>
      <c r="K509" s="18"/>
    </row>
    <row r="510">
      <c r="C510" s="18"/>
      <c r="G510" s="18"/>
      <c r="K510" s="18"/>
    </row>
    <row r="511">
      <c r="C511" s="18"/>
      <c r="G511" s="18"/>
      <c r="K511" s="18"/>
    </row>
    <row r="512">
      <c r="C512" s="18"/>
      <c r="G512" s="18"/>
      <c r="K512" s="18"/>
    </row>
    <row r="513">
      <c r="C513" s="18"/>
      <c r="G513" s="18"/>
      <c r="K513" s="18"/>
    </row>
    <row r="514">
      <c r="C514" s="18"/>
      <c r="G514" s="18"/>
      <c r="K514" s="18"/>
    </row>
    <row r="515">
      <c r="C515" s="18"/>
      <c r="G515" s="18"/>
      <c r="K515" s="18"/>
    </row>
    <row r="516">
      <c r="C516" s="18"/>
      <c r="G516" s="18"/>
      <c r="K516" s="18"/>
    </row>
    <row r="517">
      <c r="C517" s="18"/>
      <c r="G517" s="18"/>
      <c r="K517" s="18"/>
    </row>
    <row r="518">
      <c r="C518" s="18"/>
      <c r="G518" s="18"/>
      <c r="K518" s="18"/>
    </row>
    <row r="519">
      <c r="C519" s="18"/>
      <c r="G519" s="18"/>
      <c r="K519" s="18"/>
    </row>
    <row r="520">
      <c r="C520" s="18"/>
      <c r="G520" s="18"/>
      <c r="K520" s="18"/>
    </row>
    <row r="521">
      <c r="C521" s="18"/>
      <c r="G521" s="18"/>
      <c r="K521" s="18"/>
    </row>
    <row r="522">
      <c r="C522" s="18"/>
      <c r="G522" s="18"/>
      <c r="K522" s="18"/>
    </row>
    <row r="523">
      <c r="C523" s="18"/>
      <c r="G523" s="18"/>
      <c r="K523" s="18"/>
    </row>
    <row r="524">
      <c r="C524" s="18"/>
      <c r="G524" s="18"/>
      <c r="K524" s="18"/>
    </row>
    <row r="525">
      <c r="C525" s="18"/>
      <c r="G525" s="18"/>
      <c r="K525" s="18"/>
    </row>
    <row r="526">
      <c r="C526" s="18"/>
      <c r="G526" s="18"/>
      <c r="K526" s="18"/>
    </row>
    <row r="527">
      <c r="C527" s="18"/>
      <c r="G527" s="18"/>
      <c r="K527" s="18"/>
    </row>
    <row r="528">
      <c r="C528" s="18"/>
      <c r="G528" s="18"/>
      <c r="K528" s="18"/>
    </row>
    <row r="529">
      <c r="C529" s="18"/>
      <c r="G529" s="18"/>
      <c r="K529" s="18"/>
    </row>
    <row r="530">
      <c r="C530" s="18"/>
      <c r="G530" s="18"/>
      <c r="K530" s="18"/>
    </row>
    <row r="531">
      <c r="C531" s="18"/>
      <c r="G531" s="18"/>
      <c r="K531" s="18"/>
    </row>
    <row r="532">
      <c r="C532" s="18"/>
      <c r="G532" s="18"/>
      <c r="K532" s="18"/>
    </row>
    <row r="533">
      <c r="C533" s="18"/>
      <c r="G533" s="18"/>
      <c r="K533" s="18"/>
    </row>
    <row r="534">
      <c r="C534" s="18"/>
      <c r="G534" s="18"/>
      <c r="K534" s="18"/>
    </row>
    <row r="535">
      <c r="C535" s="18"/>
      <c r="G535" s="18"/>
      <c r="K535" s="18"/>
    </row>
    <row r="536">
      <c r="C536" s="18"/>
      <c r="G536" s="18"/>
      <c r="K536" s="18"/>
    </row>
    <row r="537">
      <c r="C537" s="18"/>
      <c r="G537" s="18"/>
      <c r="K537" s="18"/>
    </row>
    <row r="538">
      <c r="C538" s="18"/>
      <c r="G538" s="18"/>
      <c r="K538" s="18"/>
    </row>
    <row r="539">
      <c r="C539" s="18"/>
      <c r="G539" s="18"/>
      <c r="K539" s="18"/>
    </row>
    <row r="540">
      <c r="C540" s="18"/>
      <c r="G540" s="18"/>
      <c r="K540" s="18"/>
    </row>
    <row r="541">
      <c r="C541" s="18"/>
      <c r="G541" s="18"/>
      <c r="K541" s="18"/>
    </row>
    <row r="542">
      <c r="C542" s="18"/>
      <c r="G542" s="18"/>
      <c r="K542" s="18"/>
    </row>
    <row r="543">
      <c r="C543" s="18"/>
      <c r="G543" s="18"/>
      <c r="K543" s="18"/>
    </row>
    <row r="544">
      <c r="C544" s="18"/>
      <c r="G544" s="18"/>
      <c r="K544" s="18"/>
    </row>
    <row r="545">
      <c r="C545" s="18"/>
      <c r="G545" s="18"/>
      <c r="K545" s="18"/>
    </row>
    <row r="546">
      <c r="C546" s="18"/>
      <c r="G546" s="18"/>
      <c r="K546" s="18"/>
    </row>
    <row r="547">
      <c r="C547" s="18"/>
      <c r="G547" s="18"/>
      <c r="K547" s="18"/>
    </row>
    <row r="548">
      <c r="C548" s="18"/>
      <c r="G548" s="18"/>
      <c r="K548" s="18"/>
    </row>
    <row r="549">
      <c r="C549" s="18"/>
      <c r="G549" s="18"/>
      <c r="K549" s="18"/>
    </row>
    <row r="550">
      <c r="C550" s="18"/>
      <c r="G550" s="18"/>
      <c r="K550" s="18"/>
    </row>
    <row r="551">
      <c r="C551" s="18"/>
      <c r="G551" s="18"/>
      <c r="K551" s="18"/>
    </row>
    <row r="552">
      <c r="C552" s="18"/>
      <c r="G552" s="18"/>
      <c r="K552" s="18"/>
    </row>
    <row r="553">
      <c r="C553" s="18"/>
      <c r="G553" s="18"/>
      <c r="K553" s="18"/>
    </row>
    <row r="554">
      <c r="C554" s="18"/>
      <c r="G554" s="18"/>
      <c r="K554" s="18"/>
    </row>
    <row r="555">
      <c r="C555" s="18"/>
      <c r="G555" s="18"/>
      <c r="K555" s="18"/>
    </row>
    <row r="556">
      <c r="C556" s="18"/>
      <c r="G556" s="18"/>
      <c r="K556" s="18"/>
    </row>
    <row r="557">
      <c r="C557" s="18"/>
      <c r="G557" s="18"/>
      <c r="K557" s="18"/>
    </row>
    <row r="558">
      <c r="C558" s="18"/>
      <c r="G558" s="18"/>
      <c r="K558" s="18"/>
    </row>
    <row r="559">
      <c r="C559" s="18"/>
      <c r="G559" s="18"/>
      <c r="K559" s="18"/>
    </row>
    <row r="560">
      <c r="C560" s="18"/>
      <c r="G560" s="18"/>
      <c r="K560" s="18"/>
    </row>
    <row r="561">
      <c r="C561" s="18"/>
      <c r="G561" s="18"/>
      <c r="K561" s="18"/>
    </row>
    <row r="562">
      <c r="C562" s="18"/>
      <c r="G562" s="18"/>
      <c r="K562" s="18"/>
    </row>
    <row r="563">
      <c r="C563" s="18"/>
      <c r="G563" s="18"/>
      <c r="K563" s="18"/>
    </row>
    <row r="564">
      <c r="C564" s="18"/>
      <c r="G564" s="18"/>
      <c r="K564" s="18"/>
    </row>
    <row r="565">
      <c r="C565" s="18"/>
      <c r="G565" s="18"/>
      <c r="K565" s="18"/>
    </row>
    <row r="566">
      <c r="C566" s="18"/>
      <c r="G566" s="18"/>
      <c r="K566" s="18"/>
    </row>
    <row r="567">
      <c r="C567" s="18"/>
      <c r="G567" s="18"/>
      <c r="K567" s="18"/>
    </row>
    <row r="568">
      <c r="C568" s="18"/>
      <c r="G568" s="18"/>
      <c r="K568" s="18"/>
    </row>
    <row r="569">
      <c r="C569" s="18"/>
      <c r="G569" s="18"/>
      <c r="K569" s="18"/>
    </row>
    <row r="570">
      <c r="C570" s="18"/>
      <c r="G570" s="18"/>
      <c r="K570" s="18"/>
    </row>
    <row r="571">
      <c r="C571" s="18"/>
      <c r="G571" s="18"/>
      <c r="K571" s="18"/>
    </row>
    <row r="572">
      <c r="C572" s="18"/>
      <c r="G572" s="18"/>
      <c r="K572" s="18"/>
    </row>
    <row r="573">
      <c r="C573" s="18"/>
      <c r="G573" s="18"/>
      <c r="K573" s="18"/>
    </row>
    <row r="574">
      <c r="C574" s="18"/>
      <c r="G574" s="18"/>
      <c r="K574" s="18"/>
    </row>
    <row r="575">
      <c r="C575" s="18"/>
      <c r="G575" s="18"/>
      <c r="K575" s="18"/>
    </row>
    <row r="576">
      <c r="C576" s="18"/>
      <c r="G576" s="18"/>
      <c r="K576" s="18"/>
    </row>
    <row r="577">
      <c r="C577" s="18"/>
      <c r="G577" s="18"/>
      <c r="K577" s="18"/>
    </row>
    <row r="578">
      <c r="C578" s="18"/>
      <c r="G578" s="18"/>
      <c r="K578" s="18"/>
    </row>
    <row r="579">
      <c r="C579" s="18"/>
      <c r="G579" s="18"/>
      <c r="K579" s="18"/>
    </row>
    <row r="580">
      <c r="C580" s="18"/>
      <c r="G580" s="18"/>
      <c r="K580" s="18"/>
    </row>
    <row r="581">
      <c r="C581" s="18"/>
      <c r="G581" s="18"/>
      <c r="K581" s="18"/>
    </row>
    <row r="582">
      <c r="C582" s="18"/>
      <c r="G582" s="18"/>
      <c r="K582" s="18"/>
    </row>
    <row r="583">
      <c r="C583" s="18"/>
      <c r="G583" s="18"/>
      <c r="K583" s="18"/>
    </row>
    <row r="584">
      <c r="C584" s="18"/>
      <c r="G584" s="18"/>
      <c r="K584" s="18"/>
    </row>
    <row r="585">
      <c r="C585" s="18"/>
      <c r="G585" s="18"/>
      <c r="K585" s="18"/>
    </row>
    <row r="586">
      <c r="C586" s="18"/>
      <c r="G586" s="18"/>
      <c r="K586" s="18"/>
    </row>
    <row r="587">
      <c r="C587" s="18"/>
      <c r="G587" s="18"/>
      <c r="K587" s="18"/>
    </row>
    <row r="588">
      <c r="C588" s="18"/>
      <c r="G588" s="18"/>
      <c r="K588" s="18"/>
    </row>
    <row r="589">
      <c r="C589" s="18"/>
      <c r="G589" s="18"/>
      <c r="K589" s="18"/>
    </row>
    <row r="590">
      <c r="C590" s="18"/>
      <c r="G590" s="18"/>
      <c r="K590" s="18"/>
    </row>
    <row r="591">
      <c r="C591" s="18"/>
      <c r="G591" s="18"/>
      <c r="K591" s="18"/>
    </row>
    <row r="592">
      <c r="C592" s="18"/>
      <c r="G592" s="18"/>
      <c r="K592" s="18"/>
    </row>
    <row r="593">
      <c r="C593" s="18"/>
      <c r="G593" s="18"/>
      <c r="K593" s="18"/>
    </row>
    <row r="594">
      <c r="C594" s="18"/>
      <c r="G594" s="18"/>
      <c r="K594" s="18"/>
    </row>
    <row r="595">
      <c r="C595" s="18"/>
      <c r="G595" s="18"/>
      <c r="K595" s="18"/>
    </row>
    <row r="596">
      <c r="C596" s="18"/>
      <c r="G596" s="18"/>
      <c r="K596" s="18"/>
    </row>
    <row r="597">
      <c r="C597" s="18"/>
      <c r="G597" s="18"/>
      <c r="K597" s="18"/>
    </row>
    <row r="598">
      <c r="C598" s="18"/>
      <c r="G598" s="18"/>
      <c r="K598" s="18"/>
    </row>
    <row r="599">
      <c r="C599" s="18"/>
      <c r="G599" s="18"/>
      <c r="K599" s="18"/>
    </row>
    <row r="600">
      <c r="C600" s="18"/>
      <c r="G600" s="18"/>
      <c r="K600" s="18"/>
    </row>
    <row r="601">
      <c r="C601" s="18"/>
      <c r="G601" s="18"/>
      <c r="K601" s="18"/>
    </row>
    <row r="602">
      <c r="C602" s="18"/>
      <c r="G602" s="18"/>
      <c r="K602" s="18"/>
    </row>
    <row r="603">
      <c r="C603" s="18"/>
      <c r="G603" s="18"/>
      <c r="K603" s="18"/>
    </row>
    <row r="604">
      <c r="C604" s="18"/>
      <c r="G604" s="18"/>
      <c r="K604" s="18"/>
    </row>
    <row r="605">
      <c r="C605" s="18"/>
      <c r="G605" s="18"/>
      <c r="K605" s="18"/>
    </row>
    <row r="606">
      <c r="C606" s="18"/>
      <c r="G606" s="18"/>
      <c r="K606" s="18"/>
    </row>
    <row r="607">
      <c r="C607" s="18"/>
      <c r="G607" s="18"/>
      <c r="K607" s="18"/>
    </row>
    <row r="608">
      <c r="C608" s="18"/>
      <c r="G608" s="18"/>
      <c r="K608" s="18"/>
    </row>
    <row r="609">
      <c r="C609" s="18"/>
      <c r="G609" s="18"/>
      <c r="K609" s="18"/>
    </row>
    <row r="610">
      <c r="C610" s="18"/>
      <c r="G610" s="18"/>
      <c r="K610" s="18"/>
    </row>
    <row r="611">
      <c r="C611" s="18"/>
      <c r="G611" s="18"/>
      <c r="K611" s="18"/>
    </row>
    <row r="612">
      <c r="C612" s="18"/>
      <c r="G612" s="18"/>
      <c r="K612" s="18"/>
    </row>
    <row r="613">
      <c r="C613" s="18"/>
      <c r="G613" s="18"/>
      <c r="K613" s="18"/>
    </row>
    <row r="614">
      <c r="C614" s="18"/>
      <c r="G614" s="18"/>
      <c r="K614" s="18"/>
    </row>
    <row r="615">
      <c r="C615" s="18"/>
      <c r="G615" s="18"/>
      <c r="K615" s="18"/>
    </row>
    <row r="616">
      <c r="C616" s="18"/>
      <c r="G616" s="18"/>
      <c r="K616" s="18"/>
    </row>
    <row r="617">
      <c r="C617" s="18"/>
      <c r="G617" s="18"/>
      <c r="K617" s="18"/>
    </row>
    <row r="618">
      <c r="C618" s="18"/>
      <c r="G618" s="18"/>
      <c r="K618" s="18"/>
    </row>
    <row r="619">
      <c r="C619" s="18"/>
      <c r="G619" s="18"/>
      <c r="K619" s="18"/>
    </row>
    <row r="620">
      <c r="C620" s="18"/>
      <c r="G620" s="18"/>
      <c r="K620" s="18"/>
    </row>
    <row r="621">
      <c r="C621" s="18"/>
      <c r="G621" s="18"/>
      <c r="K621" s="18"/>
    </row>
    <row r="622">
      <c r="C622" s="18"/>
      <c r="G622" s="18"/>
      <c r="K622" s="18"/>
    </row>
    <row r="623">
      <c r="C623" s="18"/>
      <c r="G623" s="18"/>
      <c r="K623" s="18"/>
    </row>
    <row r="624">
      <c r="C624" s="18"/>
      <c r="G624" s="18"/>
      <c r="K624" s="18"/>
    </row>
    <row r="625">
      <c r="C625" s="18"/>
      <c r="G625" s="18"/>
      <c r="K625" s="18"/>
    </row>
    <row r="626">
      <c r="C626" s="18"/>
      <c r="G626" s="18"/>
      <c r="K626" s="18"/>
    </row>
    <row r="627">
      <c r="C627" s="18"/>
      <c r="G627" s="18"/>
      <c r="K627" s="18"/>
    </row>
    <row r="628">
      <c r="C628" s="18"/>
      <c r="G628" s="18"/>
      <c r="K628" s="18"/>
    </row>
    <row r="629">
      <c r="C629" s="18"/>
      <c r="G629" s="18"/>
      <c r="K629" s="18"/>
    </row>
    <row r="630">
      <c r="C630" s="18"/>
      <c r="G630" s="18"/>
      <c r="K630" s="18"/>
    </row>
    <row r="631">
      <c r="C631" s="18"/>
      <c r="G631" s="18"/>
      <c r="K631" s="18"/>
    </row>
    <row r="632">
      <c r="C632" s="18"/>
      <c r="G632" s="18"/>
      <c r="K632" s="18"/>
    </row>
    <row r="633">
      <c r="C633" s="18"/>
      <c r="G633" s="18"/>
      <c r="K633" s="18"/>
    </row>
    <row r="634">
      <c r="C634" s="18"/>
      <c r="G634" s="18"/>
      <c r="K634" s="18"/>
    </row>
    <row r="635">
      <c r="C635" s="18"/>
      <c r="G635" s="18"/>
      <c r="K635" s="18"/>
    </row>
    <row r="636">
      <c r="C636" s="18"/>
      <c r="G636" s="18"/>
      <c r="K636" s="18"/>
    </row>
    <row r="637">
      <c r="C637" s="18"/>
      <c r="G637" s="18"/>
      <c r="K637" s="18"/>
    </row>
    <row r="638">
      <c r="C638" s="18"/>
      <c r="G638" s="18"/>
      <c r="K638" s="18"/>
    </row>
    <row r="639">
      <c r="C639" s="18"/>
      <c r="G639" s="18"/>
      <c r="K639" s="18"/>
    </row>
    <row r="640">
      <c r="C640" s="18"/>
      <c r="G640" s="18"/>
      <c r="K640" s="18"/>
    </row>
    <row r="641">
      <c r="C641" s="18"/>
      <c r="G641" s="18"/>
      <c r="K641" s="18"/>
    </row>
    <row r="642">
      <c r="C642" s="18"/>
      <c r="G642" s="18"/>
      <c r="K642" s="18"/>
    </row>
    <row r="643">
      <c r="C643" s="18"/>
      <c r="G643" s="18"/>
      <c r="K643" s="18"/>
    </row>
    <row r="644">
      <c r="C644" s="18"/>
      <c r="G644" s="18"/>
      <c r="K644" s="18"/>
    </row>
    <row r="645">
      <c r="C645" s="18"/>
      <c r="G645" s="18"/>
      <c r="K645" s="18"/>
    </row>
    <row r="646">
      <c r="C646" s="18"/>
      <c r="G646" s="18"/>
      <c r="K646" s="18"/>
    </row>
    <row r="647">
      <c r="C647" s="18"/>
      <c r="G647" s="18"/>
      <c r="K647" s="18"/>
    </row>
    <row r="648">
      <c r="C648" s="18"/>
      <c r="G648" s="18"/>
      <c r="K648" s="18"/>
    </row>
    <row r="649">
      <c r="C649" s="18"/>
      <c r="G649" s="18"/>
      <c r="K649" s="18"/>
    </row>
    <row r="650">
      <c r="C650" s="18"/>
      <c r="G650" s="18"/>
      <c r="K650" s="18"/>
    </row>
    <row r="651">
      <c r="C651" s="18"/>
      <c r="G651" s="18"/>
      <c r="K651" s="18"/>
    </row>
    <row r="652">
      <c r="C652" s="18"/>
      <c r="G652" s="18"/>
      <c r="K652" s="18"/>
    </row>
    <row r="653">
      <c r="C653" s="18"/>
      <c r="G653" s="18"/>
      <c r="K653" s="18"/>
    </row>
    <row r="654">
      <c r="C654" s="18"/>
      <c r="G654" s="18"/>
      <c r="K654" s="18"/>
    </row>
    <row r="655">
      <c r="C655" s="18"/>
      <c r="G655" s="18"/>
      <c r="K655" s="18"/>
    </row>
    <row r="656">
      <c r="C656" s="18"/>
      <c r="G656" s="18"/>
      <c r="K656" s="18"/>
    </row>
    <row r="657">
      <c r="C657" s="18"/>
      <c r="G657" s="18"/>
      <c r="K657" s="18"/>
    </row>
    <row r="658">
      <c r="C658" s="18"/>
      <c r="G658" s="18"/>
      <c r="K658" s="18"/>
    </row>
    <row r="659">
      <c r="C659" s="18"/>
      <c r="G659" s="18"/>
      <c r="K659" s="18"/>
    </row>
    <row r="660">
      <c r="C660" s="18"/>
      <c r="G660" s="18"/>
      <c r="K660" s="18"/>
    </row>
    <row r="661">
      <c r="C661" s="18"/>
      <c r="G661" s="18"/>
      <c r="K661" s="18"/>
    </row>
    <row r="662">
      <c r="C662" s="18"/>
      <c r="G662" s="18"/>
      <c r="K662" s="18"/>
    </row>
    <row r="663">
      <c r="C663" s="18"/>
      <c r="G663" s="18"/>
      <c r="K663" s="18"/>
    </row>
    <row r="664">
      <c r="C664" s="18"/>
      <c r="G664" s="18"/>
      <c r="K664" s="18"/>
    </row>
    <row r="665">
      <c r="C665" s="18"/>
      <c r="G665" s="18"/>
      <c r="K665" s="18"/>
    </row>
    <row r="666">
      <c r="C666" s="18"/>
      <c r="G666" s="18"/>
      <c r="K666" s="18"/>
    </row>
    <row r="667">
      <c r="C667" s="18"/>
      <c r="G667" s="18"/>
      <c r="K667" s="18"/>
    </row>
    <row r="668">
      <c r="C668" s="18"/>
      <c r="G668" s="18"/>
      <c r="K668" s="18"/>
    </row>
    <row r="669">
      <c r="C669" s="18"/>
      <c r="G669" s="18"/>
      <c r="K669" s="18"/>
    </row>
    <row r="670">
      <c r="C670" s="18"/>
      <c r="G670" s="18"/>
      <c r="K670" s="18"/>
    </row>
    <row r="671">
      <c r="C671" s="18"/>
      <c r="G671" s="18"/>
      <c r="K671" s="18"/>
    </row>
    <row r="672">
      <c r="C672" s="18"/>
      <c r="G672" s="18"/>
      <c r="K672" s="18"/>
    </row>
    <row r="673">
      <c r="C673" s="18"/>
      <c r="G673" s="18"/>
      <c r="K673" s="18"/>
    </row>
    <row r="674">
      <c r="C674" s="18"/>
      <c r="G674" s="18"/>
      <c r="K674" s="18"/>
    </row>
    <row r="675">
      <c r="C675" s="18"/>
      <c r="G675" s="18"/>
      <c r="K675" s="18"/>
    </row>
    <row r="676">
      <c r="C676" s="18"/>
      <c r="G676" s="18"/>
      <c r="K676" s="18"/>
    </row>
    <row r="677">
      <c r="C677" s="18"/>
      <c r="G677" s="18"/>
      <c r="K677" s="18"/>
    </row>
    <row r="678">
      <c r="C678" s="18"/>
      <c r="G678" s="18"/>
      <c r="K678" s="18"/>
    </row>
    <row r="679">
      <c r="C679" s="18"/>
      <c r="G679" s="18"/>
      <c r="K679" s="18"/>
    </row>
    <row r="680">
      <c r="C680" s="18"/>
      <c r="G680" s="18"/>
      <c r="K680" s="18"/>
    </row>
    <row r="681">
      <c r="C681" s="18"/>
      <c r="G681" s="18"/>
      <c r="K681" s="18"/>
    </row>
    <row r="682">
      <c r="C682" s="18"/>
      <c r="G682" s="18"/>
      <c r="K682" s="18"/>
    </row>
    <row r="683">
      <c r="C683" s="18"/>
      <c r="G683" s="18"/>
      <c r="K683" s="18"/>
    </row>
    <row r="684">
      <c r="C684" s="18"/>
      <c r="G684" s="18"/>
      <c r="K684" s="18"/>
    </row>
    <row r="685">
      <c r="C685" s="18"/>
      <c r="G685" s="18"/>
      <c r="K685" s="18"/>
    </row>
    <row r="686">
      <c r="C686" s="18"/>
      <c r="G686" s="18"/>
      <c r="K686" s="18"/>
    </row>
    <row r="687">
      <c r="C687" s="18"/>
      <c r="G687" s="18"/>
      <c r="K687" s="18"/>
    </row>
    <row r="688">
      <c r="C688" s="18"/>
      <c r="G688" s="18"/>
      <c r="K688" s="18"/>
    </row>
    <row r="689">
      <c r="C689" s="18"/>
      <c r="G689" s="18"/>
      <c r="K689" s="18"/>
    </row>
    <row r="690">
      <c r="C690" s="18"/>
      <c r="G690" s="18"/>
      <c r="K690" s="18"/>
    </row>
    <row r="691">
      <c r="C691" s="18"/>
      <c r="G691" s="18"/>
      <c r="K691" s="18"/>
    </row>
    <row r="692">
      <c r="C692" s="18"/>
      <c r="G692" s="18"/>
      <c r="K692" s="18"/>
    </row>
    <row r="693">
      <c r="C693" s="18"/>
      <c r="G693" s="18"/>
      <c r="K693" s="18"/>
    </row>
    <row r="694">
      <c r="C694" s="18"/>
      <c r="G694" s="18"/>
      <c r="K694" s="18"/>
    </row>
    <row r="695">
      <c r="C695" s="18"/>
      <c r="G695" s="18"/>
      <c r="K695" s="18"/>
    </row>
    <row r="696">
      <c r="C696" s="18"/>
      <c r="G696" s="18"/>
      <c r="K696" s="18"/>
    </row>
    <row r="697">
      <c r="C697" s="18"/>
      <c r="G697" s="18"/>
      <c r="K697" s="18"/>
    </row>
    <row r="698">
      <c r="C698" s="18"/>
      <c r="G698" s="18"/>
      <c r="K698" s="18"/>
    </row>
    <row r="699">
      <c r="C699" s="18"/>
      <c r="G699" s="18"/>
      <c r="K699" s="18"/>
    </row>
    <row r="700">
      <c r="C700" s="18"/>
      <c r="G700" s="18"/>
      <c r="K700" s="18"/>
    </row>
    <row r="701">
      <c r="C701" s="18"/>
      <c r="G701" s="18"/>
      <c r="K701" s="18"/>
    </row>
    <row r="702">
      <c r="C702" s="18"/>
      <c r="G702" s="18"/>
      <c r="K702" s="18"/>
    </row>
    <row r="703">
      <c r="C703" s="18"/>
      <c r="G703" s="18"/>
      <c r="K703" s="18"/>
    </row>
    <row r="704">
      <c r="C704" s="18"/>
      <c r="G704" s="18"/>
      <c r="K704" s="18"/>
    </row>
    <row r="705">
      <c r="C705" s="18"/>
      <c r="G705" s="18"/>
      <c r="K705" s="18"/>
    </row>
    <row r="706">
      <c r="C706" s="18"/>
      <c r="G706" s="18"/>
      <c r="K706" s="18"/>
    </row>
    <row r="707">
      <c r="C707" s="18"/>
      <c r="G707" s="18"/>
      <c r="K707" s="18"/>
    </row>
    <row r="708">
      <c r="C708" s="18"/>
      <c r="G708" s="18"/>
      <c r="K708" s="18"/>
    </row>
    <row r="709">
      <c r="C709" s="18"/>
      <c r="G709" s="18"/>
      <c r="K709" s="18"/>
    </row>
    <row r="710">
      <c r="C710" s="18"/>
      <c r="G710" s="18"/>
      <c r="K710" s="18"/>
    </row>
    <row r="711">
      <c r="C711" s="18"/>
      <c r="G711" s="18"/>
      <c r="K711" s="18"/>
    </row>
    <row r="712">
      <c r="C712" s="18"/>
      <c r="G712" s="18"/>
      <c r="K712" s="18"/>
    </row>
    <row r="713">
      <c r="C713" s="18"/>
      <c r="G713" s="18"/>
      <c r="K713" s="18"/>
    </row>
    <row r="714">
      <c r="C714" s="18"/>
      <c r="G714" s="18"/>
      <c r="K714" s="18"/>
    </row>
    <row r="715">
      <c r="C715" s="18"/>
      <c r="G715" s="18"/>
      <c r="K715" s="18"/>
    </row>
    <row r="716">
      <c r="C716" s="18"/>
      <c r="G716" s="18"/>
      <c r="K716" s="18"/>
    </row>
    <row r="717">
      <c r="C717" s="18"/>
      <c r="G717" s="18"/>
      <c r="K717" s="18"/>
    </row>
    <row r="718">
      <c r="C718" s="18"/>
      <c r="G718" s="18"/>
      <c r="K718" s="18"/>
    </row>
    <row r="719">
      <c r="C719" s="18"/>
      <c r="G719" s="18"/>
      <c r="K719" s="18"/>
    </row>
    <row r="720">
      <c r="C720" s="18"/>
      <c r="G720" s="18"/>
      <c r="K720" s="18"/>
    </row>
    <row r="721">
      <c r="C721" s="18"/>
      <c r="G721" s="18"/>
      <c r="K721" s="18"/>
    </row>
    <row r="722">
      <c r="C722" s="18"/>
      <c r="G722" s="18"/>
      <c r="K722" s="18"/>
    </row>
    <row r="723">
      <c r="C723" s="18"/>
      <c r="G723" s="18"/>
      <c r="K723" s="18"/>
    </row>
    <row r="724">
      <c r="C724" s="18"/>
      <c r="G724" s="18"/>
      <c r="K724" s="18"/>
    </row>
    <row r="725">
      <c r="C725" s="18"/>
      <c r="G725" s="18"/>
      <c r="K725" s="18"/>
    </row>
    <row r="726">
      <c r="C726" s="18"/>
      <c r="G726" s="18"/>
      <c r="K726" s="18"/>
    </row>
    <row r="727">
      <c r="C727" s="18"/>
      <c r="G727" s="18"/>
      <c r="K727" s="18"/>
    </row>
    <row r="728">
      <c r="C728" s="18"/>
      <c r="G728" s="18"/>
      <c r="K728" s="18"/>
    </row>
    <row r="729">
      <c r="C729" s="18"/>
      <c r="G729" s="18"/>
      <c r="K729" s="18"/>
    </row>
    <row r="730">
      <c r="C730" s="18"/>
      <c r="G730" s="18"/>
      <c r="K730" s="18"/>
    </row>
    <row r="731">
      <c r="C731" s="18"/>
      <c r="G731" s="18"/>
      <c r="K731" s="18"/>
    </row>
    <row r="732">
      <c r="C732" s="18"/>
      <c r="G732" s="18"/>
      <c r="K732" s="18"/>
    </row>
    <row r="733">
      <c r="C733" s="18"/>
      <c r="G733" s="18"/>
      <c r="K733" s="18"/>
    </row>
    <row r="734">
      <c r="C734" s="18"/>
      <c r="G734" s="18"/>
      <c r="K734" s="18"/>
    </row>
    <row r="735">
      <c r="C735" s="18"/>
      <c r="G735" s="18"/>
      <c r="K735" s="18"/>
    </row>
    <row r="736">
      <c r="C736" s="18"/>
      <c r="G736" s="18"/>
      <c r="K736" s="18"/>
    </row>
    <row r="737">
      <c r="C737" s="18"/>
      <c r="G737" s="18"/>
      <c r="K737" s="18"/>
    </row>
    <row r="738">
      <c r="C738" s="18"/>
      <c r="G738" s="18"/>
      <c r="K738" s="18"/>
    </row>
    <row r="739">
      <c r="C739" s="18"/>
      <c r="G739" s="18"/>
      <c r="K739" s="18"/>
    </row>
    <row r="740">
      <c r="C740" s="18"/>
      <c r="G740" s="18"/>
      <c r="K740" s="18"/>
    </row>
    <row r="741">
      <c r="C741" s="18"/>
      <c r="G741" s="18"/>
      <c r="K741" s="18"/>
    </row>
    <row r="742">
      <c r="C742" s="18"/>
      <c r="G742" s="18"/>
      <c r="K742" s="18"/>
    </row>
    <row r="743">
      <c r="C743" s="18"/>
      <c r="G743" s="18"/>
      <c r="K743" s="18"/>
    </row>
    <row r="744">
      <c r="C744" s="18"/>
      <c r="G744" s="18"/>
      <c r="K744" s="18"/>
    </row>
    <row r="745">
      <c r="C745" s="18"/>
      <c r="G745" s="18"/>
      <c r="K745" s="18"/>
    </row>
    <row r="746">
      <c r="C746" s="18"/>
      <c r="G746" s="18"/>
      <c r="K746" s="18"/>
    </row>
    <row r="747">
      <c r="C747" s="18"/>
      <c r="G747" s="18"/>
      <c r="K747" s="18"/>
    </row>
    <row r="748">
      <c r="C748" s="18"/>
      <c r="G748" s="18"/>
      <c r="K748" s="18"/>
    </row>
    <row r="749">
      <c r="C749" s="18"/>
      <c r="G749" s="18"/>
      <c r="K749" s="18"/>
    </row>
    <row r="750">
      <c r="C750" s="18"/>
      <c r="G750" s="18"/>
      <c r="K750" s="18"/>
    </row>
    <row r="751">
      <c r="C751" s="18"/>
      <c r="G751" s="18"/>
      <c r="K751" s="18"/>
    </row>
    <row r="752">
      <c r="C752" s="18"/>
      <c r="G752" s="18"/>
      <c r="K752" s="18"/>
    </row>
    <row r="753">
      <c r="C753" s="18"/>
      <c r="G753" s="18"/>
      <c r="K753" s="18"/>
    </row>
    <row r="754">
      <c r="C754" s="18"/>
      <c r="G754" s="18"/>
      <c r="K754" s="18"/>
    </row>
    <row r="755">
      <c r="C755" s="18"/>
      <c r="G755" s="18"/>
      <c r="K755" s="18"/>
    </row>
    <row r="756">
      <c r="C756" s="18"/>
      <c r="G756" s="18"/>
      <c r="K756" s="18"/>
    </row>
    <row r="757">
      <c r="C757" s="18"/>
      <c r="G757" s="18"/>
      <c r="K757" s="18"/>
    </row>
    <row r="758">
      <c r="C758" s="18"/>
      <c r="G758" s="18"/>
      <c r="K758" s="18"/>
    </row>
    <row r="759">
      <c r="C759" s="18"/>
      <c r="G759" s="18"/>
      <c r="K759" s="18"/>
    </row>
    <row r="760">
      <c r="C760" s="18"/>
      <c r="G760" s="18"/>
      <c r="K760" s="18"/>
    </row>
    <row r="761">
      <c r="C761" s="18"/>
      <c r="G761" s="18"/>
      <c r="K761" s="18"/>
    </row>
    <row r="762">
      <c r="C762" s="18"/>
      <c r="G762" s="18"/>
      <c r="K762" s="18"/>
    </row>
    <row r="763">
      <c r="C763" s="18"/>
      <c r="G763" s="18"/>
      <c r="K763" s="18"/>
    </row>
    <row r="764">
      <c r="C764" s="18"/>
      <c r="G764" s="18"/>
      <c r="K764" s="18"/>
    </row>
    <row r="765">
      <c r="C765" s="18"/>
      <c r="G765" s="18"/>
      <c r="K765" s="18"/>
    </row>
    <row r="766">
      <c r="C766" s="18"/>
      <c r="G766" s="18"/>
      <c r="K766" s="18"/>
    </row>
    <row r="767">
      <c r="C767" s="18"/>
      <c r="G767" s="18"/>
      <c r="K767" s="18"/>
    </row>
    <row r="768">
      <c r="C768" s="18"/>
      <c r="G768" s="18"/>
      <c r="K768" s="18"/>
    </row>
    <row r="769">
      <c r="C769" s="18"/>
      <c r="G769" s="18"/>
      <c r="K769" s="18"/>
    </row>
    <row r="770">
      <c r="C770" s="18"/>
      <c r="G770" s="18"/>
      <c r="K770" s="18"/>
    </row>
    <row r="771">
      <c r="C771" s="18"/>
      <c r="G771" s="18"/>
      <c r="K771" s="18"/>
    </row>
    <row r="772">
      <c r="C772" s="18"/>
      <c r="G772" s="18"/>
      <c r="K772" s="18"/>
    </row>
    <row r="773">
      <c r="C773" s="18"/>
      <c r="G773" s="18"/>
      <c r="K773" s="18"/>
    </row>
    <row r="774">
      <c r="C774" s="18"/>
      <c r="G774" s="18"/>
      <c r="K774" s="18"/>
    </row>
    <row r="775">
      <c r="C775" s="18"/>
      <c r="G775" s="18"/>
      <c r="K775" s="18"/>
    </row>
    <row r="776">
      <c r="C776" s="18"/>
      <c r="G776" s="18"/>
      <c r="K776" s="18"/>
    </row>
    <row r="777">
      <c r="C777" s="18"/>
      <c r="G777" s="18"/>
      <c r="K777" s="18"/>
    </row>
    <row r="778">
      <c r="C778" s="18"/>
      <c r="G778" s="18"/>
      <c r="K778" s="18"/>
    </row>
    <row r="779">
      <c r="C779" s="18"/>
      <c r="G779" s="18"/>
      <c r="K779" s="18"/>
    </row>
    <row r="780">
      <c r="C780" s="18"/>
      <c r="G780" s="18"/>
      <c r="K780" s="18"/>
    </row>
    <row r="781">
      <c r="C781" s="18"/>
      <c r="G781" s="18"/>
      <c r="K781" s="18"/>
    </row>
    <row r="782">
      <c r="C782" s="18"/>
      <c r="G782" s="18"/>
      <c r="K782" s="18"/>
    </row>
    <row r="783">
      <c r="C783" s="18"/>
      <c r="G783" s="18"/>
      <c r="K783" s="18"/>
    </row>
    <row r="784">
      <c r="C784" s="18"/>
      <c r="G784" s="18"/>
      <c r="K784" s="18"/>
    </row>
    <row r="785">
      <c r="C785" s="18"/>
      <c r="G785" s="18"/>
      <c r="K785" s="18"/>
    </row>
    <row r="786">
      <c r="C786" s="18"/>
      <c r="G786" s="18"/>
      <c r="K786" s="18"/>
    </row>
    <row r="787">
      <c r="C787" s="18"/>
      <c r="G787" s="18"/>
      <c r="K787" s="18"/>
    </row>
    <row r="788">
      <c r="C788" s="18"/>
      <c r="G788" s="18"/>
      <c r="K788" s="18"/>
    </row>
    <row r="789">
      <c r="C789" s="18"/>
      <c r="G789" s="18"/>
      <c r="K789" s="18"/>
    </row>
    <row r="790">
      <c r="C790" s="18"/>
      <c r="G790" s="18"/>
      <c r="K790" s="18"/>
    </row>
    <row r="791">
      <c r="C791" s="18"/>
      <c r="G791" s="18"/>
      <c r="K791" s="18"/>
    </row>
    <row r="792">
      <c r="C792" s="18"/>
      <c r="G792" s="18"/>
      <c r="K792" s="18"/>
    </row>
    <row r="793">
      <c r="C793" s="18"/>
      <c r="G793" s="18"/>
      <c r="K793" s="18"/>
    </row>
    <row r="794">
      <c r="C794" s="18"/>
      <c r="G794" s="18"/>
      <c r="K794" s="18"/>
    </row>
    <row r="795">
      <c r="C795" s="18"/>
      <c r="G795" s="18"/>
      <c r="K795" s="18"/>
    </row>
    <row r="796">
      <c r="C796" s="18"/>
      <c r="G796" s="18"/>
      <c r="K796" s="18"/>
    </row>
    <row r="797">
      <c r="C797" s="18"/>
      <c r="G797" s="18"/>
      <c r="K797" s="18"/>
    </row>
    <row r="798">
      <c r="C798" s="18"/>
      <c r="G798" s="18"/>
      <c r="K798" s="18"/>
    </row>
    <row r="799">
      <c r="C799" s="18"/>
      <c r="G799" s="18"/>
      <c r="K799" s="18"/>
    </row>
    <row r="800">
      <c r="C800" s="18"/>
      <c r="G800" s="18"/>
      <c r="K800" s="18"/>
    </row>
    <row r="801">
      <c r="C801" s="18"/>
      <c r="G801" s="18"/>
      <c r="K801" s="18"/>
    </row>
    <row r="802">
      <c r="C802" s="18"/>
      <c r="G802" s="18"/>
      <c r="K802" s="18"/>
    </row>
    <row r="803">
      <c r="C803" s="18"/>
      <c r="G803" s="18"/>
      <c r="K803" s="18"/>
    </row>
    <row r="804">
      <c r="C804" s="18"/>
      <c r="G804" s="18"/>
      <c r="K804" s="18"/>
    </row>
    <row r="805">
      <c r="C805" s="18"/>
      <c r="G805" s="18"/>
      <c r="K805" s="18"/>
    </row>
    <row r="806">
      <c r="C806" s="18"/>
      <c r="G806" s="18"/>
      <c r="K806" s="18"/>
    </row>
    <row r="807">
      <c r="C807" s="18"/>
      <c r="G807" s="18"/>
      <c r="K807" s="18"/>
    </row>
    <row r="808">
      <c r="C808" s="18"/>
      <c r="G808" s="18"/>
      <c r="K808" s="18"/>
    </row>
    <row r="809">
      <c r="C809" s="18"/>
      <c r="G809" s="18"/>
      <c r="K809" s="18"/>
    </row>
    <row r="810">
      <c r="C810" s="18"/>
      <c r="G810" s="18"/>
      <c r="K810" s="18"/>
    </row>
    <row r="811">
      <c r="C811" s="18"/>
      <c r="G811" s="18"/>
      <c r="K811" s="18"/>
    </row>
    <row r="812">
      <c r="C812" s="18"/>
      <c r="G812" s="18"/>
      <c r="K812" s="18"/>
    </row>
    <row r="813">
      <c r="C813" s="18"/>
      <c r="G813" s="18"/>
      <c r="K813" s="18"/>
    </row>
    <row r="814">
      <c r="C814" s="18"/>
      <c r="G814" s="18"/>
      <c r="K814" s="18"/>
    </row>
    <row r="815">
      <c r="C815" s="18"/>
      <c r="G815" s="18"/>
      <c r="K815" s="18"/>
    </row>
    <row r="816">
      <c r="C816" s="18"/>
      <c r="G816" s="18"/>
      <c r="K816" s="18"/>
    </row>
    <row r="817">
      <c r="C817" s="18"/>
      <c r="G817" s="18"/>
      <c r="K817" s="18"/>
    </row>
    <row r="818">
      <c r="C818" s="18"/>
      <c r="G818" s="18"/>
      <c r="K818" s="18"/>
    </row>
    <row r="819">
      <c r="C819" s="18"/>
      <c r="G819" s="18"/>
      <c r="K819" s="18"/>
    </row>
    <row r="820">
      <c r="C820" s="18"/>
      <c r="G820" s="18"/>
      <c r="K820" s="18"/>
    </row>
    <row r="821">
      <c r="C821" s="18"/>
      <c r="G821" s="18"/>
      <c r="K821" s="18"/>
    </row>
    <row r="822">
      <c r="C822" s="18"/>
      <c r="G822" s="18"/>
      <c r="K822" s="18"/>
    </row>
    <row r="823">
      <c r="C823" s="18"/>
      <c r="G823" s="18"/>
      <c r="K823" s="18"/>
    </row>
    <row r="824">
      <c r="C824" s="18"/>
      <c r="G824" s="18"/>
      <c r="K824" s="18"/>
    </row>
    <row r="825">
      <c r="C825" s="18"/>
      <c r="G825" s="18"/>
      <c r="K825" s="18"/>
    </row>
    <row r="826">
      <c r="C826" s="18"/>
      <c r="G826" s="18"/>
      <c r="K826" s="18"/>
    </row>
    <row r="827">
      <c r="C827" s="18"/>
      <c r="G827" s="18"/>
      <c r="K827" s="18"/>
    </row>
    <row r="828">
      <c r="C828" s="18"/>
      <c r="G828" s="18"/>
      <c r="K828" s="18"/>
    </row>
    <row r="829">
      <c r="C829" s="18"/>
      <c r="G829" s="18"/>
      <c r="K829" s="18"/>
    </row>
    <row r="830">
      <c r="C830" s="18"/>
      <c r="G830" s="18"/>
      <c r="K830" s="18"/>
    </row>
    <row r="831">
      <c r="C831" s="18"/>
      <c r="G831" s="18"/>
      <c r="K831" s="18"/>
    </row>
    <row r="832">
      <c r="C832" s="18"/>
      <c r="G832" s="18"/>
      <c r="K832" s="18"/>
    </row>
    <row r="833">
      <c r="C833" s="18"/>
      <c r="G833" s="18"/>
      <c r="K833" s="18"/>
    </row>
    <row r="834">
      <c r="C834" s="18"/>
      <c r="G834" s="18"/>
      <c r="K834" s="18"/>
    </row>
    <row r="835">
      <c r="C835" s="18"/>
      <c r="G835" s="18"/>
      <c r="K835" s="18"/>
    </row>
    <row r="836">
      <c r="C836" s="18"/>
      <c r="G836" s="18"/>
      <c r="K836" s="18"/>
    </row>
    <row r="837">
      <c r="C837" s="18"/>
      <c r="G837" s="18"/>
      <c r="K837" s="18"/>
    </row>
    <row r="838">
      <c r="C838" s="18"/>
      <c r="G838" s="18"/>
      <c r="K838" s="18"/>
    </row>
    <row r="839">
      <c r="C839" s="18"/>
      <c r="G839" s="18"/>
      <c r="K839" s="18"/>
    </row>
    <row r="840">
      <c r="C840" s="18"/>
      <c r="G840" s="18"/>
      <c r="K840" s="18"/>
    </row>
    <row r="841">
      <c r="C841" s="18"/>
      <c r="G841" s="18"/>
      <c r="K841" s="18"/>
    </row>
    <row r="842">
      <c r="C842" s="18"/>
      <c r="G842" s="18"/>
      <c r="K842" s="18"/>
    </row>
    <row r="843">
      <c r="C843" s="18"/>
      <c r="G843" s="18"/>
      <c r="K843" s="18"/>
    </row>
    <row r="844">
      <c r="C844" s="18"/>
      <c r="G844" s="18"/>
      <c r="K844" s="18"/>
    </row>
    <row r="845">
      <c r="C845" s="18"/>
      <c r="G845" s="18"/>
      <c r="K845" s="18"/>
    </row>
    <row r="846">
      <c r="C846" s="18"/>
      <c r="G846" s="18"/>
      <c r="K846" s="18"/>
    </row>
    <row r="847">
      <c r="C847" s="18"/>
      <c r="G847" s="18"/>
      <c r="K847" s="18"/>
    </row>
    <row r="848">
      <c r="C848" s="18"/>
      <c r="G848" s="18"/>
      <c r="K848" s="18"/>
    </row>
    <row r="849">
      <c r="C849" s="18"/>
      <c r="G849" s="18"/>
      <c r="K849" s="18"/>
    </row>
    <row r="850">
      <c r="C850" s="18"/>
      <c r="G850" s="18"/>
      <c r="K850" s="18"/>
    </row>
    <row r="851">
      <c r="C851" s="18"/>
      <c r="G851" s="18"/>
      <c r="K851" s="18"/>
    </row>
    <row r="852">
      <c r="C852" s="18"/>
      <c r="G852" s="18"/>
      <c r="K852" s="18"/>
    </row>
    <row r="853">
      <c r="C853" s="18"/>
      <c r="G853" s="18"/>
      <c r="K853" s="18"/>
    </row>
    <row r="854">
      <c r="C854" s="18"/>
      <c r="G854" s="18"/>
      <c r="K854" s="18"/>
    </row>
    <row r="855">
      <c r="C855" s="18"/>
      <c r="G855" s="18"/>
      <c r="K855" s="18"/>
    </row>
    <row r="856">
      <c r="C856" s="18"/>
      <c r="G856" s="18"/>
      <c r="K856" s="18"/>
    </row>
    <row r="857">
      <c r="C857" s="18"/>
      <c r="G857" s="18"/>
      <c r="K857" s="18"/>
    </row>
    <row r="858">
      <c r="C858" s="18"/>
      <c r="G858" s="18"/>
      <c r="K858" s="18"/>
    </row>
    <row r="859">
      <c r="C859" s="18"/>
      <c r="G859" s="18"/>
      <c r="K859" s="18"/>
    </row>
    <row r="860">
      <c r="C860" s="18"/>
      <c r="G860" s="18"/>
      <c r="K860" s="18"/>
    </row>
    <row r="861">
      <c r="C861" s="18"/>
      <c r="G861" s="18"/>
      <c r="K861" s="18"/>
    </row>
    <row r="862">
      <c r="C862" s="18"/>
      <c r="G862" s="18"/>
      <c r="K862" s="18"/>
    </row>
    <row r="863">
      <c r="C863" s="18"/>
      <c r="G863" s="18"/>
      <c r="K863" s="18"/>
    </row>
    <row r="864">
      <c r="C864" s="18"/>
      <c r="G864" s="18"/>
      <c r="K864" s="18"/>
    </row>
    <row r="865">
      <c r="C865" s="18"/>
      <c r="G865" s="18"/>
      <c r="K865" s="18"/>
    </row>
    <row r="866">
      <c r="C866" s="18"/>
      <c r="G866" s="18"/>
      <c r="K866" s="18"/>
    </row>
    <row r="867">
      <c r="C867" s="18"/>
      <c r="G867" s="18"/>
      <c r="K867" s="18"/>
    </row>
    <row r="868">
      <c r="C868" s="18"/>
      <c r="G868" s="18"/>
      <c r="K868" s="18"/>
    </row>
    <row r="869">
      <c r="C869" s="18"/>
      <c r="G869" s="18"/>
      <c r="K869" s="18"/>
    </row>
    <row r="870">
      <c r="C870" s="18"/>
      <c r="G870" s="18"/>
      <c r="K870" s="18"/>
    </row>
    <row r="871">
      <c r="C871" s="18"/>
      <c r="G871" s="18"/>
      <c r="K871" s="18"/>
    </row>
    <row r="872">
      <c r="C872" s="18"/>
      <c r="G872" s="18"/>
      <c r="K872" s="18"/>
    </row>
    <row r="873">
      <c r="C873" s="18"/>
      <c r="G873" s="18"/>
      <c r="K873" s="18"/>
    </row>
    <row r="874">
      <c r="C874" s="18"/>
      <c r="G874" s="18"/>
      <c r="K874" s="18"/>
    </row>
    <row r="875">
      <c r="C875" s="18"/>
      <c r="G875" s="18"/>
      <c r="K875" s="18"/>
    </row>
    <row r="876">
      <c r="C876" s="18"/>
      <c r="G876" s="18"/>
      <c r="K876" s="18"/>
    </row>
    <row r="877">
      <c r="C877" s="18"/>
      <c r="G877" s="18"/>
      <c r="K877" s="18"/>
    </row>
    <row r="878">
      <c r="C878" s="18"/>
      <c r="G878" s="18"/>
      <c r="K878" s="18"/>
    </row>
    <row r="879">
      <c r="C879" s="18"/>
      <c r="G879" s="18"/>
      <c r="K879" s="18"/>
    </row>
    <row r="880">
      <c r="C880" s="18"/>
      <c r="G880" s="18"/>
      <c r="K880" s="18"/>
    </row>
    <row r="881">
      <c r="C881" s="18"/>
      <c r="G881" s="18"/>
      <c r="K881" s="18"/>
    </row>
    <row r="882">
      <c r="C882" s="18"/>
      <c r="G882" s="18"/>
      <c r="K882" s="18"/>
    </row>
    <row r="883">
      <c r="C883" s="18"/>
      <c r="G883" s="18"/>
      <c r="K883" s="18"/>
    </row>
    <row r="884">
      <c r="C884" s="18"/>
      <c r="G884" s="18"/>
      <c r="K884" s="18"/>
    </row>
    <row r="885">
      <c r="C885" s="18"/>
      <c r="G885" s="18"/>
      <c r="K885" s="18"/>
    </row>
    <row r="886">
      <c r="C886" s="18"/>
      <c r="G886" s="18"/>
      <c r="K886" s="18"/>
    </row>
    <row r="887">
      <c r="C887" s="18"/>
      <c r="G887" s="18"/>
      <c r="K887" s="18"/>
    </row>
    <row r="888">
      <c r="C888" s="18"/>
      <c r="G888" s="18"/>
      <c r="K888" s="18"/>
    </row>
    <row r="889">
      <c r="C889" s="18"/>
      <c r="G889" s="18"/>
      <c r="K889" s="18"/>
    </row>
    <row r="890">
      <c r="C890" s="18"/>
      <c r="G890" s="18"/>
      <c r="K890" s="18"/>
    </row>
    <row r="891">
      <c r="C891" s="18"/>
      <c r="G891" s="18"/>
      <c r="K891" s="18"/>
    </row>
    <row r="892">
      <c r="C892" s="18"/>
      <c r="G892" s="18"/>
      <c r="K892" s="18"/>
    </row>
    <row r="893">
      <c r="C893" s="18"/>
      <c r="G893" s="18"/>
      <c r="K893" s="18"/>
    </row>
    <row r="894">
      <c r="C894" s="18"/>
      <c r="G894" s="18"/>
      <c r="K894" s="18"/>
    </row>
    <row r="895">
      <c r="C895" s="18"/>
      <c r="G895" s="18"/>
      <c r="K895" s="18"/>
    </row>
    <row r="896">
      <c r="C896" s="18"/>
      <c r="G896" s="18"/>
      <c r="K896" s="18"/>
    </row>
    <row r="897">
      <c r="C897" s="18"/>
      <c r="G897" s="18"/>
      <c r="K897" s="18"/>
    </row>
    <row r="898">
      <c r="C898" s="18"/>
      <c r="G898" s="18"/>
      <c r="K898" s="18"/>
    </row>
    <row r="899">
      <c r="C899" s="18"/>
      <c r="G899" s="18"/>
      <c r="K899" s="18"/>
    </row>
    <row r="900">
      <c r="C900" s="18"/>
      <c r="G900" s="18"/>
      <c r="K900" s="18"/>
    </row>
    <row r="901">
      <c r="C901" s="18"/>
      <c r="G901" s="18"/>
      <c r="K901" s="18"/>
    </row>
    <row r="902">
      <c r="C902" s="18"/>
      <c r="G902" s="18"/>
      <c r="K902" s="18"/>
    </row>
    <row r="903">
      <c r="C903" s="18"/>
      <c r="G903" s="18"/>
      <c r="K903" s="18"/>
    </row>
    <row r="904">
      <c r="C904" s="18"/>
      <c r="G904" s="18"/>
      <c r="K904" s="18"/>
    </row>
    <row r="905">
      <c r="C905" s="18"/>
      <c r="G905" s="18"/>
      <c r="K905" s="18"/>
    </row>
    <row r="906">
      <c r="C906" s="18"/>
      <c r="G906" s="18"/>
      <c r="K906" s="18"/>
    </row>
    <row r="907">
      <c r="C907" s="18"/>
      <c r="G907" s="18"/>
      <c r="K907" s="18"/>
    </row>
    <row r="908">
      <c r="C908" s="18"/>
      <c r="G908" s="18"/>
      <c r="K908" s="18"/>
    </row>
    <row r="909">
      <c r="C909" s="18"/>
      <c r="G909" s="18"/>
      <c r="K909" s="18"/>
    </row>
    <row r="910">
      <c r="C910" s="18"/>
      <c r="G910" s="18"/>
      <c r="K910" s="18"/>
    </row>
    <row r="911">
      <c r="C911" s="18"/>
      <c r="G911" s="18"/>
      <c r="K911" s="18"/>
    </row>
    <row r="912">
      <c r="C912" s="18"/>
      <c r="G912" s="18"/>
      <c r="K912" s="18"/>
    </row>
    <row r="913">
      <c r="C913" s="18"/>
      <c r="G913" s="18"/>
      <c r="K913" s="18"/>
    </row>
    <row r="914">
      <c r="C914" s="18"/>
      <c r="G914" s="18"/>
      <c r="K914" s="18"/>
    </row>
    <row r="915">
      <c r="C915" s="18"/>
      <c r="G915" s="18"/>
      <c r="K915" s="18"/>
    </row>
    <row r="916">
      <c r="C916" s="18"/>
      <c r="G916" s="18"/>
      <c r="K916" s="18"/>
    </row>
    <row r="917">
      <c r="C917" s="18"/>
      <c r="G917" s="18"/>
      <c r="K917" s="18"/>
    </row>
    <row r="918">
      <c r="C918" s="18"/>
      <c r="G918" s="18"/>
      <c r="K918" s="18"/>
    </row>
    <row r="919">
      <c r="C919" s="18"/>
      <c r="G919" s="18"/>
      <c r="K919" s="18"/>
    </row>
    <row r="920">
      <c r="C920" s="18"/>
      <c r="G920" s="18"/>
      <c r="K920" s="18"/>
    </row>
    <row r="921">
      <c r="C921" s="18"/>
      <c r="G921" s="18"/>
      <c r="K921" s="18"/>
    </row>
    <row r="922">
      <c r="C922" s="18"/>
      <c r="G922" s="18"/>
      <c r="K922" s="18"/>
    </row>
    <row r="923">
      <c r="C923" s="18"/>
      <c r="G923" s="18"/>
      <c r="K923" s="18"/>
    </row>
    <row r="924">
      <c r="C924" s="18"/>
      <c r="G924" s="18"/>
      <c r="K924" s="18"/>
    </row>
    <row r="925">
      <c r="C925" s="18"/>
      <c r="G925" s="18"/>
      <c r="K925" s="18"/>
    </row>
    <row r="926">
      <c r="C926" s="18"/>
      <c r="G926" s="18"/>
      <c r="K926" s="18"/>
    </row>
    <row r="927">
      <c r="C927" s="18"/>
      <c r="G927" s="18"/>
      <c r="K927" s="18"/>
    </row>
    <row r="928">
      <c r="C928" s="18"/>
      <c r="G928" s="18"/>
      <c r="K928" s="18"/>
    </row>
    <row r="929">
      <c r="C929" s="18"/>
      <c r="G929" s="18"/>
      <c r="K929" s="18"/>
    </row>
    <row r="930">
      <c r="C930" s="18"/>
      <c r="G930" s="18"/>
      <c r="K930" s="18"/>
    </row>
    <row r="931">
      <c r="C931" s="18"/>
      <c r="G931" s="18"/>
      <c r="K931" s="18"/>
    </row>
    <row r="932">
      <c r="C932" s="18"/>
      <c r="G932" s="18"/>
      <c r="K932" s="18"/>
    </row>
    <row r="933">
      <c r="C933" s="18"/>
      <c r="G933" s="18"/>
      <c r="K933" s="18"/>
    </row>
    <row r="934">
      <c r="C934" s="18"/>
      <c r="G934" s="18"/>
      <c r="K934" s="18"/>
    </row>
    <row r="935">
      <c r="C935" s="18"/>
      <c r="G935" s="18"/>
      <c r="K935" s="18"/>
    </row>
    <row r="936">
      <c r="C936" s="18"/>
      <c r="G936" s="18"/>
      <c r="K936" s="18"/>
    </row>
    <row r="937">
      <c r="C937" s="18"/>
      <c r="G937" s="18"/>
      <c r="K937" s="18"/>
    </row>
    <row r="938">
      <c r="C938" s="18"/>
      <c r="G938" s="18"/>
      <c r="K938" s="18"/>
    </row>
    <row r="939">
      <c r="C939" s="18"/>
      <c r="G939" s="18"/>
      <c r="K939" s="18"/>
    </row>
    <row r="940">
      <c r="C940" s="18"/>
      <c r="G940" s="18"/>
      <c r="K940" s="18"/>
    </row>
    <row r="941">
      <c r="C941" s="18"/>
      <c r="G941" s="18"/>
      <c r="K941" s="18"/>
    </row>
    <row r="942">
      <c r="C942" s="18"/>
      <c r="G942" s="18"/>
      <c r="K942" s="18"/>
    </row>
    <row r="943">
      <c r="C943" s="18"/>
      <c r="G943" s="18"/>
      <c r="K943" s="18"/>
    </row>
    <row r="944">
      <c r="C944" s="18"/>
      <c r="G944" s="18"/>
      <c r="K944" s="18"/>
    </row>
    <row r="945">
      <c r="C945" s="18"/>
      <c r="G945" s="18"/>
      <c r="K945" s="18"/>
    </row>
    <row r="946">
      <c r="C946" s="18"/>
      <c r="G946" s="18"/>
      <c r="K946" s="18"/>
    </row>
    <row r="947">
      <c r="C947" s="18"/>
      <c r="G947" s="18"/>
      <c r="K947" s="18"/>
    </row>
    <row r="948">
      <c r="C948" s="18"/>
      <c r="G948" s="18"/>
      <c r="K948" s="18"/>
    </row>
    <row r="949">
      <c r="C949" s="18"/>
      <c r="G949" s="18"/>
      <c r="K949" s="18"/>
    </row>
    <row r="950">
      <c r="C950" s="18"/>
      <c r="G950" s="18"/>
      <c r="K950" s="18"/>
    </row>
    <row r="951">
      <c r="C951" s="18"/>
      <c r="G951" s="18"/>
      <c r="K951" s="18"/>
    </row>
    <row r="952">
      <c r="C952" s="18"/>
      <c r="G952" s="18"/>
      <c r="K952" s="18"/>
    </row>
    <row r="953">
      <c r="C953" s="18"/>
      <c r="G953" s="18"/>
      <c r="K953" s="18"/>
    </row>
    <row r="954">
      <c r="C954" s="18"/>
      <c r="G954" s="18"/>
      <c r="K954" s="18"/>
    </row>
    <row r="955">
      <c r="C955" s="18"/>
      <c r="G955" s="18"/>
      <c r="K955" s="18"/>
    </row>
    <row r="956">
      <c r="C956" s="18"/>
      <c r="G956" s="18"/>
      <c r="K956" s="18"/>
    </row>
    <row r="957">
      <c r="C957" s="18"/>
      <c r="G957" s="18"/>
      <c r="K957" s="18"/>
    </row>
    <row r="958">
      <c r="C958" s="18"/>
      <c r="G958" s="18"/>
      <c r="K958" s="18"/>
    </row>
    <row r="959">
      <c r="C959" s="18"/>
      <c r="G959" s="18"/>
      <c r="K959" s="18"/>
    </row>
    <row r="960">
      <c r="C960" s="18"/>
      <c r="G960" s="18"/>
      <c r="K960" s="18"/>
    </row>
    <row r="961">
      <c r="C961" s="18"/>
      <c r="G961" s="18"/>
      <c r="K961" s="18"/>
    </row>
    <row r="962">
      <c r="C962" s="18"/>
      <c r="G962" s="18"/>
      <c r="K962" s="18"/>
    </row>
    <row r="963">
      <c r="C963" s="18"/>
      <c r="G963" s="18"/>
      <c r="K963" s="18"/>
    </row>
    <row r="964">
      <c r="C964" s="18"/>
      <c r="G964" s="18"/>
      <c r="K964" s="18"/>
    </row>
    <row r="965">
      <c r="C965" s="18"/>
      <c r="G965" s="18"/>
      <c r="K965" s="18"/>
    </row>
    <row r="966">
      <c r="C966" s="18"/>
      <c r="G966" s="18"/>
      <c r="K966" s="18"/>
    </row>
    <row r="967">
      <c r="C967" s="18"/>
      <c r="G967" s="18"/>
      <c r="K967" s="18"/>
    </row>
    <row r="968">
      <c r="C968" s="18"/>
      <c r="G968" s="18"/>
      <c r="K968" s="18"/>
    </row>
    <row r="969">
      <c r="C969" s="18"/>
      <c r="G969" s="18"/>
      <c r="K969" s="18"/>
    </row>
    <row r="970">
      <c r="C970" s="18"/>
      <c r="G970" s="18"/>
      <c r="K970" s="18"/>
    </row>
    <row r="971">
      <c r="C971" s="18"/>
      <c r="G971" s="18"/>
      <c r="K971" s="18"/>
    </row>
    <row r="972">
      <c r="C972" s="18"/>
      <c r="G972" s="18"/>
      <c r="K972" s="18"/>
    </row>
    <row r="973">
      <c r="C973" s="18"/>
      <c r="G973" s="18"/>
      <c r="K973" s="18"/>
    </row>
    <row r="974">
      <c r="C974" s="18"/>
      <c r="G974" s="18"/>
      <c r="K974" s="18"/>
    </row>
    <row r="975">
      <c r="C975" s="18"/>
      <c r="G975" s="18"/>
      <c r="K975" s="18"/>
    </row>
    <row r="976">
      <c r="C976" s="18"/>
      <c r="G976" s="18"/>
      <c r="K976" s="18"/>
    </row>
    <row r="977">
      <c r="C977" s="18"/>
      <c r="G977" s="18"/>
      <c r="K977" s="18"/>
    </row>
    <row r="978">
      <c r="C978" s="18"/>
      <c r="G978" s="18"/>
      <c r="K978" s="18"/>
    </row>
    <row r="979">
      <c r="C979" s="18"/>
      <c r="G979" s="18"/>
      <c r="K979" s="18"/>
    </row>
    <row r="980">
      <c r="C980" s="18"/>
      <c r="G980" s="18"/>
      <c r="K980" s="18"/>
    </row>
    <row r="981">
      <c r="C981" s="18"/>
      <c r="G981" s="18"/>
      <c r="K981" s="18"/>
    </row>
    <row r="982">
      <c r="C982" s="18"/>
      <c r="G982" s="18"/>
      <c r="K982" s="18"/>
    </row>
    <row r="983">
      <c r="C983" s="18"/>
      <c r="G983" s="18"/>
      <c r="K983" s="18"/>
    </row>
    <row r="984">
      <c r="C984" s="18"/>
      <c r="G984" s="18"/>
      <c r="K984" s="18"/>
    </row>
    <row r="985">
      <c r="C985" s="18"/>
      <c r="G985" s="18"/>
      <c r="K985" s="18"/>
    </row>
    <row r="986">
      <c r="C986" s="18"/>
      <c r="G986" s="18"/>
      <c r="K986" s="18"/>
    </row>
    <row r="987">
      <c r="C987" s="18"/>
      <c r="G987" s="18"/>
      <c r="K987" s="18"/>
    </row>
    <row r="988">
      <c r="C988" s="18"/>
      <c r="G988" s="18"/>
      <c r="K988" s="18"/>
    </row>
    <row r="989">
      <c r="C989" s="18"/>
      <c r="G989" s="18"/>
      <c r="K989" s="18"/>
    </row>
    <row r="990">
      <c r="C990" s="18"/>
      <c r="G990" s="18"/>
      <c r="K990" s="18"/>
    </row>
    <row r="991">
      <c r="C991" s="18"/>
      <c r="G991" s="18"/>
      <c r="K991" s="18"/>
    </row>
    <row r="992">
      <c r="C992" s="18"/>
      <c r="G992" s="18"/>
      <c r="K992" s="18"/>
    </row>
    <row r="993">
      <c r="C993" s="18"/>
      <c r="G993" s="18"/>
      <c r="K993" s="18"/>
    </row>
    <row r="994">
      <c r="C994" s="18"/>
      <c r="G994" s="18"/>
      <c r="K994" s="18"/>
    </row>
    <row r="995">
      <c r="C995" s="18"/>
      <c r="G995" s="18"/>
      <c r="K995" s="18"/>
    </row>
    <row r="996">
      <c r="C996" s="18"/>
      <c r="G996" s="18"/>
      <c r="K996" s="18"/>
    </row>
    <row r="997">
      <c r="C997" s="18"/>
      <c r="G997" s="18"/>
      <c r="K997" s="18"/>
    </row>
    <row r="998">
      <c r="C998" s="18"/>
      <c r="G998" s="18"/>
      <c r="K998" s="18"/>
    </row>
    <row r="999">
      <c r="C999" s="18"/>
      <c r="G999" s="18"/>
      <c r="K999" s="18"/>
    </row>
    <row r="1000">
      <c r="C1000" s="18"/>
      <c r="G1000" s="18"/>
      <c r="K1000" s="18"/>
    </row>
  </sheetData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K1" s="18"/>
      <c r="M1" s="18"/>
      <c r="O1" s="18"/>
      <c r="Q1" s="18"/>
    </row>
    <row r="2"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</row>
    <row r="3">
      <c r="K3" s="18"/>
      <c r="M3" s="18"/>
      <c r="O3" s="18"/>
      <c r="Q3" s="18"/>
    </row>
    <row r="4">
      <c r="K4" s="18"/>
      <c r="M4" s="18"/>
      <c r="O4" s="18"/>
      <c r="Q4" s="18"/>
    </row>
    <row r="5">
      <c r="K5" s="18"/>
      <c r="M5" s="18"/>
      <c r="O5" s="18"/>
      <c r="Q5" s="18"/>
    </row>
    <row r="6">
      <c r="K6" s="18"/>
      <c r="M6" s="18"/>
      <c r="O6" s="18"/>
      <c r="Q6" s="18"/>
    </row>
    <row r="7">
      <c r="K7" s="18"/>
      <c r="M7" s="18"/>
      <c r="O7" s="18"/>
      <c r="Q7" s="18"/>
    </row>
    <row r="8">
      <c r="K8" s="18"/>
      <c r="M8" s="18"/>
      <c r="O8" s="18"/>
      <c r="Q8" s="18"/>
    </row>
    <row r="9">
      <c r="K9" s="18"/>
      <c r="M9" s="18"/>
      <c r="O9" s="18"/>
      <c r="Q9" s="18"/>
    </row>
    <row r="10">
      <c r="K10" s="18"/>
      <c r="M10" s="18"/>
      <c r="O10" s="18"/>
      <c r="Q10" s="18"/>
    </row>
    <row r="11">
      <c r="K11" s="18"/>
      <c r="M11" s="18"/>
      <c r="O11" s="18"/>
      <c r="Q11" s="18"/>
    </row>
    <row r="12">
      <c r="K12" s="18"/>
      <c r="M12" s="18"/>
      <c r="O12" s="18"/>
      <c r="Q12" s="18"/>
    </row>
    <row r="13">
      <c r="K13" s="18"/>
      <c r="M13" s="18"/>
      <c r="O13" s="18"/>
      <c r="Q13" s="18"/>
    </row>
    <row r="14">
      <c r="K14" s="18"/>
      <c r="M14" s="18"/>
      <c r="O14" s="18"/>
      <c r="Q14" s="18"/>
    </row>
    <row r="15">
      <c r="C15" s="18"/>
      <c r="E15" s="18"/>
      <c r="G15" s="18"/>
      <c r="I15" s="18"/>
      <c r="K15" s="18"/>
      <c r="M15" s="18"/>
      <c r="O15" s="18"/>
      <c r="Q15" s="18"/>
    </row>
    <row r="16">
      <c r="C16" s="18"/>
      <c r="E16" s="18"/>
      <c r="G16" s="18"/>
      <c r="I16" s="18"/>
      <c r="K16" s="18"/>
      <c r="M16" s="18"/>
      <c r="O16" s="18"/>
      <c r="Q16" s="18"/>
    </row>
    <row r="17">
      <c r="C17" s="18"/>
      <c r="E17" s="18"/>
      <c r="G17" s="18"/>
      <c r="I17" s="18"/>
      <c r="K17" s="18"/>
      <c r="M17" s="18"/>
      <c r="O17" s="18"/>
      <c r="Q17" s="18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</row>
    <row r="19"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</row>
    <row r="20" hidden="1"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</row>
    <row r="21"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</row>
    <row r="22"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</row>
    <row r="23"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</row>
    <row r="24"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</row>
    <row r="25"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</row>
    <row r="26"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</row>
    <row r="27"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</row>
    <row r="28"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</row>
    <row r="29"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</row>
    <row r="30"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</row>
    <row r="31"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</row>
    <row r="32"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</row>
    <row r="33"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</row>
    <row r="34">
      <c r="C34" s="18"/>
      <c r="E34" s="18"/>
      <c r="G34" s="18"/>
      <c r="I34" s="18"/>
      <c r="K34" s="18"/>
      <c r="M34" s="18"/>
      <c r="O34" s="18"/>
      <c r="Q34" s="18"/>
    </row>
    <row r="35">
      <c r="C35" s="18"/>
      <c r="E35" s="18"/>
      <c r="G35" s="18"/>
      <c r="I35" s="18"/>
      <c r="K35" s="18"/>
      <c r="M35" s="18"/>
      <c r="O35" s="18"/>
      <c r="Q35" s="18"/>
    </row>
    <row r="36">
      <c r="C36" s="18"/>
      <c r="E36" s="18"/>
      <c r="G36" s="18"/>
      <c r="I36" s="18"/>
      <c r="K36" s="18"/>
      <c r="M36" s="18"/>
      <c r="O36" s="18"/>
      <c r="Q36" s="18"/>
    </row>
    <row r="37">
      <c r="C37" s="18"/>
      <c r="E37" s="18"/>
      <c r="G37" s="18"/>
      <c r="I37" s="18"/>
      <c r="K37" s="18"/>
      <c r="M37" s="18"/>
      <c r="O37" s="18"/>
      <c r="Q37" s="18"/>
    </row>
    <row r="38">
      <c r="C38" s="18"/>
      <c r="E38" s="18"/>
      <c r="G38" s="18"/>
      <c r="I38" s="18"/>
      <c r="K38" s="18"/>
      <c r="M38" s="18"/>
      <c r="O38" s="18"/>
      <c r="Q38" s="18"/>
    </row>
    <row r="39">
      <c r="C39" s="18"/>
      <c r="E39" s="18"/>
      <c r="G39" s="18"/>
      <c r="I39" s="18"/>
      <c r="K39" s="18"/>
      <c r="M39" s="18"/>
      <c r="O39" s="18"/>
      <c r="Q39" s="18"/>
    </row>
    <row r="40">
      <c r="C40" s="18"/>
      <c r="E40" s="18"/>
      <c r="G40" s="18"/>
      <c r="I40" s="18"/>
      <c r="K40" s="18"/>
      <c r="M40" s="18"/>
      <c r="O40" s="18"/>
      <c r="Q40" s="18"/>
    </row>
    <row r="41">
      <c r="C41" s="18"/>
      <c r="E41" s="18"/>
      <c r="G41" s="18"/>
      <c r="I41" s="18"/>
      <c r="K41" s="18"/>
      <c r="M41" s="18"/>
      <c r="O41" s="18"/>
      <c r="Q41" s="18"/>
    </row>
    <row r="42">
      <c r="C42" s="18"/>
      <c r="E42" s="18"/>
      <c r="G42" s="18"/>
      <c r="I42" s="18"/>
      <c r="K42" s="18"/>
      <c r="M42" s="18"/>
      <c r="O42" s="18"/>
      <c r="Q42" s="18"/>
    </row>
    <row r="43">
      <c r="C43" s="18"/>
      <c r="E43" s="18"/>
      <c r="G43" s="18"/>
      <c r="I43" s="18"/>
      <c r="K43" s="18"/>
      <c r="M43" s="18"/>
      <c r="O43" s="18"/>
      <c r="Q43" s="18"/>
    </row>
    <row r="44">
      <c r="C44" s="18"/>
      <c r="E44" s="18"/>
      <c r="G44" s="18"/>
      <c r="I44" s="18"/>
      <c r="K44" s="18"/>
      <c r="M44" s="18"/>
      <c r="O44" s="18"/>
      <c r="Q44" s="18"/>
    </row>
    <row r="45">
      <c r="C45" s="18"/>
      <c r="E45" s="18"/>
      <c r="G45" s="18"/>
      <c r="I45" s="18"/>
      <c r="K45" s="18"/>
      <c r="M45" s="18"/>
      <c r="O45" s="18"/>
      <c r="Q45" s="18"/>
    </row>
    <row r="46">
      <c r="C46" s="18"/>
      <c r="E46" s="18"/>
      <c r="G46" s="18"/>
      <c r="I46" s="18"/>
      <c r="K46" s="18"/>
      <c r="M46" s="18"/>
      <c r="O46" s="18"/>
      <c r="Q46" s="18"/>
    </row>
    <row r="47">
      <c r="C47" s="18"/>
      <c r="E47" s="18"/>
      <c r="G47" s="18"/>
      <c r="I47" s="18"/>
      <c r="K47" s="18"/>
      <c r="M47" s="18"/>
      <c r="O47" s="18"/>
      <c r="Q47" s="18"/>
    </row>
    <row r="48">
      <c r="C48" s="18"/>
      <c r="E48" s="18"/>
      <c r="G48" s="18"/>
      <c r="I48" s="18"/>
      <c r="K48" s="18"/>
      <c r="M48" s="18"/>
      <c r="O48" s="18"/>
      <c r="Q48" s="18"/>
    </row>
    <row r="49">
      <c r="C49" s="18"/>
      <c r="E49" s="18"/>
      <c r="G49" s="18"/>
      <c r="I49" s="18"/>
      <c r="K49" s="18"/>
      <c r="M49" s="18"/>
      <c r="O49" s="18"/>
      <c r="Q49" s="18"/>
    </row>
    <row r="50">
      <c r="C50" s="18"/>
      <c r="E50" s="18"/>
      <c r="G50" s="18"/>
      <c r="I50" s="18"/>
      <c r="K50" s="18"/>
      <c r="M50" s="18"/>
      <c r="O50" s="18"/>
      <c r="Q50" s="18"/>
    </row>
    <row r="51">
      <c r="C51" s="18"/>
      <c r="E51" s="18"/>
      <c r="G51" s="18"/>
      <c r="I51" s="18"/>
      <c r="K51" s="18"/>
      <c r="M51" s="18"/>
      <c r="O51" s="18"/>
      <c r="Q51" s="18"/>
    </row>
    <row r="52">
      <c r="C52" s="18"/>
      <c r="E52" s="18"/>
      <c r="G52" s="18"/>
      <c r="I52" s="18"/>
      <c r="K52" s="18"/>
      <c r="M52" s="18"/>
      <c r="O52" s="18"/>
      <c r="Q52" s="18"/>
    </row>
    <row r="53">
      <c r="C53" s="18"/>
      <c r="E53" s="18"/>
      <c r="G53" s="18"/>
      <c r="I53" s="18"/>
      <c r="K53" s="18"/>
      <c r="M53" s="18"/>
      <c r="O53" s="18"/>
      <c r="Q53" s="18"/>
    </row>
    <row r="54">
      <c r="C54" s="18"/>
      <c r="E54" s="18"/>
      <c r="G54" s="18"/>
      <c r="I54" s="18"/>
      <c r="K54" s="18"/>
      <c r="M54" s="18"/>
      <c r="O54" s="18"/>
      <c r="Q54" s="18"/>
    </row>
    <row r="55">
      <c r="C55" s="18"/>
      <c r="E55" s="18"/>
      <c r="G55" s="18"/>
      <c r="I55" s="18"/>
      <c r="K55" s="18"/>
      <c r="M55" s="18"/>
      <c r="O55" s="18"/>
      <c r="Q55" s="18"/>
    </row>
    <row r="56">
      <c r="C56" s="18"/>
      <c r="E56" s="18"/>
      <c r="G56" s="18"/>
      <c r="I56" s="18"/>
      <c r="K56" s="18"/>
      <c r="M56" s="18"/>
      <c r="O56" s="18"/>
      <c r="Q56" s="18"/>
    </row>
    <row r="57">
      <c r="C57" s="18"/>
      <c r="E57" s="18"/>
      <c r="G57" s="18"/>
      <c r="I57" s="18"/>
      <c r="K57" s="18"/>
      <c r="M57" s="18"/>
      <c r="O57" s="18"/>
      <c r="Q57" s="18"/>
    </row>
    <row r="58">
      <c r="C58" s="18"/>
      <c r="E58" s="18"/>
      <c r="G58" s="18"/>
      <c r="I58" s="18"/>
      <c r="K58" s="18"/>
      <c r="M58" s="18"/>
      <c r="O58" s="18"/>
      <c r="Q58" s="18"/>
    </row>
    <row r="59">
      <c r="C59" s="18"/>
      <c r="E59" s="18"/>
      <c r="G59" s="18"/>
      <c r="I59" s="18"/>
      <c r="K59" s="18"/>
      <c r="M59" s="18"/>
      <c r="O59" s="18"/>
      <c r="Q59" s="18"/>
    </row>
    <row r="60">
      <c r="C60" s="18"/>
      <c r="E60" s="18"/>
      <c r="G60" s="18"/>
      <c r="I60" s="18"/>
      <c r="K60" s="18"/>
      <c r="M60" s="18"/>
      <c r="O60" s="18"/>
      <c r="Q60" s="18"/>
    </row>
    <row r="61">
      <c r="C61" s="18"/>
      <c r="E61" s="18"/>
      <c r="G61" s="18"/>
      <c r="I61" s="18"/>
      <c r="K61" s="18"/>
      <c r="M61" s="18"/>
      <c r="O61" s="18"/>
      <c r="Q61" s="18"/>
    </row>
    <row r="62">
      <c r="C62" s="18"/>
      <c r="E62" s="18"/>
      <c r="G62" s="18"/>
      <c r="I62" s="18"/>
      <c r="K62" s="18"/>
      <c r="M62" s="18"/>
      <c r="O62" s="18"/>
      <c r="Q62" s="18"/>
    </row>
    <row r="63">
      <c r="C63" s="18"/>
      <c r="E63" s="18"/>
      <c r="G63" s="18"/>
      <c r="I63" s="18"/>
      <c r="K63" s="18"/>
      <c r="M63" s="18"/>
      <c r="O63" s="18"/>
      <c r="Q63" s="18"/>
    </row>
    <row r="64">
      <c r="C64" s="18"/>
      <c r="E64" s="18"/>
      <c r="G64" s="18"/>
      <c r="I64" s="18"/>
      <c r="K64" s="18"/>
      <c r="M64" s="18"/>
      <c r="O64" s="18"/>
      <c r="Q64" s="18"/>
    </row>
    <row r="65">
      <c r="C65" s="18"/>
      <c r="E65" s="18"/>
      <c r="G65" s="18"/>
      <c r="I65" s="18"/>
      <c r="K65" s="18"/>
      <c r="M65" s="18"/>
      <c r="O65" s="18"/>
      <c r="Q65" s="18"/>
    </row>
    <row r="66">
      <c r="C66" s="18"/>
      <c r="E66" s="18"/>
      <c r="G66" s="18"/>
      <c r="I66" s="18"/>
      <c r="K66" s="18"/>
      <c r="M66" s="18"/>
      <c r="O66" s="18"/>
      <c r="Q66" s="18"/>
    </row>
    <row r="67">
      <c r="C67" s="18"/>
      <c r="E67" s="18"/>
      <c r="G67" s="18"/>
      <c r="I67" s="18"/>
      <c r="K67" s="18"/>
      <c r="M67" s="18"/>
      <c r="O67" s="18"/>
      <c r="Q67" s="18"/>
    </row>
    <row r="68">
      <c r="C68" s="18"/>
      <c r="E68" s="18"/>
      <c r="G68" s="18"/>
      <c r="I68" s="18"/>
      <c r="K68" s="18"/>
      <c r="M68" s="18"/>
      <c r="O68" s="18"/>
      <c r="Q68" s="18"/>
    </row>
    <row r="69">
      <c r="C69" s="18"/>
      <c r="E69" s="18"/>
      <c r="G69" s="18"/>
      <c r="I69" s="18"/>
      <c r="K69" s="18"/>
      <c r="M69" s="18"/>
      <c r="O69" s="18"/>
      <c r="Q69" s="18"/>
    </row>
    <row r="70">
      <c r="C70" s="18"/>
      <c r="E70" s="18"/>
      <c r="G70" s="18"/>
      <c r="I70" s="18"/>
      <c r="K70" s="18"/>
      <c r="M70" s="18"/>
      <c r="O70" s="18"/>
      <c r="Q70" s="18"/>
    </row>
    <row r="71">
      <c r="C71" s="18"/>
      <c r="E71" s="18"/>
      <c r="G71" s="18"/>
      <c r="I71" s="18"/>
      <c r="K71" s="18"/>
      <c r="M71" s="18"/>
      <c r="O71" s="18"/>
      <c r="Q71" s="18"/>
    </row>
    <row r="72">
      <c r="C72" s="18"/>
      <c r="E72" s="18"/>
      <c r="G72" s="18"/>
      <c r="I72" s="18"/>
      <c r="K72" s="18"/>
      <c r="M72" s="18"/>
      <c r="O72" s="18"/>
      <c r="Q72" s="18"/>
    </row>
    <row r="73">
      <c r="C73" s="18"/>
      <c r="E73" s="18"/>
      <c r="G73" s="18"/>
      <c r="I73" s="18"/>
      <c r="K73" s="18"/>
      <c r="M73" s="18"/>
      <c r="O73" s="18"/>
      <c r="Q73" s="18"/>
    </row>
    <row r="74">
      <c r="C74" s="18"/>
      <c r="E74" s="18"/>
      <c r="G74" s="18"/>
      <c r="I74" s="18"/>
      <c r="K74" s="18"/>
      <c r="M74" s="18"/>
      <c r="O74" s="18"/>
      <c r="Q74" s="18"/>
    </row>
    <row r="75">
      <c r="C75" s="18"/>
      <c r="E75" s="18"/>
      <c r="G75" s="18"/>
      <c r="I75" s="18"/>
      <c r="K75" s="18"/>
      <c r="M75" s="18"/>
      <c r="O75" s="18"/>
      <c r="Q75" s="18"/>
    </row>
    <row r="76">
      <c r="C76" s="18"/>
      <c r="E76" s="18"/>
      <c r="G76" s="18"/>
      <c r="I76" s="18"/>
      <c r="K76" s="18"/>
      <c r="M76" s="18"/>
      <c r="O76" s="18"/>
      <c r="Q76" s="18"/>
    </row>
    <row r="77">
      <c r="C77" s="18"/>
      <c r="E77" s="18"/>
      <c r="G77" s="18"/>
      <c r="I77" s="18"/>
      <c r="K77" s="18"/>
      <c r="M77" s="18"/>
      <c r="O77" s="18"/>
      <c r="Q77" s="18"/>
    </row>
    <row r="78">
      <c r="C78" s="18"/>
      <c r="E78" s="18"/>
      <c r="G78" s="18"/>
      <c r="I78" s="18"/>
      <c r="K78" s="18"/>
      <c r="M78" s="18"/>
      <c r="O78" s="18"/>
      <c r="Q78" s="18"/>
    </row>
    <row r="79">
      <c r="C79" s="18"/>
      <c r="E79" s="18"/>
      <c r="G79" s="18"/>
      <c r="I79" s="18"/>
      <c r="K79" s="18"/>
      <c r="M79" s="18"/>
      <c r="O79" s="18"/>
      <c r="Q79" s="18"/>
    </row>
    <row r="80">
      <c r="C80" s="18"/>
      <c r="E80" s="18"/>
      <c r="G80" s="18"/>
      <c r="I80" s="18"/>
      <c r="K80" s="18"/>
      <c r="M80" s="18"/>
      <c r="O80" s="18"/>
      <c r="Q80" s="18"/>
    </row>
    <row r="81">
      <c r="C81" s="18"/>
      <c r="E81" s="18"/>
      <c r="G81" s="18"/>
      <c r="I81" s="18"/>
      <c r="K81" s="18"/>
      <c r="M81" s="18"/>
      <c r="O81" s="18"/>
      <c r="Q81" s="18"/>
    </row>
    <row r="82">
      <c r="C82" s="18"/>
      <c r="E82" s="18"/>
      <c r="G82" s="18"/>
      <c r="I82" s="18"/>
      <c r="K82" s="18"/>
      <c r="M82" s="18"/>
      <c r="O82" s="18"/>
      <c r="Q82" s="18"/>
    </row>
    <row r="83">
      <c r="C83" s="18"/>
      <c r="E83" s="18"/>
      <c r="G83" s="18"/>
      <c r="I83" s="18"/>
      <c r="K83" s="18"/>
      <c r="M83" s="18"/>
      <c r="O83" s="18"/>
      <c r="Q83" s="18"/>
    </row>
    <row r="84">
      <c r="C84" s="18"/>
      <c r="E84" s="18"/>
      <c r="G84" s="18"/>
      <c r="I84" s="18"/>
      <c r="K84" s="18"/>
      <c r="M84" s="18"/>
      <c r="O84" s="18"/>
      <c r="Q84" s="18"/>
    </row>
    <row r="85">
      <c r="C85" s="18"/>
      <c r="E85" s="18"/>
      <c r="G85" s="18"/>
      <c r="I85" s="18"/>
      <c r="K85" s="18"/>
      <c r="M85" s="18"/>
      <c r="O85" s="18"/>
      <c r="Q85" s="18"/>
    </row>
    <row r="86">
      <c r="C86" s="18"/>
      <c r="E86" s="18"/>
      <c r="G86" s="18"/>
      <c r="I86" s="18"/>
      <c r="K86" s="18"/>
      <c r="M86" s="18"/>
      <c r="O86" s="18"/>
      <c r="Q86" s="18"/>
    </row>
    <row r="87">
      <c r="C87" s="18"/>
      <c r="E87" s="18"/>
      <c r="G87" s="18"/>
      <c r="I87" s="18"/>
      <c r="K87" s="18"/>
      <c r="M87" s="18"/>
      <c r="O87" s="18"/>
      <c r="Q87" s="18"/>
    </row>
    <row r="88">
      <c r="C88" s="18"/>
      <c r="E88" s="18"/>
      <c r="G88" s="18"/>
      <c r="I88" s="18"/>
      <c r="K88" s="18"/>
      <c r="M88" s="18"/>
      <c r="O88" s="18"/>
      <c r="Q88" s="18"/>
    </row>
    <row r="89">
      <c r="C89" s="18"/>
      <c r="E89" s="18"/>
      <c r="G89" s="18"/>
      <c r="I89" s="18"/>
      <c r="K89" s="18"/>
      <c r="M89" s="18"/>
      <c r="O89" s="18"/>
      <c r="Q89" s="18"/>
    </row>
    <row r="90">
      <c r="C90" s="18"/>
      <c r="E90" s="18"/>
      <c r="G90" s="18"/>
      <c r="I90" s="18"/>
      <c r="K90" s="18"/>
      <c r="M90" s="18"/>
      <c r="O90" s="18"/>
      <c r="Q90" s="18"/>
    </row>
    <row r="91">
      <c r="C91" s="18"/>
      <c r="E91" s="18"/>
      <c r="G91" s="18"/>
      <c r="I91" s="18"/>
      <c r="K91" s="18"/>
      <c r="M91" s="18"/>
      <c r="O91" s="18"/>
      <c r="Q91" s="18"/>
    </row>
    <row r="92">
      <c r="C92" s="18"/>
      <c r="E92" s="18"/>
      <c r="G92" s="18"/>
      <c r="I92" s="18"/>
      <c r="K92" s="18"/>
      <c r="M92" s="18"/>
      <c r="O92" s="18"/>
      <c r="Q92" s="18"/>
    </row>
    <row r="93">
      <c r="C93" s="18"/>
      <c r="E93" s="18"/>
      <c r="G93" s="18"/>
      <c r="I93" s="18"/>
      <c r="K93" s="18"/>
      <c r="M93" s="18"/>
      <c r="O93" s="18"/>
      <c r="Q93" s="18"/>
    </row>
    <row r="94">
      <c r="C94" s="18"/>
      <c r="E94" s="18"/>
      <c r="G94" s="18"/>
      <c r="I94" s="18"/>
      <c r="K94" s="18"/>
      <c r="M94" s="18"/>
      <c r="O94" s="18"/>
      <c r="Q94" s="18"/>
    </row>
    <row r="95">
      <c r="C95" s="18"/>
      <c r="E95" s="18"/>
      <c r="G95" s="18"/>
      <c r="I95" s="18"/>
      <c r="K95" s="18"/>
      <c r="M95" s="18"/>
      <c r="O95" s="18"/>
      <c r="Q95" s="18"/>
    </row>
    <row r="96">
      <c r="C96" s="18"/>
      <c r="E96" s="18"/>
      <c r="G96" s="18"/>
      <c r="I96" s="18"/>
      <c r="K96" s="18"/>
      <c r="M96" s="18"/>
      <c r="O96" s="18"/>
      <c r="Q96" s="18"/>
    </row>
    <row r="97">
      <c r="C97" s="18"/>
      <c r="E97" s="18"/>
      <c r="G97" s="18"/>
      <c r="I97" s="18"/>
      <c r="K97" s="18"/>
      <c r="M97" s="18"/>
      <c r="O97" s="18"/>
      <c r="Q97" s="18"/>
    </row>
    <row r="98">
      <c r="C98" s="18"/>
      <c r="E98" s="18"/>
      <c r="G98" s="18"/>
      <c r="I98" s="18"/>
      <c r="K98" s="18"/>
      <c r="M98" s="18"/>
      <c r="O98" s="18"/>
      <c r="Q98" s="18"/>
    </row>
    <row r="99">
      <c r="C99" s="18"/>
      <c r="E99" s="18"/>
      <c r="G99" s="18"/>
      <c r="I99" s="18"/>
      <c r="K99" s="18"/>
      <c r="M99" s="18"/>
      <c r="O99" s="18"/>
      <c r="Q99" s="18"/>
    </row>
    <row r="100">
      <c r="C100" s="18"/>
      <c r="E100" s="18"/>
      <c r="G100" s="18"/>
      <c r="I100" s="18"/>
      <c r="K100" s="18"/>
      <c r="M100" s="18"/>
      <c r="O100" s="18"/>
      <c r="Q100" s="18"/>
    </row>
    <row r="101">
      <c r="C101" s="18"/>
      <c r="E101" s="18"/>
      <c r="G101" s="18"/>
      <c r="I101" s="18"/>
      <c r="K101" s="18"/>
      <c r="M101" s="18"/>
      <c r="O101" s="18"/>
      <c r="Q101" s="18"/>
    </row>
    <row r="102">
      <c r="C102" s="18"/>
      <c r="E102" s="18"/>
      <c r="G102" s="18"/>
      <c r="I102" s="18"/>
      <c r="K102" s="18"/>
      <c r="M102" s="18"/>
      <c r="O102" s="18"/>
      <c r="Q102" s="18"/>
    </row>
    <row r="103">
      <c r="C103" s="18"/>
      <c r="E103" s="18"/>
      <c r="G103" s="18"/>
      <c r="I103" s="18"/>
      <c r="K103" s="18"/>
      <c r="M103" s="18"/>
      <c r="O103" s="18"/>
      <c r="Q103" s="18"/>
    </row>
    <row r="104">
      <c r="C104" s="18"/>
      <c r="E104" s="18"/>
      <c r="G104" s="18"/>
      <c r="I104" s="18"/>
      <c r="K104" s="18"/>
      <c r="M104" s="18"/>
      <c r="O104" s="18"/>
      <c r="Q104" s="18"/>
    </row>
    <row r="105">
      <c r="C105" s="18"/>
      <c r="E105" s="18"/>
      <c r="G105" s="18"/>
      <c r="I105" s="18"/>
      <c r="K105" s="18"/>
      <c r="M105" s="18"/>
      <c r="O105" s="18"/>
      <c r="Q105" s="18"/>
    </row>
    <row r="106">
      <c r="C106" s="18"/>
      <c r="E106" s="18"/>
      <c r="G106" s="18"/>
      <c r="I106" s="18"/>
      <c r="K106" s="18"/>
      <c r="M106" s="18"/>
      <c r="O106" s="18"/>
      <c r="Q106" s="18"/>
    </row>
    <row r="107">
      <c r="C107" s="18"/>
      <c r="E107" s="18"/>
      <c r="G107" s="18"/>
      <c r="I107" s="18"/>
      <c r="K107" s="18"/>
      <c r="M107" s="18"/>
      <c r="O107" s="18"/>
      <c r="Q107" s="18"/>
    </row>
    <row r="108">
      <c r="C108" s="18"/>
      <c r="E108" s="18"/>
      <c r="G108" s="18"/>
      <c r="I108" s="18"/>
      <c r="K108" s="18"/>
      <c r="M108" s="18"/>
      <c r="O108" s="18"/>
      <c r="Q108" s="18"/>
    </row>
    <row r="109">
      <c r="C109" s="18"/>
      <c r="E109" s="18"/>
      <c r="G109" s="18"/>
      <c r="I109" s="18"/>
      <c r="K109" s="18"/>
      <c r="M109" s="18"/>
      <c r="O109" s="18"/>
      <c r="Q109" s="18"/>
    </row>
    <row r="110">
      <c r="C110" s="18"/>
      <c r="E110" s="18"/>
      <c r="G110" s="18"/>
      <c r="I110" s="18"/>
      <c r="K110" s="18"/>
      <c r="M110" s="18"/>
      <c r="O110" s="18"/>
      <c r="Q110" s="18"/>
    </row>
    <row r="111">
      <c r="C111" s="18"/>
      <c r="E111" s="18"/>
      <c r="G111" s="18"/>
      <c r="I111" s="18"/>
      <c r="K111" s="18"/>
      <c r="M111" s="18"/>
      <c r="O111" s="18"/>
      <c r="Q111" s="18"/>
    </row>
    <row r="112">
      <c r="C112" s="18"/>
      <c r="E112" s="18"/>
      <c r="G112" s="18"/>
      <c r="I112" s="18"/>
      <c r="K112" s="18"/>
      <c r="M112" s="18"/>
      <c r="O112" s="18"/>
      <c r="Q112" s="18"/>
    </row>
    <row r="113">
      <c r="C113" s="18"/>
      <c r="E113" s="18"/>
      <c r="G113" s="18"/>
      <c r="I113" s="18"/>
      <c r="K113" s="18"/>
      <c r="M113" s="18"/>
      <c r="O113" s="18"/>
      <c r="Q113" s="18"/>
    </row>
    <row r="114">
      <c r="C114" s="18"/>
      <c r="E114" s="18"/>
      <c r="G114" s="18"/>
      <c r="I114" s="18"/>
      <c r="K114" s="18"/>
      <c r="M114" s="18"/>
      <c r="O114" s="18"/>
      <c r="Q114" s="18"/>
    </row>
    <row r="115">
      <c r="C115" s="18"/>
      <c r="E115" s="18"/>
      <c r="G115" s="18"/>
      <c r="I115" s="18"/>
      <c r="K115" s="18"/>
      <c r="M115" s="18"/>
      <c r="O115" s="18"/>
      <c r="Q115" s="18"/>
    </row>
    <row r="116">
      <c r="C116" s="18"/>
      <c r="E116" s="18"/>
      <c r="G116" s="18"/>
      <c r="I116" s="18"/>
      <c r="K116" s="18"/>
      <c r="M116" s="18"/>
      <c r="O116" s="18"/>
      <c r="Q116" s="18"/>
    </row>
    <row r="117">
      <c r="C117" s="18"/>
      <c r="E117" s="18"/>
      <c r="G117" s="18"/>
      <c r="I117" s="18"/>
      <c r="K117" s="18"/>
      <c r="M117" s="18"/>
      <c r="O117" s="18"/>
      <c r="Q117" s="18"/>
    </row>
    <row r="118">
      <c r="C118" s="18"/>
      <c r="E118" s="18"/>
      <c r="G118" s="18"/>
      <c r="I118" s="18"/>
      <c r="K118" s="18"/>
      <c r="M118" s="18"/>
      <c r="O118" s="18"/>
      <c r="Q118" s="18"/>
    </row>
    <row r="119">
      <c r="C119" s="18"/>
      <c r="E119" s="18"/>
      <c r="G119" s="18"/>
      <c r="I119" s="18"/>
      <c r="K119" s="18"/>
      <c r="M119" s="18"/>
      <c r="O119" s="18"/>
      <c r="Q119" s="18"/>
    </row>
    <row r="120">
      <c r="C120" s="18"/>
      <c r="E120" s="18"/>
      <c r="G120" s="18"/>
      <c r="I120" s="18"/>
      <c r="K120" s="18"/>
      <c r="M120" s="18"/>
      <c r="O120" s="18"/>
      <c r="Q120" s="18"/>
    </row>
    <row r="121">
      <c r="C121" s="18"/>
      <c r="E121" s="18"/>
      <c r="G121" s="18"/>
      <c r="I121" s="18"/>
      <c r="K121" s="18"/>
      <c r="M121" s="18"/>
      <c r="O121" s="18"/>
      <c r="Q121" s="18"/>
    </row>
    <row r="122">
      <c r="C122" s="18"/>
      <c r="E122" s="18"/>
      <c r="G122" s="18"/>
      <c r="I122" s="18"/>
      <c r="K122" s="18"/>
      <c r="M122" s="18"/>
      <c r="O122" s="18"/>
      <c r="Q122" s="18"/>
    </row>
    <row r="123">
      <c r="C123" s="18"/>
      <c r="E123" s="18"/>
      <c r="G123" s="18"/>
      <c r="I123" s="18"/>
      <c r="K123" s="18"/>
      <c r="M123" s="18"/>
      <c r="O123" s="18"/>
      <c r="Q123" s="18"/>
    </row>
    <row r="124">
      <c r="C124" s="18"/>
      <c r="E124" s="18"/>
      <c r="G124" s="18"/>
      <c r="I124" s="18"/>
      <c r="K124" s="18"/>
      <c r="M124" s="18"/>
      <c r="O124" s="18"/>
      <c r="Q124" s="18"/>
    </row>
    <row r="125">
      <c r="C125" s="18"/>
      <c r="E125" s="18"/>
      <c r="G125" s="18"/>
      <c r="I125" s="18"/>
      <c r="K125" s="18"/>
      <c r="M125" s="18"/>
      <c r="O125" s="18"/>
      <c r="Q125" s="18"/>
    </row>
    <row r="126">
      <c r="C126" s="18"/>
      <c r="E126" s="18"/>
      <c r="G126" s="18"/>
      <c r="I126" s="18"/>
      <c r="K126" s="18"/>
      <c r="M126" s="18"/>
      <c r="O126" s="18"/>
      <c r="Q126" s="18"/>
    </row>
    <row r="127">
      <c r="C127" s="18"/>
      <c r="E127" s="18"/>
      <c r="G127" s="18"/>
      <c r="I127" s="18"/>
      <c r="K127" s="18"/>
      <c r="M127" s="18"/>
      <c r="O127" s="18"/>
      <c r="Q127" s="18"/>
    </row>
    <row r="128">
      <c r="C128" s="18"/>
      <c r="E128" s="18"/>
      <c r="G128" s="18"/>
      <c r="I128" s="18"/>
      <c r="K128" s="18"/>
      <c r="M128" s="18"/>
      <c r="O128" s="18"/>
      <c r="Q128" s="18"/>
    </row>
    <row r="129">
      <c r="C129" s="18"/>
      <c r="E129" s="18"/>
      <c r="G129" s="18"/>
      <c r="I129" s="18"/>
      <c r="K129" s="18"/>
      <c r="M129" s="18"/>
      <c r="O129" s="18"/>
      <c r="Q129" s="18"/>
    </row>
    <row r="130">
      <c r="C130" s="18"/>
      <c r="E130" s="18"/>
      <c r="G130" s="18"/>
      <c r="I130" s="18"/>
      <c r="K130" s="18"/>
      <c r="M130" s="18"/>
      <c r="O130" s="18"/>
      <c r="Q130" s="18"/>
    </row>
    <row r="131">
      <c r="C131" s="18"/>
      <c r="E131" s="18"/>
      <c r="G131" s="18"/>
      <c r="I131" s="18"/>
      <c r="K131" s="18"/>
      <c r="M131" s="18"/>
      <c r="O131" s="18"/>
      <c r="Q131" s="18"/>
    </row>
    <row r="132">
      <c r="C132" s="18"/>
      <c r="E132" s="18"/>
      <c r="G132" s="18"/>
      <c r="I132" s="18"/>
      <c r="K132" s="18"/>
      <c r="M132" s="18"/>
      <c r="O132" s="18"/>
      <c r="Q132" s="18"/>
    </row>
    <row r="133">
      <c r="C133" s="18"/>
      <c r="E133" s="18"/>
      <c r="G133" s="18"/>
      <c r="I133" s="18"/>
      <c r="K133" s="18"/>
      <c r="M133" s="18"/>
      <c r="O133" s="18"/>
      <c r="Q133" s="18"/>
    </row>
    <row r="134">
      <c r="C134" s="18"/>
      <c r="E134" s="18"/>
      <c r="G134" s="18"/>
      <c r="I134" s="18"/>
      <c r="K134" s="18"/>
      <c r="M134" s="18"/>
      <c r="O134" s="18"/>
      <c r="Q134" s="18"/>
    </row>
    <row r="135">
      <c r="C135" s="18"/>
      <c r="E135" s="18"/>
      <c r="G135" s="18"/>
      <c r="I135" s="18"/>
      <c r="K135" s="18"/>
      <c r="M135" s="18"/>
      <c r="O135" s="18"/>
      <c r="Q135" s="18"/>
    </row>
    <row r="136">
      <c r="C136" s="18"/>
      <c r="E136" s="18"/>
      <c r="G136" s="18"/>
      <c r="I136" s="18"/>
      <c r="K136" s="18"/>
      <c r="M136" s="18"/>
      <c r="O136" s="18"/>
      <c r="Q136" s="18"/>
    </row>
    <row r="137">
      <c r="C137" s="18"/>
      <c r="E137" s="18"/>
      <c r="G137" s="18"/>
      <c r="I137" s="18"/>
      <c r="K137" s="18"/>
      <c r="M137" s="18"/>
      <c r="O137" s="18"/>
      <c r="Q137" s="18"/>
    </row>
    <row r="138">
      <c r="C138" s="18"/>
      <c r="E138" s="18"/>
      <c r="G138" s="18"/>
      <c r="I138" s="18"/>
      <c r="K138" s="18"/>
      <c r="M138" s="18"/>
      <c r="O138" s="18"/>
      <c r="Q138" s="18"/>
    </row>
    <row r="139">
      <c r="C139" s="18"/>
      <c r="E139" s="18"/>
      <c r="G139" s="18"/>
      <c r="I139" s="18"/>
      <c r="K139" s="18"/>
      <c r="M139" s="18"/>
      <c r="O139" s="18"/>
      <c r="Q139" s="18"/>
    </row>
    <row r="140">
      <c r="C140" s="18"/>
      <c r="E140" s="18"/>
      <c r="G140" s="18"/>
      <c r="I140" s="18"/>
      <c r="K140" s="18"/>
      <c r="M140" s="18"/>
      <c r="O140" s="18"/>
      <c r="Q140" s="18"/>
    </row>
    <row r="141">
      <c r="C141" s="18"/>
      <c r="E141" s="18"/>
      <c r="G141" s="18"/>
      <c r="I141" s="18"/>
      <c r="K141" s="18"/>
      <c r="M141" s="18"/>
      <c r="O141" s="18"/>
      <c r="Q141" s="18"/>
    </row>
    <row r="142">
      <c r="C142" s="18"/>
      <c r="E142" s="18"/>
      <c r="G142" s="18"/>
      <c r="I142" s="18"/>
      <c r="K142" s="18"/>
      <c r="M142" s="18"/>
      <c r="O142" s="18"/>
      <c r="Q142" s="18"/>
    </row>
    <row r="143">
      <c r="C143" s="18"/>
      <c r="E143" s="18"/>
      <c r="G143" s="18"/>
      <c r="I143" s="18"/>
      <c r="K143" s="18"/>
      <c r="M143" s="18"/>
      <c r="O143" s="18"/>
      <c r="Q143" s="18"/>
    </row>
    <row r="144">
      <c r="C144" s="18"/>
      <c r="E144" s="18"/>
      <c r="G144" s="18"/>
      <c r="I144" s="18"/>
      <c r="K144" s="18"/>
      <c r="M144" s="18"/>
      <c r="O144" s="18"/>
      <c r="Q144" s="18"/>
    </row>
    <row r="145">
      <c r="C145" s="18"/>
      <c r="E145" s="18"/>
      <c r="G145" s="18"/>
      <c r="I145" s="18"/>
      <c r="K145" s="18"/>
      <c r="M145" s="18"/>
      <c r="O145" s="18"/>
      <c r="Q145" s="18"/>
    </row>
    <row r="146">
      <c r="C146" s="18"/>
      <c r="E146" s="18"/>
      <c r="G146" s="18"/>
      <c r="I146" s="18"/>
      <c r="K146" s="18"/>
      <c r="M146" s="18"/>
      <c r="O146" s="18"/>
      <c r="Q146" s="18"/>
    </row>
    <row r="147">
      <c r="C147" s="18"/>
      <c r="E147" s="18"/>
      <c r="G147" s="18"/>
      <c r="I147" s="18"/>
      <c r="K147" s="18"/>
      <c r="M147" s="18"/>
      <c r="O147" s="18"/>
      <c r="Q147" s="18"/>
    </row>
    <row r="148">
      <c r="C148" s="18"/>
      <c r="E148" s="18"/>
      <c r="G148" s="18"/>
      <c r="I148" s="18"/>
      <c r="K148" s="18"/>
      <c r="M148" s="18"/>
      <c r="O148" s="18"/>
      <c r="Q148" s="18"/>
    </row>
    <row r="149">
      <c r="C149" s="18"/>
      <c r="E149" s="18"/>
      <c r="G149" s="18"/>
      <c r="I149" s="18"/>
      <c r="K149" s="18"/>
      <c r="M149" s="18"/>
      <c r="O149" s="18"/>
      <c r="Q149" s="18"/>
    </row>
    <row r="150">
      <c r="C150" s="18"/>
      <c r="E150" s="18"/>
      <c r="G150" s="18"/>
      <c r="I150" s="18"/>
      <c r="K150" s="18"/>
      <c r="M150" s="18"/>
      <c r="O150" s="18"/>
      <c r="Q150" s="18"/>
    </row>
    <row r="151">
      <c r="C151" s="18"/>
      <c r="E151" s="18"/>
      <c r="G151" s="18"/>
      <c r="I151" s="18"/>
      <c r="K151" s="18"/>
      <c r="M151" s="18"/>
      <c r="O151" s="18"/>
      <c r="Q151" s="18"/>
    </row>
    <row r="152">
      <c r="C152" s="18"/>
      <c r="E152" s="18"/>
      <c r="G152" s="18"/>
      <c r="I152" s="18"/>
      <c r="K152" s="18"/>
      <c r="M152" s="18"/>
      <c r="O152" s="18"/>
      <c r="Q152" s="18"/>
    </row>
    <row r="153">
      <c r="C153" s="18"/>
      <c r="E153" s="18"/>
      <c r="G153" s="18"/>
      <c r="I153" s="18"/>
      <c r="K153" s="18"/>
      <c r="M153" s="18"/>
      <c r="O153" s="18"/>
      <c r="Q153" s="18"/>
    </row>
    <row r="154">
      <c r="C154" s="18"/>
      <c r="E154" s="18"/>
      <c r="G154" s="18"/>
      <c r="I154" s="18"/>
      <c r="K154" s="18"/>
      <c r="M154" s="18"/>
      <c r="O154" s="18"/>
      <c r="Q154" s="18"/>
    </row>
    <row r="155">
      <c r="C155" s="18"/>
      <c r="E155" s="18"/>
      <c r="G155" s="18"/>
      <c r="I155" s="18"/>
      <c r="K155" s="18"/>
      <c r="M155" s="18"/>
      <c r="O155" s="18"/>
      <c r="Q155" s="18"/>
    </row>
    <row r="156">
      <c r="C156" s="18"/>
      <c r="E156" s="18"/>
      <c r="G156" s="18"/>
      <c r="I156" s="18"/>
      <c r="K156" s="18"/>
      <c r="M156" s="18"/>
      <c r="O156" s="18"/>
      <c r="Q156" s="18"/>
    </row>
    <row r="157">
      <c r="C157" s="18"/>
      <c r="E157" s="18"/>
      <c r="G157" s="18"/>
      <c r="I157" s="18"/>
      <c r="K157" s="18"/>
      <c r="M157" s="18"/>
      <c r="O157" s="18"/>
      <c r="Q157" s="18"/>
    </row>
    <row r="158">
      <c r="C158" s="18"/>
      <c r="E158" s="18"/>
      <c r="G158" s="18"/>
      <c r="I158" s="18"/>
      <c r="K158" s="18"/>
      <c r="M158" s="18"/>
      <c r="O158" s="18"/>
      <c r="Q158" s="18"/>
    </row>
    <row r="159">
      <c r="C159" s="18"/>
      <c r="E159" s="18"/>
      <c r="G159" s="18"/>
      <c r="I159" s="18"/>
      <c r="K159" s="18"/>
      <c r="M159" s="18"/>
      <c r="O159" s="18"/>
      <c r="Q159" s="18"/>
    </row>
    <row r="160">
      <c r="C160" s="18"/>
      <c r="E160" s="18"/>
      <c r="G160" s="18"/>
      <c r="I160" s="18"/>
      <c r="K160" s="18"/>
      <c r="M160" s="18"/>
      <c r="O160" s="18"/>
      <c r="Q160" s="18"/>
    </row>
    <row r="161">
      <c r="C161" s="18"/>
      <c r="E161" s="18"/>
      <c r="G161" s="18"/>
      <c r="I161" s="18"/>
      <c r="K161" s="18"/>
      <c r="M161" s="18"/>
      <c r="O161" s="18"/>
      <c r="Q161" s="18"/>
    </row>
    <row r="162">
      <c r="C162" s="18"/>
      <c r="E162" s="18"/>
      <c r="G162" s="18"/>
      <c r="I162" s="18"/>
      <c r="K162" s="18"/>
      <c r="M162" s="18"/>
      <c r="O162" s="18"/>
      <c r="Q162" s="18"/>
    </row>
    <row r="163">
      <c r="C163" s="18"/>
      <c r="E163" s="18"/>
      <c r="G163" s="18"/>
      <c r="I163" s="18"/>
      <c r="K163" s="18"/>
      <c r="M163" s="18"/>
      <c r="O163" s="18"/>
      <c r="Q163" s="18"/>
    </row>
    <row r="164">
      <c r="C164" s="18"/>
      <c r="E164" s="18"/>
      <c r="G164" s="18"/>
      <c r="I164" s="18"/>
      <c r="K164" s="18"/>
      <c r="M164" s="18"/>
      <c r="O164" s="18"/>
      <c r="Q164" s="18"/>
    </row>
    <row r="165">
      <c r="C165" s="18"/>
      <c r="E165" s="18"/>
      <c r="G165" s="18"/>
      <c r="I165" s="18"/>
      <c r="K165" s="18"/>
      <c r="M165" s="18"/>
      <c r="O165" s="18"/>
      <c r="Q165" s="18"/>
    </row>
    <row r="166">
      <c r="C166" s="18"/>
      <c r="E166" s="18"/>
      <c r="G166" s="18"/>
      <c r="I166" s="18"/>
      <c r="K166" s="18"/>
      <c r="M166" s="18"/>
      <c r="O166" s="18"/>
      <c r="Q166" s="18"/>
    </row>
    <row r="167">
      <c r="C167" s="18"/>
      <c r="E167" s="18"/>
      <c r="G167" s="18"/>
      <c r="I167" s="18"/>
      <c r="K167" s="18"/>
      <c r="M167" s="18"/>
      <c r="O167" s="18"/>
      <c r="Q167" s="18"/>
    </row>
    <row r="168">
      <c r="C168" s="18"/>
      <c r="E168" s="18"/>
      <c r="G168" s="18"/>
      <c r="I168" s="18"/>
      <c r="K168" s="18"/>
      <c r="M168" s="18"/>
      <c r="O168" s="18"/>
      <c r="Q168" s="18"/>
    </row>
    <row r="169">
      <c r="C169" s="18"/>
      <c r="E169" s="18"/>
      <c r="G169" s="18"/>
      <c r="I169" s="18"/>
      <c r="K169" s="18"/>
      <c r="M169" s="18"/>
      <c r="O169" s="18"/>
      <c r="Q169" s="18"/>
    </row>
    <row r="170">
      <c r="C170" s="18"/>
      <c r="E170" s="18"/>
      <c r="G170" s="18"/>
      <c r="I170" s="18"/>
      <c r="K170" s="18"/>
      <c r="M170" s="18"/>
      <c r="O170" s="18"/>
      <c r="Q170" s="18"/>
    </row>
    <row r="171">
      <c r="C171" s="18"/>
      <c r="E171" s="18"/>
      <c r="G171" s="18"/>
      <c r="I171" s="18"/>
      <c r="K171" s="18"/>
      <c r="M171" s="18"/>
      <c r="O171" s="18"/>
      <c r="Q171" s="18"/>
    </row>
    <row r="172">
      <c r="C172" s="18"/>
      <c r="E172" s="18"/>
      <c r="G172" s="18"/>
      <c r="I172" s="18"/>
      <c r="K172" s="18"/>
      <c r="M172" s="18"/>
      <c r="O172" s="18"/>
      <c r="Q172" s="18"/>
    </row>
    <row r="173">
      <c r="C173" s="18"/>
      <c r="E173" s="18"/>
      <c r="G173" s="18"/>
      <c r="I173" s="18"/>
      <c r="K173" s="18"/>
      <c r="M173" s="18"/>
      <c r="O173" s="18"/>
      <c r="Q173" s="18"/>
    </row>
    <row r="174">
      <c r="C174" s="18"/>
      <c r="E174" s="18"/>
      <c r="G174" s="18"/>
      <c r="I174" s="18"/>
      <c r="K174" s="18"/>
      <c r="M174" s="18"/>
      <c r="O174" s="18"/>
      <c r="Q174" s="18"/>
    </row>
    <row r="175">
      <c r="C175" s="18"/>
      <c r="E175" s="18"/>
      <c r="G175" s="18"/>
      <c r="I175" s="18"/>
      <c r="K175" s="18"/>
      <c r="M175" s="18"/>
      <c r="O175" s="18"/>
      <c r="Q175" s="18"/>
    </row>
    <row r="176">
      <c r="C176" s="18"/>
      <c r="E176" s="18"/>
      <c r="G176" s="18"/>
      <c r="I176" s="18"/>
      <c r="K176" s="18"/>
      <c r="M176" s="18"/>
      <c r="O176" s="18"/>
      <c r="Q176" s="18"/>
    </row>
    <row r="177">
      <c r="C177" s="18"/>
      <c r="E177" s="18"/>
      <c r="G177" s="18"/>
      <c r="I177" s="18"/>
      <c r="K177" s="18"/>
      <c r="M177" s="18"/>
      <c r="O177" s="18"/>
      <c r="Q177" s="18"/>
    </row>
    <row r="178">
      <c r="C178" s="18"/>
      <c r="E178" s="18"/>
      <c r="G178" s="18"/>
      <c r="I178" s="18"/>
      <c r="K178" s="18"/>
      <c r="M178" s="18"/>
      <c r="O178" s="18"/>
      <c r="Q178" s="18"/>
    </row>
    <row r="179">
      <c r="C179" s="18"/>
      <c r="E179" s="18"/>
      <c r="G179" s="18"/>
      <c r="I179" s="18"/>
      <c r="K179" s="18"/>
      <c r="M179" s="18"/>
      <c r="O179" s="18"/>
      <c r="Q179" s="18"/>
    </row>
    <row r="180">
      <c r="C180" s="18"/>
      <c r="E180" s="18"/>
      <c r="G180" s="18"/>
      <c r="I180" s="18"/>
      <c r="K180" s="18"/>
      <c r="M180" s="18"/>
      <c r="O180" s="18"/>
      <c r="Q180" s="18"/>
    </row>
    <row r="181">
      <c r="C181" s="18"/>
      <c r="E181" s="18"/>
      <c r="G181" s="18"/>
      <c r="I181" s="18"/>
      <c r="K181" s="18"/>
      <c r="M181" s="18"/>
      <c r="O181" s="18"/>
      <c r="Q181" s="18"/>
    </row>
    <row r="182">
      <c r="C182" s="18"/>
      <c r="E182" s="18"/>
      <c r="G182" s="18"/>
      <c r="I182" s="18"/>
      <c r="K182" s="18"/>
      <c r="M182" s="18"/>
      <c r="O182" s="18"/>
      <c r="Q182" s="18"/>
    </row>
    <row r="183">
      <c r="C183" s="18"/>
      <c r="E183" s="18"/>
      <c r="G183" s="18"/>
      <c r="I183" s="18"/>
      <c r="K183" s="18"/>
      <c r="M183" s="18"/>
      <c r="O183" s="18"/>
      <c r="Q183" s="18"/>
    </row>
    <row r="184">
      <c r="C184" s="18"/>
      <c r="E184" s="18"/>
      <c r="G184" s="18"/>
      <c r="I184" s="18"/>
      <c r="K184" s="18"/>
      <c r="M184" s="18"/>
      <c r="O184" s="18"/>
      <c r="Q184" s="18"/>
    </row>
    <row r="185">
      <c r="C185" s="18"/>
      <c r="E185" s="18"/>
      <c r="G185" s="18"/>
      <c r="I185" s="18"/>
      <c r="K185" s="18"/>
      <c r="M185" s="18"/>
      <c r="O185" s="18"/>
      <c r="Q185" s="18"/>
    </row>
    <row r="186">
      <c r="C186" s="18"/>
      <c r="E186" s="18"/>
      <c r="G186" s="18"/>
      <c r="I186" s="18"/>
      <c r="K186" s="18"/>
      <c r="M186" s="18"/>
      <c r="O186" s="18"/>
      <c r="Q186" s="18"/>
    </row>
    <row r="187">
      <c r="C187" s="18"/>
      <c r="E187" s="18"/>
      <c r="G187" s="18"/>
      <c r="I187" s="18"/>
      <c r="K187" s="18"/>
      <c r="M187" s="18"/>
      <c r="O187" s="18"/>
      <c r="Q187" s="18"/>
    </row>
    <row r="188">
      <c r="C188" s="18"/>
      <c r="E188" s="18"/>
      <c r="G188" s="18"/>
      <c r="I188" s="18"/>
      <c r="K188" s="18"/>
      <c r="M188" s="18"/>
      <c r="O188" s="18"/>
      <c r="Q188" s="18"/>
    </row>
    <row r="189">
      <c r="C189" s="18"/>
      <c r="E189" s="18"/>
      <c r="G189" s="18"/>
      <c r="I189" s="18"/>
      <c r="K189" s="18"/>
      <c r="M189" s="18"/>
      <c r="O189" s="18"/>
      <c r="Q189" s="18"/>
    </row>
    <row r="190">
      <c r="C190" s="18"/>
      <c r="E190" s="18"/>
      <c r="G190" s="18"/>
      <c r="I190" s="18"/>
      <c r="K190" s="18"/>
      <c r="M190" s="18"/>
      <c r="O190" s="18"/>
      <c r="Q190" s="18"/>
    </row>
    <row r="191">
      <c r="C191" s="18"/>
      <c r="E191" s="18"/>
      <c r="G191" s="18"/>
      <c r="I191" s="18"/>
      <c r="K191" s="18"/>
      <c r="M191" s="18"/>
      <c r="O191" s="18"/>
      <c r="Q191" s="18"/>
    </row>
    <row r="192">
      <c r="C192" s="18"/>
      <c r="E192" s="18"/>
      <c r="G192" s="18"/>
      <c r="I192" s="18"/>
      <c r="K192" s="18"/>
      <c r="M192" s="18"/>
      <c r="O192" s="18"/>
      <c r="Q192" s="18"/>
    </row>
    <row r="193">
      <c r="C193" s="18"/>
      <c r="E193" s="18"/>
      <c r="G193" s="18"/>
      <c r="I193" s="18"/>
      <c r="K193" s="18"/>
      <c r="M193" s="18"/>
      <c r="O193" s="18"/>
      <c r="Q193" s="18"/>
    </row>
    <row r="194">
      <c r="C194" s="18"/>
      <c r="E194" s="18"/>
      <c r="G194" s="18"/>
      <c r="I194" s="18"/>
      <c r="K194" s="18"/>
      <c r="M194" s="18"/>
      <c r="O194" s="18"/>
      <c r="Q194" s="18"/>
    </row>
    <row r="195">
      <c r="C195" s="18"/>
      <c r="E195" s="18"/>
      <c r="G195" s="18"/>
      <c r="I195" s="18"/>
      <c r="K195" s="18"/>
      <c r="M195" s="18"/>
      <c r="O195" s="18"/>
      <c r="Q195" s="18"/>
    </row>
    <row r="196">
      <c r="C196" s="18"/>
      <c r="E196" s="18"/>
      <c r="G196" s="18"/>
      <c r="I196" s="18"/>
      <c r="K196" s="18"/>
      <c r="M196" s="18"/>
      <c r="O196" s="18"/>
      <c r="Q196" s="18"/>
    </row>
    <row r="197">
      <c r="C197" s="18"/>
      <c r="E197" s="18"/>
      <c r="G197" s="18"/>
      <c r="I197" s="18"/>
      <c r="K197" s="18"/>
      <c r="M197" s="18"/>
      <c r="O197" s="18"/>
      <c r="Q197" s="18"/>
    </row>
    <row r="198">
      <c r="C198" s="18"/>
      <c r="E198" s="18"/>
      <c r="G198" s="18"/>
      <c r="I198" s="18"/>
      <c r="K198" s="18"/>
      <c r="M198" s="18"/>
      <c r="O198" s="18"/>
      <c r="Q198" s="18"/>
    </row>
    <row r="199">
      <c r="C199" s="18"/>
      <c r="E199" s="18"/>
      <c r="G199" s="18"/>
      <c r="I199" s="18"/>
      <c r="K199" s="18"/>
      <c r="M199" s="18"/>
      <c r="O199" s="18"/>
      <c r="Q199" s="18"/>
    </row>
    <row r="200">
      <c r="C200" s="18"/>
      <c r="E200" s="18"/>
      <c r="G200" s="18"/>
      <c r="I200" s="18"/>
      <c r="K200" s="18"/>
      <c r="M200" s="18"/>
      <c r="O200" s="18"/>
      <c r="Q200" s="18"/>
    </row>
    <row r="201">
      <c r="C201" s="18"/>
      <c r="E201" s="18"/>
      <c r="G201" s="18"/>
      <c r="I201" s="18"/>
      <c r="K201" s="18"/>
      <c r="M201" s="18"/>
      <c r="O201" s="18"/>
      <c r="Q201" s="18"/>
    </row>
    <row r="202">
      <c r="C202" s="18"/>
      <c r="E202" s="18"/>
      <c r="G202" s="18"/>
      <c r="I202" s="18"/>
      <c r="K202" s="18"/>
      <c r="M202" s="18"/>
      <c r="O202" s="18"/>
      <c r="Q202" s="18"/>
    </row>
    <row r="203">
      <c r="C203" s="18"/>
      <c r="E203" s="18"/>
      <c r="G203" s="18"/>
      <c r="I203" s="18"/>
      <c r="K203" s="18"/>
      <c r="M203" s="18"/>
      <c r="O203" s="18"/>
      <c r="Q203" s="18"/>
    </row>
    <row r="204">
      <c r="C204" s="18"/>
      <c r="E204" s="18"/>
      <c r="G204" s="18"/>
      <c r="I204" s="18"/>
      <c r="K204" s="18"/>
      <c r="M204" s="18"/>
      <c r="O204" s="18"/>
      <c r="Q204" s="18"/>
    </row>
    <row r="205">
      <c r="C205" s="18"/>
      <c r="E205" s="18"/>
      <c r="G205" s="18"/>
      <c r="I205" s="18"/>
      <c r="K205" s="18"/>
      <c r="M205" s="18"/>
      <c r="O205" s="18"/>
      <c r="Q205" s="18"/>
    </row>
    <row r="206">
      <c r="C206" s="18"/>
      <c r="E206" s="18"/>
      <c r="G206" s="18"/>
      <c r="I206" s="18"/>
      <c r="K206" s="18"/>
      <c r="M206" s="18"/>
      <c r="O206" s="18"/>
      <c r="Q206" s="18"/>
    </row>
    <row r="207">
      <c r="C207" s="18"/>
      <c r="E207" s="18"/>
      <c r="G207" s="18"/>
      <c r="I207" s="18"/>
      <c r="K207" s="18"/>
      <c r="M207" s="18"/>
      <c r="O207" s="18"/>
      <c r="Q207" s="18"/>
    </row>
    <row r="208">
      <c r="C208" s="18"/>
      <c r="E208" s="18"/>
      <c r="G208" s="18"/>
      <c r="I208" s="18"/>
      <c r="K208" s="18"/>
      <c r="M208" s="18"/>
      <c r="O208" s="18"/>
      <c r="Q208" s="18"/>
    </row>
    <row r="209">
      <c r="C209" s="18"/>
      <c r="E209" s="18"/>
      <c r="G209" s="18"/>
      <c r="I209" s="18"/>
      <c r="K209" s="18"/>
      <c r="M209" s="18"/>
      <c r="O209" s="18"/>
      <c r="Q209" s="18"/>
    </row>
    <row r="210">
      <c r="C210" s="18"/>
      <c r="E210" s="18"/>
      <c r="G210" s="18"/>
      <c r="I210" s="18"/>
      <c r="K210" s="18"/>
      <c r="M210" s="18"/>
      <c r="O210" s="18"/>
      <c r="Q210" s="18"/>
    </row>
    <row r="211">
      <c r="C211" s="18"/>
      <c r="E211" s="18"/>
      <c r="G211" s="18"/>
      <c r="I211" s="18"/>
      <c r="K211" s="18"/>
      <c r="M211" s="18"/>
      <c r="O211" s="18"/>
      <c r="Q211" s="18"/>
    </row>
    <row r="212">
      <c r="C212" s="18"/>
      <c r="E212" s="18"/>
      <c r="G212" s="18"/>
      <c r="I212" s="18"/>
      <c r="K212" s="18"/>
      <c r="M212" s="18"/>
      <c r="O212" s="18"/>
      <c r="Q212" s="18"/>
    </row>
    <row r="213">
      <c r="C213" s="18"/>
      <c r="E213" s="18"/>
      <c r="G213" s="18"/>
      <c r="I213" s="18"/>
      <c r="K213" s="18"/>
      <c r="M213" s="18"/>
      <c r="O213" s="18"/>
      <c r="Q213" s="18"/>
    </row>
    <row r="214">
      <c r="C214" s="18"/>
      <c r="E214" s="18"/>
      <c r="G214" s="18"/>
      <c r="I214" s="18"/>
      <c r="K214" s="18"/>
      <c r="M214" s="18"/>
      <c r="O214" s="18"/>
      <c r="Q214" s="18"/>
    </row>
    <row r="215">
      <c r="C215" s="18"/>
      <c r="E215" s="18"/>
      <c r="G215" s="18"/>
      <c r="I215" s="18"/>
      <c r="K215" s="18"/>
      <c r="M215" s="18"/>
      <c r="O215" s="18"/>
      <c r="Q215" s="18"/>
    </row>
    <row r="216">
      <c r="C216" s="18"/>
      <c r="E216" s="18"/>
      <c r="G216" s="18"/>
      <c r="I216" s="18"/>
      <c r="K216" s="18"/>
      <c r="M216" s="18"/>
      <c r="O216" s="18"/>
      <c r="Q216" s="18"/>
    </row>
    <row r="217">
      <c r="C217" s="18"/>
      <c r="E217" s="18"/>
      <c r="G217" s="18"/>
      <c r="I217" s="18"/>
      <c r="K217" s="18"/>
      <c r="M217" s="18"/>
      <c r="O217" s="18"/>
      <c r="Q217" s="18"/>
    </row>
    <row r="218">
      <c r="C218" s="18"/>
      <c r="E218" s="18"/>
      <c r="G218" s="18"/>
      <c r="I218" s="18"/>
      <c r="K218" s="18"/>
      <c r="M218" s="18"/>
      <c r="O218" s="18"/>
      <c r="Q218" s="18"/>
    </row>
    <row r="219">
      <c r="C219" s="18"/>
      <c r="E219" s="18"/>
      <c r="G219" s="18"/>
      <c r="I219" s="18"/>
      <c r="K219" s="18"/>
      <c r="M219" s="18"/>
      <c r="O219" s="18"/>
      <c r="Q219" s="18"/>
    </row>
    <row r="220">
      <c r="C220" s="18"/>
      <c r="E220" s="18"/>
      <c r="G220" s="18"/>
      <c r="I220" s="18"/>
      <c r="K220" s="18"/>
      <c r="M220" s="18"/>
      <c r="O220" s="18"/>
      <c r="Q220" s="18"/>
    </row>
    <row r="221">
      <c r="C221" s="18"/>
      <c r="E221" s="18"/>
      <c r="G221" s="18"/>
      <c r="I221" s="18"/>
      <c r="K221" s="18"/>
      <c r="M221" s="18"/>
      <c r="O221" s="18"/>
      <c r="Q221" s="18"/>
    </row>
    <row r="222">
      <c r="C222" s="18"/>
      <c r="E222" s="18"/>
      <c r="G222" s="18"/>
      <c r="I222" s="18"/>
      <c r="K222" s="18"/>
      <c r="M222" s="18"/>
      <c r="O222" s="18"/>
      <c r="Q222" s="18"/>
    </row>
    <row r="223">
      <c r="C223" s="18"/>
      <c r="E223" s="18"/>
      <c r="G223" s="18"/>
      <c r="I223" s="18"/>
      <c r="K223" s="18"/>
      <c r="M223" s="18"/>
      <c r="O223" s="18"/>
      <c r="Q223" s="18"/>
    </row>
    <row r="224">
      <c r="C224" s="18"/>
      <c r="E224" s="18"/>
      <c r="G224" s="18"/>
      <c r="I224" s="18"/>
      <c r="K224" s="18"/>
      <c r="M224" s="18"/>
      <c r="O224" s="18"/>
      <c r="Q224" s="18"/>
    </row>
    <row r="225">
      <c r="C225" s="18"/>
      <c r="E225" s="18"/>
      <c r="G225" s="18"/>
      <c r="I225" s="18"/>
      <c r="K225" s="18"/>
      <c r="M225" s="18"/>
      <c r="O225" s="18"/>
      <c r="Q225" s="18"/>
    </row>
    <row r="226">
      <c r="C226" s="18"/>
      <c r="E226" s="18"/>
      <c r="G226" s="18"/>
      <c r="I226" s="18"/>
      <c r="K226" s="18"/>
      <c r="M226" s="18"/>
      <c r="O226" s="18"/>
      <c r="Q226" s="18"/>
    </row>
    <row r="227">
      <c r="C227" s="18"/>
      <c r="E227" s="18"/>
      <c r="G227" s="18"/>
      <c r="I227" s="18"/>
      <c r="K227" s="18"/>
      <c r="M227" s="18"/>
      <c r="O227" s="18"/>
      <c r="Q227" s="18"/>
    </row>
    <row r="228">
      <c r="C228" s="18"/>
      <c r="E228" s="18"/>
      <c r="G228" s="18"/>
      <c r="I228" s="18"/>
      <c r="K228" s="18"/>
      <c r="M228" s="18"/>
      <c r="O228" s="18"/>
      <c r="Q228" s="18"/>
    </row>
    <row r="229">
      <c r="C229" s="18"/>
      <c r="E229" s="18"/>
      <c r="G229" s="18"/>
      <c r="I229" s="18"/>
      <c r="K229" s="18"/>
      <c r="M229" s="18"/>
      <c r="O229" s="18"/>
      <c r="Q229" s="18"/>
    </row>
    <row r="230">
      <c r="C230" s="18"/>
      <c r="E230" s="18"/>
      <c r="G230" s="18"/>
      <c r="I230" s="18"/>
      <c r="K230" s="18"/>
      <c r="M230" s="18"/>
      <c r="O230" s="18"/>
      <c r="Q230" s="18"/>
    </row>
    <row r="231">
      <c r="C231" s="18"/>
      <c r="E231" s="18"/>
      <c r="G231" s="18"/>
      <c r="I231" s="18"/>
      <c r="K231" s="18"/>
      <c r="M231" s="18"/>
      <c r="O231" s="18"/>
      <c r="Q231" s="18"/>
    </row>
    <row r="232">
      <c r="C232" s="18"/>
      <c r="E232" s="18"/>
      <c r="G232" s="18"/>
      <c r="I232" s="18"/>
      <c r="K232" s="18"/>
      <c r="M232" s="18"/>
      <c r="O232" s="18"/>
      <c r="Q232" s="18"/>
    </row>
    <row r="233">
      <c r="C233" s="18"/>
      <c r="E233" s="18"/>
      <c r="G233" s="18"/>
      <c r="I233" s="18"/>
      <c r="K233" s="18"/>
      <c r="M233" s="18"/>
      <c r="O233" s="18"/>
      <c r="Q233" s="18"/>
    </row>
    <row r="234">
      <c r="C234" s="18"/>
      <c r="E234" s="18"/>
      <c r="G234" s="18"/>
      <c r="I234" s="18"/>
      <c r="K234" s="18"/>
      <c r="M234" s="18"/>
      <c r="O234" s="18"/>
      <c r="Q234" s="18"/>
    </row>
    <row r="235">
      <c r="C235" s="18"/>
      <c r="E235" s="18"/>
      <c r="G235" s="18"/>
      <c r="I235" s="18"/>
      <c r="K235" s="18"/>
      <c r="M235" s="18"/>
      <c r="O235" s="18"/>
      <c r="Q235" s="18"/>
    </row>
    <row r="236">
      <c r="C236" s="18"/>
      <c r="E236" s="18"/>
      <c r="G236" s="18"/>
      <c r="I236" s="18"/>
      <c r="K236" s="18"/>
      <c r="M236" s="18"/>
      <c r="O236" s="18"/>
      <c r="Q236" s="18"/>
    </row>
    <row r="237">
      <c r="C237" s="18"/>
      <c r="E237" s="18"/>
      <c r="G237" s="18"/>
      <c r="I237" s="18"/>
      <c r="K237" s="18"/>
      <c r="M237" s="18"/>
      <c r="O237" s="18"/>
      <c r="Q237" s="18"/>
    </row>
    <row r="238">
      <c r="C238" s="18"/>
      <c r="E238" s="18"/>
      <c r="G238" s="18"/>
      <c r="I238" s="18"/>
      <c r="K238" s="18"/>
      <c r="M238" s="18"/>
      <c r="O238" s="18"/>
      <c r="Q238" s="18"/>
    </row>
    <row r="239">
      <c r="C239" s="18"/>
      <c r="E239" s="18"/>
      <c r="G239" s="18"/>
      <c r="I239" s="18"/>
      <c r="K239" s="18"/>
      <c r="M239" s="18"/>
      <c r="O239" s="18"/>
      <c r="Q239" s="18"/>
    </row>
    <row r="240">
      <c r="C240" s="18"/>
      <c r="E240" s="18"/>
      <c r="G240" s="18"/>
      <c r="I240" s="18"/>
      <c r="K240" s="18"/>
      <c r="M240" s="18"/>
      <c r="O240" s="18"/>
      <c r="Q240" s="18"/>
    </row>
    <row r="241">
      <c r="C241" s="18"/>
      <c r="E241" s="18"/>
      <c r="G241" s="18"/>
      <c r="I241" s="18"/>
      <c r="K241" s="18"/>
      <c r="M241" s="18"/>
      <c r="O241" s="18"/>
      <c r="Q241" s="18"/>
    </row>
    <row r="242">
      <c r="C242" s="18"/>
      <c r="E242" s="18"/>
      <c r="G242" s="18"/>
      <c r="I242" s="18"/>
      <c r="K242" s="18"/>
      <c r="M242" s="18"/>
      <c r="O242" s="18"/>
      <c r="Q242" s="18"/>
    </row>
    <row r="243">
      <c r="C243" s="18"/>
      <c r="E243" s="18"/>
      <c r="G243" s="18"/>
      <c r="I243" s="18"/>
      <c r="K243" s="18"/>
      <c r="M243" s="18"/>
      <c r="O243" s="18"/>
      <c r="Q243" s="18"/>
    </row>
    <row r="244">
      <c r="C244" s="18"/>
      <c r="E244" s="18"/>
      <c r="G244" s="18"/>
      <c r="I244" s="18"/>
      <c r="K244" s="18"/>
      <c r="M244" s="18"/>
      <c r="O244" s="18"/>
      <c r="Q244" s="18"/>
    </row>
    <row r="245">
      <c r="C245" s="18"/>
      <c r="E245" s="18"/>
      <c r="G245" s="18"/>
      <c r="I245" s="18"/>
      <c r="K245" s="18"/>
      <c r="M245" s="18"/>
      <c r="O245" s="18"/>
      <c r="Q245" s="18"/>
    </row>
    <row r="246">
      <c r="C246" s="18"/>
      <c r="E246" s="18"/>
      <c r="G246" s="18"/>
      <c r="I246" s="18"/>
      <c r="K246" s="18"/>
      <c r="M246" s="18"/>
      <c r="O246" s="18"/>
      <c r="Q246" s="18"/>
    </row>
    <row r="247">
      <c r="C247" s="18"/>
      <c r="E247" s="18"/>
      <c r="G247" s="18"/>
      <c r="I247" s="18"/>
      <c r="K247" s="18"/>
      <c r="M247" s="18"/>
      <c r="O247" s="18"/>
      <c r="Q247" s="18"/>
    </row>
    <row r="248">
      <c r="C248" s="18"/>
      <c r="E248" s="18"/>
      <c r="G248" s="18"/>
      <c r="I248" s="18"/>
      <c r="K248" s="18"/>
      <c r="M248" s="18"/>
      <c r="O248" s="18"/>
      <c r="Q248" s="18"/>
    </row>
    <row r="249">
      <c r="C249" s="18"/>
      <c r="E249" s="18"/>
      <c r="G249" s="18"/>
      <c r="I249" s="18"/>
      <c r="K249" s="18"/>
      <c r="M249" s="18"/>
      <c r="O249" s="18"/>
      <c r="Q249" s="18"/>
    </row>
    <row r="250">
      <c r="C250" s="18"/>
      <c r="E250" s="18"/>
      <c r="G250" s="18"/>
      <c r="I250" s="18"/>
      <c r="K250" s="18"/>
      <c r="M250" s="18"/>
      <c r="O250" s="18"/>
      <c r="Q250" s="18"/>
    </row>
    <row r="251">
      <c r="C251" s="18"/>
      <c r="E251" s="18"/>
      <c r="G251" s="18"/>
      <c r="I251" s="18"/>
      <c r="K251" s="18"/>
      <c r="M251" s="18"/>
      <c r="O251" s="18"/>
      <c r="Q251" s="18"/>
    </row>
    <row r="252">
      <c r="C252" s="18"/>
      <c r="E252" s="18"/>
      <c r="G252" s="18"/>
      <c r="I252" s="18"/>
      <c r="K252" s="18"/>
      <c r="M252" s="18"/>
      <c r="O252" s="18"/>
      <c r="Q252" s="18"/>
    </row>
    <row r="253">
      <c r="C253" s="18"/>
      <c r="E253" s="18"/>
      <c r="G253" s="18"/>
      <c r="I253" s="18"/>
      <c r="K253" s="18"/>
      <c r="M253" s="18"/>
      <c r="O253" s="18"/>
      <c r="Q253" s="18"/>
    </row>
    <row r="254">
      <c r="C254" s="18"/>
      <c r="E254" s="18"/>
      <c r="G254" s="18"/>
      <c r="I254" s="18"/>
      <c r="K254" s="18"/>
      <c r="M254" s="18"/>
      <c r="O254" s="18"/>
      <c r="Q254" s="18"/>
    </row>
    <row r="255">
      <c r="C255" s="18"/>
      <c r="E255" s="18"/>
      <c r="G255" s="18"/>
      <c r="I255" s="18"/>
      <c r="K255" s="18"/>
      <c r="M255" s="18"/>
      <c r="O255" s="18"/>
      <c r="Q255" s="18"/>
    </row>
    <row r="256">
      <c r="C256" s="18"/>
      <c r="E256" s="18"/>
      <c r="G256" s="18"/>
      <c r="I256" s="18"/>
      <c r="K256" s="18"/>
      <c r="M256" s="18"/>
      <c r="O256" s="18"/>
      <c r="Q256" s="18"/>
    </row>
    <row r="257">
      <c r="C257" s="18"/>
      <c r="E257" s="18"/>
      <c r="G257" s="18"/>
      <c r="I257" s="18"/>
      <c r="K257" s="18"/>
      <c r="M257" s="18"/>
      <c r="O257" s="18"/>
      <c r="Q257" s="18"/>
    </row>
    <row r="258">
      <c r="C258" s="18"/>
      <c r="E258" s="18"/>
      <c r="G258" s="18"/>
      <c r="I258" s="18"/>
      <c r="K258" s="18"/>
      <c r="M258" s="18"/>
      <c r="O258" s="18"/>
      <c r="Q258" s="18"/>
    </row>
    <row r="259">
      <c r="C259" s="18"/>
      <c r="E259" s="18"/>
      <c r="G259" s="18"/>
      <c r="I259" s="18"/>
      <c r="K259" s="18"/>
      <c r="M259" s="18"/>
      <c r="O259" s="18"/>
      <c r="Q259" s="18"/>
    </row>
    <row r="260">
      <c r="C260" s="18"/>
      <c r="E260" s="18"/>
      <c r="G260" s="18"/>
      <c r="I260" s="18"/>
      <c r="K260" s="18"/>
      <c r="M260" s="18"/>
      <c r="O260" s="18"/>
      <c r="Q260" s="18"/>
    </row>
    <row r="261">
      <c r="C261" s="18"/>
      <c r="E261" s="18"/>
      <c r="G261" s="18"/>
      <c r="I261" s="18"/>
      <c r="K261" s="18"/>
      <c r="M261" s="18"/>
      <c r="O261" s="18"/>
      <c r="Q261" s="18"/>
    </row>
    <row r="262">
      <c r="C262" s="18"/>
      <c r="E262" s="18"/>
      <c r="G262" s="18"/>
      <c r="I262" s="18"/>
      <c r="K262" s="18"/>
      <c r="M262" s="18"/>
      <c r="O262" s="18"/>
      <c r="Q262" s="18"/>
    </row>
    <row r="263">
      <c r="C263" s="18"/>
      <c r="E263" s="18"/>
      <c r="G263" s="18"/>
      <c r="I263" s="18"/>
      <c r="K263" s="18"/>
      <c r="M263" s="18"/>
      <c r="O263" s="18"/>
      <c r="Q263" s="18"/>
    </row>
    <row r="264">
      <c r="C264" s="18"/>
      <c r="E264" s="18"/>
      <c r="G264" s="18"/>
      <c r="I264" s="18"/>
      <c r="K264" s="18"/>
      <c r="M264" s="18"/>
      <c r="O264" s="18"/>
      <c r="Q264" s="18"/>
    </row>
    <row r="265">
      <c r="C265" s="18"/>
      <c r="E265" s="18"/>
      <c r="G265" s="18"/>
      <c r="I265" s="18"/>
      <c r="K265" s="18"/>
      <c r="M265" s="18"/>
      <c r="O265" s="18"/>
      <c r="Q265" s="18"/>
    </row>
    <row r="266">
      <c r="C266" s="18"/>
      <c r="E266" s="18"/>
      <c r="G266" s="18"/>
      <c r="I266" s="18"/>
      <c r="K266" s="18"/>
      <c r="M266" s="18"/>
      <c r="O266" s="18"/>
      <c r="Q266" s="18"/>
    </row>
    <row r="267">
      <c r="C267" s="18"/>
      <c r="E267" s="18"/>
      <c r="G267" s="18"/>
      <c r="I267" s="18"/>
      <c r="K267" s="18"/>
      <c r="M267" s="18"/>
      <c r="O267" s="18"/>
      <c r="Q267" s="18"/>
    </row>
    <row r="268">
      <c r="C268" s="18"/>
      <c r="E268" s="18"/>
      <c r="G268" s="18"/>
      <c r="I268" s="18"/>
      <c r="K268" s="18"/>
      <c r="M268" s="18"/>
      <c r="O268" s="18"/>
      <c r="Q268" s="18"/>
    </row>
    <row r="269">
      <c r="C269" s="18"/>
      <c r="E269" s="18"/>
      <c r="G269" s="18"/>
      <c r="I269" s="18"/>
      <c r="K269" s="18"/>
      <c r="M269" s="18"/>
      <c r="O269" s="18"/>
      <c r="Q269" s="18"/>
    </row>
    <row r="270">
      <c r="C270" s="18"/>
      <c r="E270" s="18"/>
      <c r="G270" s="18"/>
      <c r="I270" s="18"/>
      <c r="K270" s="18"/>
      <c r="M270" s="18"/>
      <c r="O270" s="18"/>
      <c r="Q270" s="18"/>
    </row>
    <row r="271">
      <c r="C271" s="18"/>
      <c r="E271" s="18"/>
      <c r="G271" s="18"/>
      <c r="I271" s="18"/>
      <c r="K271" s="18"/>
      <c r="M271" s="18"/>
      <c r="O271" s="18"/>
      <c r="Q271" s="18"/>
    </row>
    <row r="272">
      <c r="C272" s="18"/>
      <c r="E272" s="18"/>
      <c r="G272" s="18"/>
      <c r="I272" s="18"/>
      <c r="K272" s="18"/>
      <c r="M272" s="18"/>
      <c r="O272" s="18"/>
      <c r="Q272" s="18"/>
    </row>
    <row r="273">
      <c r="C273" s="18"/>
      <c r="E273" s="18"/>
      <c r="G273" s="18"/>
      <c r="I273" s="18"/>
      <c r="K273" s="18"/>
      <c r="M273" s="18"/>
      <c r="O273" s="18"/>
      <c r="Q273" s="18"/>
    </row>
    <row r="274">
      <c r="C274" s="18"/>
      <c r="E274" s="18"/>
      <c r="G274" s="18"/>
      <c r="I274" s="18"/>
      <c r="K274" s="18"/>
      <c r="M274" s="18"/>
      <c r="O274" s="18"/>
      <c r="Q274" s="18"/>
    </row>
    <row r="275">
      <c r="C275" s="18"/>
      <c r="E275" s="18"/>
      <c r="G275" s="18"/>
      <c r="I275" s="18"/>
      <c r="K275" s="18"/>
      <c r="M275" s="18"/>
      <c r="O275" s="18"/>
      <c r="Q275" s="18"/>
    </row>
    <row r="276">
      <c r="C276" s="18"/>
      <c r="E276" s="18"/>
      <c r="G276" s="18"/>
      <c r="I276" s="18"/>
      <c r="K276" s="18"/>
      <c r="M276" s="18"/>
      <c r="O276" s="18"/>
      <c r="Q276" s="18"/>
    </row>
    <row r="277">
      <c r="C277" s="18"/>
      <c r="E277" s="18"/>
      <c r="G277" s="18"/>
      <c r="I277" s="18"/>
      <c r="K277" s="18"/>
      <c r="M277" s="18"/>
      <c r="O277" s="18"/>
      <c r="Q277" s="18"/>
    </row>
    <row r="278">
      <c r="C278" s="18"/>
      <c r="E278" s="18"/>
      <c r="G278" s="18"/>
      <c r="I278" s="18"/>
      <c r="K278" s="18"/>
      <c r="M278" s="18"/>
      <c r="O278" s="18"/>
      <c r="Q278" s="18"/>
    </row>
    <row r="279">
      <c r="C279" s="18"/>
      <c r="E279" s="18"/>
      <c r="G279" s="18"/>
      <c r="I279" s="18"/>
      <c r="K279" s="18"/>
      <c r="M279" s="18"/>
      <c r="O279" s="18"/>
      <c r="Q279" s="18"/>
    </row>
    <row r="280">
      <c r="C280" s="18"/>
      <c r="E280" s="18"/>
      <c r="G280" s="18"/>
      <c r="I280" s="18"/>
      <c r="K280" s="18"/>
      <c r="M280" s="18"/>
      <c r="O280" s="18"/>
      <c r="Q280" s="18"/>
    </row>
    <row r="281">
      <c r="C281" s="18"/>
      <c r="E281" s="18"/>
      <c r="G281" s="18"/>
      <c r="I281" s="18"/>
      <c r="K281" s="18"/>
      <c r="M281" s="18"/>
      <c r="O281" s="18"/>
      <c r="Q281" s="18"/>
    </row>
    <row r="282">
      <c r="C282" s="18"/>
      <c r="E282" s="18"/>
      <c r="G282" s="18"/>
      <c r="I282" s="18"/>
      <c r="K282" s="18"/>
      <c r="M282" s="18"/>
      <c r="O282" s="18"/>
      <c r="Q282" s="18"/>
    </row>
    <row r="283">
      <c r="C283" s="18"/>
      <c r="E283" s="18"/>
      <c r="G283" s="18"/>
      <c r="I283" s="18"/>
      <c r="K283" s="18"/>
      <c r="M283" s="18"/>
      <c r="O283" s="18"/>
      <c r="Q283" s="18"/>
    </row>
    <row r="284">
      <c r="C284" s="18"/>
      <c r="E284" s="18"/>
      <c r="G284" s="18"/>
      <c r="I284" s="18"/>
      <c r="K284" s="18"/>
      <c r="M284" s="18"/>
      <c r="O284" s="18"/>
      <c r="Q284" s="18"/>
    </row>
    <row r="285">
      <c r="C285" s="18"/>
      <c r="E285" s="18"/>
      <c r="G285" s="18"/>
      <c r="I285" s="18"/>
      <c r="K285" s="18"/>
      <c r="M285" s="18"/>
      <c r="O285" s="18"/>
      <c r="Q285" s="18"/>
    </row>
    <row r="286">
      <c r="C286" s="18"/>
      <c r="E286" s="18"/>
      <c r="G286" s="18"/>
      <c r="I286" s="18"/>
      <c r="K286" s="18"/>
      <c r="M286" s="18"/>
      <c r="O286" s="18"/>
      <c r="Q286" s="18"/>
    </row>
    <row r="287">
      <c r="C287" s="18"/>
      <c r="E287" s="18"/>
      <c r="G287" s="18"/>
      <c r="I287" s="18"/>
      <c r="K287" s="18"/>
      <c r="M287" s="18"/>
      <c r="O287" s="18"/>
      <c r="Q287" s="18"/>
    </row>
    <row r="288">
      <c r="C288" s="18"/>
      <c r="E288" s="18"/>
      <c r="G288" s="18"/>
      <c r="I288" s="18"/>
      <c r="K288" s="18"/>
      <c r="M288" s="18"/>
      <c r="O288" s="18"/>
      <c r="Q288" s="18"/>
    </row>
    <row r="289">
      <c r="C289" s="18"/>
      <c r="E289" s="18"/>
      <c r="G289" s="18"/>
      <c r="I289" s="18"/>
      <c r="K289" s="18"/>
      <c r="M289" s="18"/>
      <c r="O289" s="18"/>
      <c r="Q289" s="18"/>
    </row>
    <row r="290">
      <c r="C290" s="18"/>
      <c r="E290" s="18"/>
      <c r="G290" s="18"/>
      <c r="I290" s="18"/>
      <c r="K290" s="18"/>
      <c r="M290" s="18"/>
      <c r="O290" s="18"/>
      <c r="Q290" s="18"/>
    </row>
    <row r="291">
      <c r="C291" s="18"/>
      <c r="E291" s="18"/>
      <c r="G291" s="18"/>
      <c r="I291" s="18"/>
      <c r="K291" s="18"/>
      <c r="M291" s="18"/>
      <c r="O291" s="18"/>
      <c r="Q291" s="18"/>
    </row>
    <row r="292">
      <c r="C292" s="18"/>
      <c r="E292" s="18"/>
      <c r="G292" s="18"/>
      <c r="I292" s="18"/>
      <c r="K292" s="18"/>
      <c r="M292" s="18"/>
      <c r="O292" s="18"/>
      <c r="Q292" s="18"/>
    </row>
    <row r="293">
      <c r="C293" s="18"/>
      <c r="E293" s="18"/>
      <c r="G293" s="18"/>
      <c r="I293" s="18"/>
      <c r="K293" s="18"/>
      <c r="M293" s="18"/>
      <c r="O293" s="18"/>
      <c r="Q293" s="18"/>
    </row>
    <row r="294">
      <c r="C294" s="18"/>
      <c r="E294" s="18"/>
      <c r="G294" s="18"/>
      <c r="I294" s="18"/>
      <c r="K294" s="18"/>
      <c r="M294" s="18"/>
      <c r="O294" s="18"/>
      <c r="Q294" s="18"/>
    </row>
    <row r="295">
      <c r="C295" s="18"/>
      <c r="E295" s="18"/>
      <c r="G295" s="18"/>
      <c r="I295" s="18"/>
      <c r="K295" s="18"/>
      <c r="M295" s="18"/>
      <c r="O295" s="18"/>
      <c r="Q295" s="18"/>
    </row>
    <row r="296">
      <c r="C296" s="18"/>
      <c r="E296" s="18"/>
      <c r="G296" s="18"/>
      <c r="I296" s="18"/>
      <c r="K296" s="18"/>
      <c r="M296" s="18"/>
      <c r="O296" s="18"/>
      <c r="Q296" s="18"/>
    </row>
    <row r="297">
      <c r="C297" s="18"/>
      <c r="E297" s="18"/>
      <c r="G297" s="18"/>
      <c r="I297" s="18"/>
      <c r="K297" s="18"/>
      <c r="M297" s="18"/>
      <c r="O297" s="18"/>
      <c r="Q297" s="18"/>
    </row>
    <row r="298">
      <c r="C298" s="18"/>
      <c r="E298" s="18"/>
      <c r="G298" s="18"/>
      <c r="I298" s="18"/>
      <c r="K298" s="18"/>
      <c r="M298" s="18"/>
      <c r="O298" s="18"/>
      <c r="Q298" s="18"/>
    </row>
    <row r="299">
      <c r="C299" s="18"/>
      <c r="E299" s="18"/>
      <c r="G299" s="18"/>
      <c r="I299" s="18"/>
      <c r="K299" s="18"/>
      <c r="M299" s="18"/>
      <c r="O299" s="18"/>
      <c r="Q299" s="18"/>
    </row>
    <row r="300">
      <c r="C300" s="18"/>
      <c r="E300" s="18"/>
      <c r="G300" s="18"/>
      <c r="I300" s="18"/>
      <c r="K300" s="18"/>
      <c r="M300" s="18"/>
      <c r="O300" s="18"/>
      <c r="Q300" s="18"/>
    </row>
    <row r="301">
      <c r="C301" s="18"/>
      <c r="E301" s="18"/>
      <c r="G301" s="18"/>
      <c r="I301" s="18"/>
      <c r="K301" s="18"/>
      <c r="M301" s="18"/>
      <c r="O301" s="18"/>
      <c r="Q301" s="18"/>
    </row>
    <row r="302">
      <c r="C302" s="18"/>
      <c r="E302" s="18"/>
      <c r="G302" s="18"/>
      <c r="I302" s="18"/>
      <c r="K302" s="18"/>
      <c r="M302" s="18"/>
      <c r="O302" s="18"/>
      <c r="Q302" s="18"/>
    </row>
    <row r="303">
      <c r="C303" s="18"/>
      <c r="E303" s="18"/>
      <c r="G303" s="18"/>
      <c r="I303" s="18"/>
      <c r="K303" s="18"/>
      <c r="M303" s="18"/>
      <c r="O303" s="18"/>
      <c r="Q303" s="18"/>
    </row>
    <row r="304">
      <c r="C304" s="18"/>
      <c r="E304" s="18"/>
      <c r="G304" s="18"/>
      <c r="I304" s="18"/>
      <c r="K304" s="18"/>
      <c r="M304" s="18"/>
      <c r="O304" s="18"/>
      <c r="Q304" s="18"/>
    </row>
    <row r="305">
      <c r="C305" s="18"/>
      <c r="E305" s="18"/>
      <c r="G305" s="18"/>
      <c r="I305" s="18"/>
      <c r="K305" s="18"/>
      <c r="M305" s="18"/>
      <c r="O305" s="18"/>
      <c r="Q305" s="18"/>
    </row>
    <row r="306">
      <c r="C306" s="18"/>
      <c r="E306" s="18"/>
      <c r="G306" s="18"/>
      <c r="I306" s="18"/>
      <c r="K306" s="18"/>
      <c r="M306" s="18"/>
      <c r="O306" s="18"/>
      <c r="Q306" s="18"/>
    </row>
    <row r="307">
      <c r="C307" s="18"/>
      <c r="E307" s="18"/>
      <c r="G307" s="18"/>
      <c r="I307" s="18"/>
      <c r="K307" s="18"/>
      <c r="M307" s="18"/>
      <c r="O307" s="18"/>
      <c r="Q307" s="18"/>
    </row>
    <row r="308">
      <c r="C308" s="18"/>
      <c r="E308" s="18"/>
      <c r="G308" s="18"/>
      <c r="I308" s="18"/>
      <c r="K308" s="18"/>
      <c r="M308" s="18"/>
      <c r="O308" s="18"/>
      <c r="Q308" s="18"/>
    </row>
    <row r="309">
      <c r="C309" s="18"/>
      <c r="E309" s="18"/>
      <c r="G309" s="18"/>
      <c r="I309" s="18"/>
      <c r="K309" s="18"/>
      <c r="M309" s="18"/>
      <c r="O309" s="18"/>
      <c r="Q309" s="18"/>
    </row>
    <row r="310">
      <c r="C310" s="18"/>
      <c r="E310" s="18"/>
      <c r="G310" s="18"/>
      <c r="I310" s="18"/>
      <c r="K310" s="18"/>
      <c r="M310" s="18"/>
      <c r="O310" s="18"/>
      <c r="Q310" s="18"/>
    </row>
    <row r="311">
      <c r="C311" s="18"/>
      <c r="E311" s="18"/>
      <c r="G311" s="18"/>
      <c r="I311" s="18"/>
      <c r="K311" s="18"/>
      <c r="M311" s="18"/>
      <c r="O311" s="18"/>
      <c r="Q311" s="18"/>
    </row>
    <row r="312">
      <c r="C312" s="18"/>
      <c r="E312" s="18"/>
      <c r="G312" s="18"/>
      <c r="I312" s="18"/>
      <c r="K312" s="18"/>
      <c r="M312" s="18"/>
      <c r="O312" s="18"/>
      <c r="Q312" s="18"/>
    </row>
    <row r="313">
      <c r="C313" s="18"/>
      <c r="E313" s="18"/>
      <c r="G313" s="18"/>
      <c r="I313" s="18"/>
      <c r="K313" s="18"/>
      <c r="M313" s="18"/>
      <c r="O313" s="18"/>
      <c r="Q313" s="18"/>
    </row>
    <row r="314">
      <c r="C314" s="18"/>
      <c r="E314" s="18"/>
      <c r="G314" s="18"/>
      <c r="I314" s="18"/>
      <c r="K314" s="18"/>
      <c r="M314" s="18"/>
      <c r="O314" s="18"/>
      <c r="Q314" s="18"/>
    </row>
    <row r="315">
      <c r="C315" s="18"/>
      <c r="E315" s="18"/>
      <c r="G315" s="18"/>
      <c r="I315" s="18"/>
      <c r="K315" s="18"/>
      <c r="M315" s="18"/>
      <c r="O315" s="18"/>
      <c r="Q315" s="18"/>
    </row>
    <row r="316">
      <c r="C316" s="18"/>
      <c r="E316" s="18"/>
      <c r="G316" s="18"/>
      <c r="I316" s="18"/>
      <c r="K316" s="18"/>
      <c r="M316" s="18"/>
      <c r="O316" s="18"/>
      <c r="Q316" s="18"/>
    </row>
    <row r="317">
      <c r="C317" s="18"/>
      <c r="E317" s="18"/>
      <c r="G317" s="18"/>
      <c r="I317" s="18"/>
      <c r="K317" s="18"/>
      <c r="M317" s="18"/>
      <c r="O317" s="18"/>
      <c r="Q317" s="18"/>
    </row>
    <row r="318">
      <c r="C318" s="18"/>
      <c r="E318" s="18"/>
      <c r="G318" s="18"/>
      <c r="I318" s="18"/>
      <c r="K318" s="18"/>
      <c r="M318" s="18"/>
      <c r="O318" s="18"/>
      <c r="Q318" s="18"/>
    </row>
    <row r="319">
      <c r="C319" s="18"/>
      <c r="E319" s="18"/>
      <c r="G319" s="18"/>
      <c r="I319" s="18"/>
      <c r="K319" s="18"/>
      <c r="M319" s="18"/>
      <c r="O319" s="18"/>
      <c r="Q319" s="18"/>
    </row>
    <row r="320">
      <c r="C320" s="18"/>
      <c r="E320" s="18"/>
      <c r="G320" s="18"/>
      <c r="I320" s="18"/>
      <c r="K320" s="18"/>
      <c r="M320" s="18"/>
      <c r="O320" s="18"/>
      <c r="Q320" s="18"/>
    </row>
    <row r="321">
      <c r="C321" s="18"/>
      <c r="E321" s="18"/>
      <c r="G321" s="18"/>
      <c r="I321" s="18"/>
      <c r="K321" s="18"/>
      <c r="M321" s="18"/>
      <c r="O321" s="18"/>
      <c r="Q321" s="18"/>
    </row>
    <row r="322">
      <c r="C322" s="18"/>
      <c r="E322" s="18"/>
      <c r="G322" s="18"/>
      <c r="I322" s="18"/>
      <c r="K322" s="18"/>
      <c r="M322" s="18"/>
      <c r="O322" s="18"/>
      <c r="Q322" s="18"/>
    </row>
    <row r="323">
      <c r="C323" s="18"/>
      <c r="E323" s="18"/>
      <c r="G323" s="18"/>
      <c r="I323" s="18"/>
      <c r="K323" s="18"/>
      <c r="M323" s="18"/>
      <c r="O323" s="18"/>
      <c r="Q323" s="18"/>
    </row>
    <row r="324">
      <c r="C324" s="18"/>
      <c r="E324" s="18"/>
      <c r="G324" s="18"/>
      <c r="I324" s="18"/>
      <c r="K324" s="18"/>
      <c r="M324" s="18"/>
      <c r="O324" s="18"/>
      <c r="Q324" s="18"/>
    </row>
    <row r="325">
      <c r="C325" s="18"/>
      <c r="E325" s="18"/>
      <c r="G325" s="18"/>
      <c r="I325" s="18"/>
      <c r="K325" s="18"/>
      <c r="M325" s="18"/>
      <c r="O325" s="18"/>
      <c r="Q325" s="18"/>
    </row>
    <row r="326">
      <c r="C326" s="18"/>
      <c r="E326" s="18"/>
      <c r="G326" s="18"/>
      <c r="I326" s="18"/>
      <c r="K326" s="18"/>
      <c r="M326" s="18"/>
      <c r="O326" s="18"/>
      <c r="Q326" s="18"/>
    </row>
    <row r="327">
      <c r="C327" s="18"/>
      <c r="E327" s="18"/>
      <c r="G327" s="18"/>
      <c r="I327" s="18"/>
      <c r="K327" s="18"/>
      <c r="M327" s="18"/>
      <c r="O327" s="18"/>
      <c r="Q327" s="18"/>
    </row>
    <row r="328">
      <c r="C328" s="18"/>
      <c r="E328" s="18"/>
      <c r="G328" s="18"/>
      <c r="I328" s="18"/>
      <c r="K328" s="18"/>
      <c r="M328" s="18"/>
      <c r="O328" s="18"/>
      <c r="Q328" s="18"/>
    </row>
    <row r="329">
      <c r="C329" s="18"/>
      <c r="E329" s="18"/>
      <c r="G329" s="18"/>
      <c r="I329" s="18"/>
      <c r="K329" s="18"/>
      <c r="M329" s="18"/>
      <c r="O329" s="18"/>
      <c r="Q329" s="18"/>
    </row>
    <row r="330">
      <c r="C330" s="18"/>
      <c r="E330" s="18"/>
      <c r="G330" s="18"/>
      <c r="I330" s="18"/>
      <c r="K330" s="18"/>
      <c r="M330" s="18"/>
      <c r="O330" s="18"/>
      <c r="Q330" s="18"/>
    </row>
    <row r="331">
      <c r="C331" s="18"/>
      <c r="E331" s="18"/>
      <c r="G331" s="18"/>
      <c r="I331" s="18"/>
      <c r="K331" s="18"/>
      <c r="M331" s="18"/>
      <c r="O331" s="18"/>
      <c r="Q331" s="18"/>
    </row>
    <row r="332">
      <c r="C332" s="18"/>
      <c r="E332" s="18"/>
      <c r="G332" s="18"/>
      <c r="I332" s="18"/>
      <c r="K332" s="18"/>
      <c r="M332" s="18"/>
      <c r="O332" s="18"/>
      <c r="Q332" s="18"/>
    </row>
    <row r="333">
      <c r="C333" s="18"/>
      <c r="E333" s="18"/>
      <c r="G333" s="18"/>
      <c r="I333" s="18"/>
      <c r="K333" s="18"/>
      <c r="M333" s="18"/>
      <c r="O333" s="18"/>
      <c r="Q333" s="18"/>
    </row>
    <row r="334">
      <c r="C334" s="18"/>
      <c r="E334" s="18"/>
      <c r="G334" s="18"/>
      <c r="I334" s="18"/>
      <c r="K334" s="18"/>
      <c r="M334" s="18"/>
      <c r="O334" s="18"/>
      <c r="Q334" s="18"/>
    </row>
    <row r="335">
      <c r="C335" s="18"/>
      <c r="E335" s="18"/>
      <c r="G335" s="18"/>
      <c r="I335" s="18"/>
      <c r="K335" s="18"/>
      <c r="M335" s="18"/>
      <c r="O335" s="18"/>
      <c r="Q335" s="18"/>
    </row>
    <row r="336">
      <c r="C336" s="18"/>
      <c r="E336" s="18"/>
      <c r="G336" s="18"/>
      <c r="I336" s="18"/>
      <c r="K336" s="18"/>
      <c r="M336" s="18"/>
      <c r="O336" s="18"/>
      <c r="Q336" s="18"/>
    </row>
    <row r="337">
      <c r="C337" s="18"/>
      <c r="E337" s="18"/>
      <c r="G337" s="18"/>
      <c r="I337" s="18"/>
      <c r="K337" s="18"/>
      <c r="M337" s="18"/>
      <c r="O337" s="18"/>
      <c r="Q337" s="18"/>
    </row>
    <row r="338">
      <c r="C338" s="18"/>
      <c r="E338" s="18"/>
      <c r="G338" s="18"/>
      <c r="I338" s="18"/>
      <c r="K338" s="18"/>
      <c r="M338" s="18"/>
      <c r="O338" s="18"/>
      <c r="Q338" s="18"/>
    </row>
    <row r="339">
      <c r="C339" s="18"/>
      <c r="E339" s="18"/>
      <c r="G339" s="18"/>
      <c r="I339" s="18"/>
      <c r="K339" s="18"/>
      <c r="M339" s="18"/>
      <c r="O339" s="18"/>
      <c r="Q339" s="18"/>
    </row>
    <row r="340">
      <c r="C340" s="18"/>
      <c r="E340" s="18"/>
      <c r="G340" s="18"/>
      <c r="I340" s="18"/>
      <c r="K340" s="18"/>
      <c r="M340" s="18"/>
      <c r="O340" s="18"/>
      <c r="Q340" s="18"/>
    </row>
    <row r="341">
      <c r="C341" s="18"/>
      <c r="E341" s="18"/>
      <c r="G341" s="18"/>
      <c r="I341" s="18"/>
      <c r="K341" s="18"/>
      <c r="M341" s="18"/>
      <c r="O341" s="18"/>
      <c r="Q341" s="18"/>
    </row>
    <row r="342">
      <c r="C342" s="18"/>
      <c r="E342" s="18"/>
      <c r="G342" s="18"/>
      <c r="I342" s="18"/>
      <c r="K342" s="18"/>
      <c r="M342" s="18"/>
      <c r="O342" s="18"/>
      <c r="Q342" s="18"/>
    </row>
    <row r="343">
      <c r="C343" s="18"/>
      <c r="E343" s="18"/>
      <c r="G343" s="18"/>
      <c r="I343" s="18"/>
      <c r="K343" s="18"/>
      <c r="M343" s="18"/>
      <c r="O343" s="18"/>
      <c r="Q343" s="18"/>
    </row>
    <row r="344">
      <c r="C344" s="18"/>
      <c r="E344" s="18"/>
      <c r="G344" s="18"/>
      <c r="I344" s="18"/>
      <c r="K344" s="18"/>
      <c r="M344" s="18"/>
      <c r="O344" s="18"/>
      <c r="Q344" s="18"/>
    </row>
    <row r="345">
      <c r="C345" s="18"/>
      <c r="E345" s="18"/>
      <c r="G345" s="18"/>
      <c r="I345" s="18"/>
      <c r="K345" s="18"/>
      <c r="M345" s="18"/>
      <c r="O345" s="18"/>
      <c r="Q345" s="18"/>
    </row>
    <row r="346">
      <c r="C346" s="18"/>
      <c r="E346" s="18"/>
      <c r="G346" s="18"/>
      <c r="I346" s="18"/>
      <c r="K346" s="18"/>
      <c r="M346" s="18"/>
      <c r="O346" s="18"/>
      <c r="Q346" s="18"/>
    </row>
    <row r="347">
      <c r="C347" s="18"/>
      <c r="E347" s="18"/>
      <c r="G347" s="18"/>
      <c r="I347" s="18"/>
      <c r="K347" s="18"/>
      <c r="M347" s="18"/>
      <c r="O347" s="18"/>
      <c r="Q347" s="18"/>
    </row>
    <row r="348">
      <c r="C348" s="18"/>
      <c r="E348" s="18"/>
      <c r="G348" s="18"/>
      <c r="I348" s="18"/>
      <c r="K348" s="18"/>
      <c r="M348" s="18"/>
      <c r="O348" s="18"/>
      <c r="Q348" s="18"/>
    </row>
    <row r="349">
      <c r="C349" s="18"/>
      <c r="E349" s="18"/>
      <c r="G349" s="18"/>
      <c r="I349" s="18"/>
      <c r="K349" s="18"/>
      <c r="M349" s="18"/>
      <c r="O349" s="18"/>
      <c r="Q349" s="18"/>
    </row>
    <row r="350">
      <c r="C350" s="18"/>
      <c r="E350" s="18"/>
      <c r="G350" s="18"/>
      <c r="I350" s="18"/>
      <c r="K350" s="18"/>
      <c r="M350" s="18"/>
      <c r="O350" s="18"/>
      <c r="Q350" s="18"/>
    </row>
    <row r="351">
      <c r="C351" s="18"/>
      <c r="E351" s="18"/>
      <c r="G351" s="18"/>
      <c r="I351" s="18"/>
      <c r="K351" s="18"/>
      <c r="M351" s="18"/>
      <c r="O351" s="18"/>
      <c r="Q351" s="18"/>
    </row>
    <row r="352">
      <c r="C352" s="18"/>
      <c r="E352" s="18"/>
      <c r="G352" s="18"/>
      <c r="I352" s="18"/>
      <c r="K352" s="18"/>
      <c r="M352" s="18"/>
      <c r="O352" s="18"/>
      <c r="Q352" s="18"/>
    </row>
    <row r="353">
      <c r="C353" s="18"/>
      <c r="E353" s="18"/>
      <c r="G353" s="18"/>
      <c r="I353" s="18"/>
      <c r="K353" s="18"/>
      <c r="M353" s="18"/>
      <c r="O353" s="18"/>
      <c r="Q353" s="18"/>
    </row>
    <row r="354">
      <c r="C354" s="18"/>
      <c r="E354" s="18"/>
      <c r="G354" s="18"/>
      <c r="I354" s="18"/>
      <c r="K354" s="18"/>
      <c r="M354" s="18"/>
      <c r="O354" s="18"/>
      <c r="Q354" s="18"/>
    </row>
    <row r="355">
      <c r="C355" s="18"/>
      <c r="E355" s="18"/>
      <c r="G355" s="18"/>
      <c r="I355" s="18"/>
      <c r="K355" s="18"/>
      <c r="M355" s="18"/>
      <c r="O355" s="18"/>
      <c r="Q355" s="18"/>
    </row>
    <row r="356">
      <c r="C356" s="18"/>
      <c r="E356" s="18"/>
      <c r="G356" s="18"/>
      <c r="I356" s="18"/>
      <c r="K356" s="18"/>
      <c r="M356" s="18"/>
      <c r="O356" s="18"/>
      <c r="Q356" s="18"/>
    </row>
    <row r="357">
      <c r="C357" s="18"/>
      <c r="E357" s="18"/>
      <c r="G357" s="18"/>
      <c r="I357" s="18"/>
      <c r="K357" s="18"/>
      <c r="M357" s="18"/>
      <c r="O357" s="18"/>
      <c r="Q357" s="18"/>
    </row>
    <row r="358">
      <c r="C358" s="18"/>
      <c r="E358" s="18"/>
      <c r="G358" s="18"/>
      <c r="I358" s="18"/>
      <c r="K358" s="18"/>
      <c r="M358" s="18"/>
      <c r="O358" s="18"/>
      <c r="Q358" s="18"/>
    </row>
    <row r="359">
      <c r="C359" s="18"/>
      <c r="E359" s="18"/>
      <c r="G359" s="18"/>
      <c r="I359" s="18"/>
      <c r="K359" s="18"/>
      <c r="M359" s="18"/>
      <c r="O359" s="18"/>
      <c r="Q359" s="18"/>
    </row>
    <row r="360">
      <c r="C360" s="18"/>
      <c r="E360" s="18"/>
      <c r="G360" s="18"/>
      <c r="I360" s="18"/>
      <c r="K360" s="18"/>
      <c r="M360" s="18"/>
      <c r="O360" s="18"/>
      <c r="Q360" s="18"/>
    </row>
    <row r="361">
      <c r="C361" s="18"/>
      <c r="E361" s="18"/>
      <c r="G361" s="18"/>
      <c r="I361" s="18"/>
      <c r="K361" s="18"/>
      <c r="M361" s="18"/>
      <c r="O361" s="18"/>
      <c r="Q361" s="18"/>
    </row>
    <row r="362">
      <c r="C362" s="18"/>
      <c r="E362" s="18"/>
      <c r="G362" s="18"/>
      <c r="I362" s="18"/>
      <c r="K362" s="18"/>
      <c r="M362" s="18"/>
      <c r="O362" s="18"/>
      <c r="Q362" s="18"/>
    </row>
    <row r="363">
      <c r="C363" s="18"/>
      <c r="E363" s="18"/>
      <c r="G363" s="18"/>
      <c r="I363" s="18"/>
      <c r="K363" s="18"/>
      <c r="M363" s="18"/>
      <c r="O363" s="18"/>
      <c r="Q363" s="18"/>
    </row>
    <row r="364">
      <c r="C364" s="18"/>
      <c r="E364" s="18"/>
      <c r="G364" s="18"/>
      <c r="I364" s="18"/>
      <c r="K364" s="18"/>
      <c r="M364" s="18"/>
      <c r="O364" s="18"/>
      <c r="Q364" s="18"/>
    </row>
    <row r="365">
      <c r="C365" s="18"/>
      <c r="E365" s="18"/>
      <c r="G365" s="18"/>
      <c r="I365" s="18"/>
      <c r="K365" s="18"/>
      <c r="M365" s="18"/>
      <c r="O365" s="18"/>
      <c r="Q365" s="18"/>
    </row>
    <row r="366">
      <c r="C366" s="18"/>
      <c r="E366" s="18"/>
      <c r="G366" s="18"/>
      <c r="I366" s="18"/>
      <c r="K366" s="18"/>
      <c r="M366" s="18"/>
      <c r="O366" s="18"/>
      <c r="Q366" s="18"/>
    </row>
    <row r="367">
      <c r="C367" s="18"/>
      <c r="E367" s="18"/>
      <c r="G367" s="18"/>
      <c r="I367" s="18"/>
      <c r="K367" s="18"/>
      <c r="M367" s="18"/>
      <c r="O367" s="18"/>
      <c r="Q367" s="18"/>
    </row>
    <row r="368">
      <c r="C368" s="18"/>
      <c r="E368" s="18"/>
      <c r="G368" s="18"/>
      <c r="I368" s="18"/>
      <c r="K368" s="18"/>
      <c r="M368" s="18"/>
      <c r="O368" s="18"/>
      <c r="Q368" s="18"/>
    </row>
    <row r="369">
      <c r="C369" s="18"/>
      <c r="E369" s="18"/>
      <c r="G369" s="18"/>
      <c r="I369" s="18"/>
      <c r="K369" s="18"/>
      <c r="M369" s="18"/>
      <c r="O369" s="18"/>
      <c r="Q369" s="18"/>
    </row>
    <row r="370">
      <c r="C370" s="18"/>
      <c r="E370" s="18"/>
      <c r="G370" s="18"/>
      <c r="I370" s="18"/>
      <c r="K370" s="18"/>
      <c r="M370" s="18"/>
      <c r="O370" s="18"/>
      <c r="Q370" s="18"/>
    </row>
    <row r="371">
      <c r="C371" s="18"/>
      <c r="E371" s="18"/>
      <c r="G371" s="18"/>
      <c r="I371" s="18"/>
      <c r="K371" s="18"/>
      <c r="M371" s="18"/>
      <c r="O371" s="18"/>
      <c r="Q371" s="18"/>
    </row>
    <row r="372">
      <c r="C372" s="18"/>
      <c r="E372" s="18"/>
      <c r="G372" s="18"/>
      <c r="I372" s="18"/>
      <c r="K372" s="18"/>
      <c r="M372" s="18"/>
      <c r="O372" s="18"/>
      <c r="Q372" s="18"/>
    </row>
    <row r="373">
      <c r="C373" s="18"/>
      <c r="E373" s="18"/>
      <c r="G373" s="18"/>
      <c r="I373" s="18"/>
      <c r="K373" s="18"/>
      <c r="M373" s="18"/>
      <c r="O373" s="18"/>
      <c r="Q373" s="18"/>
    </row>
    <row r="374">
      <c r="C374" s="18"/>
      <c r="E374" s="18"/>
      <c r="G374" s="18"/>
      <c r="I374" s="18"/>
      <c r="K374" s="18"/>
      <c r="M374" s="18"/>
      <c r="O374" s="18"/>
      <c r="Q374" s="18"/>
    </row>
    <row r="375">
      <c r="C375" s="18"/>
      <c r="E375" s="18"/>
      <c r="G375" s="18"/>
      <c r="I375" s="18"/>
      <c r="K375" s="18"/>
      <c r="M375" s="18"/>
      <c r="O375" s="18"/>
      <c r="Q375" s="18"/>
    </row>
    <row r="376">
      <c r="C376" s="18"/>
      <c r="E376" s="18"/>
      <c r="G376" s="18"/>
      <c r="I376" s="18"/>
      <c r="K376" s="18"/>
      <c r="M376" s="18"/>
      <c r="O376" s="18"/>
      <c r="Q376" s="18"/>
    </row>
    <row r="377">
      <c r="C377" s="18"/>
      <c r="E377" s="18"/>
      <c r="G377" s="18"/>
      <c r="I377" s="18"/>
      <c r="K377" s="18"/>
      <c r="M377" s="18"/>
      <c r="O377" s="18"/>
      <c r="Q377" s="18"/>
    </row>
    <row r="378">
      <c r="C378" s="18"/>
      <c r="E378" s="18"/>
      <c r="G378" s="18"/>
      <c r="I378" s="18"/>
      <c r="K378" s="18"/>
      <c r="M378" s="18"/>
      <c r="O378" s="18"/>
      <c r="Q378" s="18"/>
    </row>
    <row r="379">
      <c r="C379" s="18"/>
      <c r="E379" s="18"/>
      <c r="G379" s="18"/>
      <c r="I379" s="18"/>
      <c r="K379" s="18"/>
      <c r="M379" s="18"/>
      <c r="O379" s="18"/>
      <c r="Q379" s="18"/>
    </row>
    <row r="380">
      <c r="C380" s="18"/>
      <c r="E380" s="18"/>
      <c r="G380" s="18"/>
      <c r="I380" s="18"/>
      <c r="K380" s="18"/>
      <c r="M380" s="18"/>
      <c r="O380" s="18"/>
      <c r="Q380" s="18"/>
    </row>
    <row r="381">
      <c r="C381" s="18"/>
      <c r="E381" s="18"/>
      <c r="G381" s="18"/>
      <c r="I381" s="18"/>
      <c r="K381" s="18"/>
      <c r="M381" s="18"/>
      <c r="O381" s="18"/>
      <c r="Q381" s="18"/>
    </row>
    <row r="382">
      <c r="C382" s="18"/>
      <c r="E382" s="18"/>
      <c r="G382" s="18"/>
      <c r="I382" s="18"/>
      <c r="K382" s="18"/>
      <c r="M382" s="18"/>
      <c r="O382" s="18"/>
      <c r="Q382" s="18"/>
    </row>
    <row r="383">
      <c r="C383" s="18"/>
      <c r="E383" s="18"/>
      <c r="G383" s="18"/>
      <c r="I383" s="18"/>
      <c r="K383" s="18"/>
      <c r="M383" s="18"/>
      <c r="O383" s="18"/>
      <c r="Q383" s="18"/>
    </row>
    <row r="384">
      <c r="C384" s="18"/>
      <c r="E384" s="18"/>
      <c r="G384" s="18"/>
      <c r="I384" s="18"/>
      <c r="K384" s="18"/>
      <c r="M384" s="18"/>
      <c r="O384" s="18"/>
      <c r="Q384" s="18"/>
    </row>
    <row r="385">
      <c r="C385" s="18"/>
      <c r="E385" s="18"/>
      <c r="G385" s="18"/>
      <c r="I385" s="18"/>
      <c r="K385" s="18"/>
      <c r="M385" s="18"/>
      <c r="O385" s="18"/>
      <c r="Q385" s="18"/>
    </row>
    <row r="386">
      <c r="C386" s="18"/>
      <c r="E386" s="18"/>
      <c r="G386" s="18"/>
      <c r="I386" s="18"/>
      <c r="K386" s="18"/>
      <c r="M386" s="18"/>
      <c r="O386" s="18"/>
      <c r="Q386" s="18"/>
    </row>
    <row r="387">
      <c r="C387" s="18"/>
      <c r="E387" s="18"/>
      <c r="G387" s="18"/>
      <c r="I387" s="18"/>
      <c r="K387" s="18"/>
      <c r="M387" s="18"/>
      <c r="O387" s="18"/>
      <c r="Q387" s="18"/>
    </row>
    <row r="388">
      <c r="C388" s="18"/>
      <c r="E388" s="18"/>
      <c r="G388" s="18"/>
      <c r="I388" s="18"/>
      <c r="K388" s="18"/>
      <c r="M388" s="18"/>
      <c r="O388" s="18"/>
      <c r="Q388" s="18"/>
    </row>
    <row r="389">
      <c r="C389" s="18"/>
      <c r="E389" s="18"/>
      <c r="G389" s="18"/>
      <c r="I389" s="18"/>
      <c r="K389" s="18"/>
      <c r="M389" s="18"/>
      <c r="O389" s="18"/>
      <c r="Q389" s="18"/>
    </row>
    <row r="390">
      <c r="C390" s="18"/>
      <c r="E390" s="18"/>
      <c r="G390" s="18"/>
      <c r="I390" s="18"/>
      <c r="K390" s="18"/>
      <c r="M390" s="18"/>
      <c r="O390" s="18"/>
      <c r="Q390" s="18"/>
    </row>
    <row r="391">
      <c r="C391" s="18"/>
      <c r="E391" s="18"/>
      <c r="G391" s="18"/>
      <c r="I391" s="18"/>
      <c r="K391" s="18"/>
      <c r="M391" s="18"/>
      <c r="O391" s="18"/>
      <c r="Q391" s="18"/>
    </row>
    <row r="392">
      <c r="C392" s="18"/>
      <c r="E392" s="18"/>
      <c r="G392" s="18"/>
      <c r="I392" s="18"/>
      <c r="K392" s="18"/>
      <c r="M392" s="18"/>
      <c r="O392" s="18"/>
      <c r="Q392" s="18"/>
    </row>
    <row r="393">
      <c r="C393" s="18"/>
      <c r="E393" s="18"/>
      <c r="G393" s="18"/>
      <c r="I393" s="18"/>
      <c r="K393" s="18"/>
      <c r="M393" s="18"/>
      <c r="O393" s="18"/>
      <c r="Q393" s="18"/>
    </row>
    <row r="394">
      <c r="C394" s="18"/>
      <c r="E394" s="18"/>
      <c r="G394" s="18"/>
      <c r="I394" s="18"/>
      <c r="K394" s="18"/>
      <c r="M394" s="18"/>
      <c r="O394" s="18"/>
      <c r="Q394" s="18"/>
    </row>
    <row r="395">
      <c r="C395" s="18"/>
      <c r="E395" s="18"/>
      <c r="G395" s="18"/>
      <c r="I395" s="18"/>
      <c r="K395" s="18"/>
      <c r="M395" s="18"/>
      <c r="O395" s="18"/>
      <c r="Q395" s="18"/>
    </row>
    <row r="396">
      <c r="C396" s="18"/>
      <c r="E396" s="18"/>
      <c r="G396" s="18"/>
      <c r="I396" s="18"/>
      <c r="K396" s="18"/>
      <c r="M396" s="18"/>
      <c r="O396" s="18"/>
      <c r="Q396" s="18"/>
    </row>
    <row r="397">
      <c r="C397" s="18"/>
      <c r="E397" s="18"/>
      <c r="G397" s="18"/>
      <c r="I397" s="18"/>
      <c r="K397" s="18"/>
      <c r="M397" s="18"/>
      <c r="O397" s="18"/>
      <c r="Q397" s="18"/>
    </row>
    <row r="398">
      <c r="C398" s="18"/>
      <c r="E398" s="18"/>
      <c r="G398" s="18"/>
      <c r="I398" s="18"/>
      <c r="K398" s="18"/>
      <c r="M398" s="18"/>
      <c r="O398" s="18"/>
      <c r="Q398" s="18"/>
    </row>
    <row r="399">
      <c r="C399" s="18"/>
      <c r="E399" s="18"/>
      <c r="G399" s="18"/>
      <c r="I399" s="18"/>
      <c r="K399" s="18"/>
      <c r="M399" s="18"/>
      <c r="O399" s="18"/>
      <c r="Q399" s="18"/>
    </row>
    <row r="400">
      <c r="C400" s="18"/>
      <c r="E400" s="18"/>
      <c r="G400" s="18"/>
      <c r="I400" s="18"/>
      <c r="K400" s="18"/>
      <c r="M400" s="18"/>
      <c r="O400" s="18"/>
      <c r="Q400" s="18"/>
    </row>
    <row r="401">
      <c r="C401" s="18"/>
      <c r="E401" s="18"/>
      <c r="G401" s="18"/>
      <c r="I401" s="18"/>
      <c r="K401" s="18"/>
      <c r="M401" s="18"/>
      <c r="O401" s="18"/>
      <c r="Q401" s="18"/>
    </row>
    <row r="402">
      <c r="C402" s="18"/>
      <c r="E402" s="18"/>
      <c r="G402" s="18"/>
      <c r="I402" s="18"/>
      <c r="K402" s="18"/>
      <c r="M402" s="18"/>
      <c r="O402" s="18"/>
      <c r="Q402" s="18"/>
    </row>
    <row r="403">
      <c r="C403" s="18"/>
      <c r="E403" s="18"/>
      <c r="G403" s="18"/>
      <c r="I403" s="18"/>
      <c r="K403" s="18"/>
      <c r="M403" s="18"/>
      <c r="O403" s="18"/>
      <c r="Q403" s="18"/>
    </row>
    <row r="404">
      <c r="C404" s="18"/>
      <c r="E404" s="18"/>
      <c r="G404" s="18"/>
      <c r="I404" s="18"/>
      <c r="K404" s="18"/>
      <c r="M404" s="18"/>
      <c r="O404" s="18"/>
      <c r="Q404" s="18"/>
    </row>
    <row r="405">
      <c r="C405" s="18"/>
      <c r="E405" s="18"/>
      <c r="G405" s="18"/>
      <c r="I405" s="18"/>
      <c r="K405" s="18"/>
      <c r="M405" s="18"/>
      <c r="O405" s="18"/>
      <c r="Q405" s="18"/>
    </row>
    <row r="406">
      <c r="C406" s="18"/>
      <c r="E406" s="18"/>
      <c r="G406" s="18"/>
      <c r="I406" s="18"/>
      <c r="K406" s="18"/>
      <c r="M406" s="18"/>
      <c r="O406" s="18"/>
      <c r="Q406" s="18"/>
    </row>
    <row r="407">
      <c r="C407" s="18"/>
      <c r="E407" s="18"/>
      <c r="G407" s="18"/>
      <c r="I407" s="18"/>
      <c r="K407" s="18"/>
      <c r="M407" s="18"/>
      <c r="O407" s="18"/>
      <c r="Q407" s="18"/>
    </row>
    <row r="408">
      <c r="C408" s="18"/>
      <c r="E408" s="18"/>
      <c r="G408" s="18"/>
      <c r="I408" s="18"/>
      <c r="K408" s="18"/>
      <c r="M408" s="18"/>
      <c r="O408" s="18"/>
      <c r="Q408" s="18"/>
    </row>
    <row r="409">
      <c r="C409" s="18"/>
      <c r="E409" s="18"/>
      <c r="G409" s="18"/>
      <c r="I409" s="18"/>
      <c r="K409" s="18"/>
      <c r="M409" s="18"/>
      <c r="O409" s="18"/>
      <c r="Q409" s="18"/>
    </row>
    <row r="410">
      <c r="C410" s="18"/>
      <c r="E410" s="18"/>
      <c r="G410" s="18"/>
      <c r="I410" s="18"/>
      <c r="K410" s="18"/>
      <c r="M410" s="18"/>
      <c r="O410" s="18"/>
      <c r="Q410" s="18"/>
    </row>
    <row r="411">
      <c r="C411" s="18"/>
      <c r="E411" s="18"/>
      <c r="G411" s="18"/>
      <c r="I411" s="18"/>
      <c r="K411" s="18"/>
      <c r="M411" s="18"/>
      <c r="O411" s="18"/>
      <c r="Q411" s="18"/>
    </row>
    <row r="412">
      <c r="C412" s="18"/>
      <c r="E412" s="18"/>
      <c r="G412" s="18"/>
      <c r="I412" s="18"/>
      <c r="K412" s="18"/>
      <c r="M412" s="18"/>
      <c r="O412" s="18"/>
      <c r="Q412" s="18"/>
    </row>
    <row r="413">
      <c r="C413" s="18"/>
      <c r="E413" s="18"/>
      <c r="G413" s="18"/>
      <c r="I413" s="18"/>
      <c r="K413" s="18"/>
      <c r="M413" s="18"/>
      <c r="O413" s="18"/>
      <c r="Q413" s="18"/>
    </row>
    <row r="414">
      <c r="C414" s="18"/>
      <c r="E414" s="18"/>
      <c r="G414" s="18"/>
      <c r="I414" s="18"/>
      <c r="K414" s="18"/>
      <c r="M414" s="18"/>
      <c r="O414" s="18"/>
      <c r="Q414" s="18"/>
    </row>
    <row r="415">
      <c r="C415" s="18"/>
      <c r="E415" s="18"/>
      <c r="G415" s="18"/>
      <c r="I415" s="18"/>
      <c r="K415" s="18"/>
      <c r="M415" s="18"/>
      <c r="O415" s="18"/>
      <c r="Q415" s="18"/>
    </row>
    <row r="416">
      <c r="C416" s="18"/>
      <c r="E416" s="18"/>
      <c r="G416" s="18"/>
      <c r="I416" s="18"/>
      <c r="K416" s="18"/>
      <c r="M416" s="18"/>
      <c r="O416" s="18"/>
      <c r="Q416" s="18"/>
    </row>
    <row r="417">
      <c r="C417" s="18"/>
      <c r="E417" s="18"/>
      <c r="G417" s="18"/>
      <c r="I417" s="18"/>
      <c r="K417" s="18"/>
      <c r="M417" s="18"/>
      <c r="O417" s="18"/>
      <c r="Q417" s="18"/>
    </row>
    <row r="418">
      <c r="C418" s="18"/>
      <c r="E418" s="18"/>
      <c r="G418" s="18"/>
      <c r="I418" s="18"/>
      <c r="K418" s="18"/>
      <c r="M418" s="18"/>
      <c r="O418" s="18"/>
      <c r="Q418" s="18"/>
    </row>
    <row r="419">
      <c r="C419" s="18"/>
      <c r="E419" s="18"/>
      <c r="G419" s="18"/>
      <c r="I419" s="18"/>
      <c r="K419" s="18"/>
      <c r="M419" s="18"/>
      <c r="O419" s="18"/>
      <c r="Q419" s="18"/>
    </row>
    <row r="420">
      <c r="C420" s="18"/>
      <c r="E420" s="18"/>
      <c r="G420" s="18"/>
      <c r="I420" s="18"/>
      <c r="K420" s="18"/>
      <c r="M420" s="18"/>
      <c r="O420" s="18"/>
      <c r="Q420" s="18"/>
    </row>
    <row r="421">
      <c r="C421" s="18"/>
      <c r="E421" s="18"/>
      <c r="G421" s="18"/>
      <c r="I421" s="18"/>
      <c r="K421" s="18"/>
      <c r="M421" s="18"/>
      <c r="O421" s="18"/>
      <c r="Q421" s="18"/>
    </row>
    <row r="422">
      <c r="C422" s="18"/>
      <c r="E422" s="18"/>
      <c r="G422" s="18"/>
      <c r="I422" s="18"/>
      <c r="K422" s="18"/>
      <c r="M422" s="18"/>
      <c r="O422" s="18"/>
      <c r="Q422" s="18"/>
    </row>
    <row r="423">
      <c r="C423" s="18"/>
      <c r="E423" s="18"/>
      <c r="G423" s="18"/>
      <c r="I423" s="18"/>
      <c r="K423" s="18"/>
      <c r="M423" s="18"/>
      <c r="O423" s="18"/>
      <c r="Q423" s="18"/>
    </row>
    <row r="424">
      <c r="C424" s="18"/>
      <c r="E424" s="18"/>
      <c r="G424" s="18"/>
      <c r="I424" s="18"/>
      <c r="K424" s="18"/>
      <c r="M424" s="18"/>
      <c r="O424" s="18"/>
      <c r="Q424" s="18"/>
    </row>
    <row r="425">
      <c r="C425" s="18"/>
      <c r="E425" s="18"/>
      <c r="G425" s="18"/>
      <c r="I425" s="18"/>
      <c r="K425" s="18"/>
      <c r="M425" s="18"/>
      <c r="O425" s="18"/>
      <c r="Q425" s="18"/>
    </row>
    <row r="426">
      <c r="C426" s="18"/>
      <c r="E426" s="18"/>
      <c r="G426" s="18"/>
      <c r="I426" s="18"/>
      <c r="K426" s="18"/>
      <c r="M426" s="18"/>
      <c r="O426" s="18"/>
      <c r="Q426" s="18"/>
    </row>
    <row r="427">
      <c r="C427" s="18"/>
      <c r="E427" s="18"/>
      <c r="G427" s="18"/>
      <c r="I427" s="18"/>
      <c r="K427" s="18"/>
      <c r="M427" s="18"/>
      <c r="O427" s="18"/>
      <c r="Q427" s="18"/>
    </row>
    <row r="428">
      <c r="C428" s="18"/>
      <c r="E428" s="18"/>
      <c r="G428" s="18"/>
      <c r="I428" s="18"/>
      <c r="K428" s="18"/>
      <c r="M428" s="18"/>
      <c r="O428" s="18"/>
      <c r="Q428" s="18"/>
    </row>
    <row r="429">
      <c r="C429" s="18"/>
      <c r="E429" s="18"/>
      <c r="G429" s="18"/>
      <c r="I429" s="18"/>
      <c r="K429" s="18"/>
      <c r="M429" s="18"/>
      <c r="O429" s="18"/>
      <c r="Q429" s="18"/>
    </row>
    <row r="430">
      <c r="C430" s="18"/>
      <c r="E430" s="18"/>
      <c r="G430" s="18"/>
      <c r="I430" s="18"/>
      <c r="K430" s="18"/>
      <c r="M430" s="18"/>
      <c r="O430" s="18"/>
      <c r="Q430" s="18"/>
    </row>
    <row r="431">
      <c r="C431" s="18"/>
      <c r="E431" s="18"/>
      <c r="G431" s="18"/>
      <c r="I431" s="18"/>
      <c r="K431" s="18"/>
      <c r="M431" s="18"/>
      <c r="O431" s="18"/>
      <c r="Q431" s="18"/>
    </row>
    <row r="432">
      <c r="C432" s="18"/>
      <c r="E432" s="18"/>
      <c r="G432" s="18"/>
      <c r="I432" s="18"/>
      <c r="K432" s="18"/>
      <c r="M432" s="18"/>
      <c r="O432" s="18"/>
      <c r="Q432" s="18"/>
    </row>
    <row r="433">
      <c r="C433" s="18"/>
      <c r="E433" s="18"/>
      <c r="G433" s="18"/>
      <c r="I433" s="18"/>
      <c r="K433" s="18"/>
      <c r="M433" s="18"/>
      <c r="O433" s="18"/>
      <c r="Q433" s="18"/>
    </row>
    <row r="434">
      <c r="C434" s="18"/>
      <c r="E434" s="18"/>
      <c r="G434" s="18"/>
      <c r="I434" s="18"/>
      <c r="K434" s="18"/>
      <c r="M434" s="18"/>
      <c r="O434" s="18"/>
      <c r="Q434" s="18"/>
    </row>
    <row r="435">
      <c r="C435" s="18"/>
      <c r="E435" s="18"/>
      <c r="G435" s="18"/>
      <c r="I435" s="18"/>
      <c r="K435" s="18"/>
      <c r="M435" s="18"/>
      <c r="O435" s="18"/>
      <c r="Q435" s="18"/>
    </row>
    <row r="436">
      <c r="C436" s="18"/>
      <c r="E436" s="18"/>
      <c r="G436" s="18"/>
      <c r="I436" s="18"/>
      <c r="K436" s="18"/>
      <c r="M436" s="18"/>
      <c r="O436" s="18"/>
      <c r="Q436" s="18"/>
    </row>
    <row r="437">
      <c r="C437" s="18"/>
      <c r="E437" s="18"/>
      <c r="G437" s="18"/>
      <c r="I437" s="18"/>
      <c r="K437" s="18"/>
      <c r="M437" s="18"/>
      <c r="O437" s="18"/>
      <c r="Q437" s="18"/>
    </row>
    <row r="438">
      <c r="C438" s="18"/>
      <c r="E438" s="18"/>
      <c r="G438" s="18"/>
      <c r="I438" s="18"/>
      <c r="K438" s="18"/>
      <c r="M438" s="18"/>
      <c r="O438" s="18"/>
      <c r="Q438" s="18"/>
    </row>
    <row r="439">
      <c r="C439" s="18"/>
      <c r="E439" s="18"/>
      <c r="G439" s="18"/>
      <c r="I439" s="18"/>
      <c r="K439" s="18"/>
      <c r="M439" s="18"/>
      <c r="O439" s="18"/>
      <c r="Q439" s="18"/>
    </row>
    <row r="440">
      <c r="C440" s="18"/>
      <c r="E440" s="18"/>
      <c r="G440" s="18"/>
      <c r="I440" s="18"/>
      <c r="K440" s="18"/>
      <c r="M440" s="18"/>
      <c r="O440" s="18"/>
      <c r="Q440" s="18"/>
    </row>
    <row r="441">
      <c r="C441" s="18"/>
      <c r="E441" s="18"/>
      <c r="G441" s="18"/>
      <c r="I441" s="18"/>
      <c r="K441" s="18"/>
      <c r="M441" s="18"/>
      <c r="O441" s="18"/>
      <c r="Q441" s="18"/>
    </row>
    <row r="442">
      <c r="C442" s="18"/>
      <c r="E442" s="18"/>
      <c r="G442" s="18"/>
      <c r="I442" s="18"/>
      <c r="K442" s="18"/>
      <c r="M442" s="18"/>
      <c r="O442" s="18"/>
      <c r="Q442" s="18"/>
    </row>
    <row r="443">
      <c r="C443" s="18"/>
      <c r="E443" s="18"/>
      <c r="G443" s="18"/>
      <c r="I443" s="18"/>
      <c r="K443" s="18"/>
      <c r="M443" s="18"/>
      <c r="O443" s="18"/>
      <c r="Q443" s="18"/>
    </row>
    <row r="444">
      <c r="C444" s="18"/>
      <c r="E444" s="18"/>
      <c r="G444" s="18"/>
      <c r="I444" s="18"/>
      <c r="K444" s="18"/>
      <c r="M444" s="18"/>
      <c r="O444" s="18"/>
      <c r="Q444" s="18"/>
    </row>
    <row r="445">
      <c r="C445" s="18"/>
      <c r="E445" s="18"/>
      <c r="G445" s="18"/>
      <c r="I445" s="18"/>
      <c r="K445" s="18"/>
      <c r="M445" s="18"/>
      <c r="O445" s="18"/>
      <c r="Q445" s="18"/>
    </row>
    <row r="446">
      <c r="C446" s="18"/>
      <c r="E446" s="18"/>
      <c r="G446" s="18"/>
      <c r="I446" s="18"/>
      <c r="K446" s="18"/>
      <c r="M446" s="18"/>
      <c r="O446" s="18"/>
      <c r="Q446" s="18"/>
    </row>
    <row r="447">
      <c r="C447" s="18"/>
      <c r="E447" s="18"/>
      <c r="G447" s="18"/>
      <c r="I447" s="18"/>
      <c r="K447" s="18"/>
      <c r="M447" s="18"/>
      <c r="O447" s="18"/>
      <c r="Q447" s="18"/>
    </row>
    <row r="448">
      <c r="C448" s="18"/>
      <c r="E448" s="18"/>
      <c r="G448" s="18"/>
      <c r="I448" s="18"/>
      <c r="K448" s="18"/>
      <c r="M448" s="18"/>
      <c r="O448" s="18"/>
      <c r="Q448" s="18"/>
    </row>
    <row r="449">
      <c r="C449" s="18"/>
      <c r="E449" s="18"/>
      <c r="G449" s="18"/>
      <c r="I449" s="18"/>
      <c r="K449" s="18"/>
      <c r="M449" s="18"/>
      <c r="O449" s="18"/>
      <c r="Q449" s="18"/>
    </row>
    <row r="450">
      <c r="C450" s="18"/>
      <c r="E450" s="18"/>
      <c r="G450" s="18"/>
      <c r="I450" s="18"/>
      <c r="K450" s="18"/>
      <c r="M450" s="18"/>
      <c r="O450" s="18"/>
      <c r="Q450" s="18"/>
    </row>
    <row r="451">
      <c r="C451" s="18"/>
      <c r="E451" s="18"/>
      <c r="G451" s="18"/>
      <c r="I451" s="18"/>
      <c r="K451" s="18"/>
      <c r="M451" s="18"/>
      <c r="O451" s="18"/>
      <c r="Q451" s="18"/>
    </row>
    <row r="452">
      <c r="C452" s="18"/>
      <c r="E452" s="18"/>
      <c r="G452" s="18"/>
      <c r="I452" s="18"/>
      <c r="K452" s="18"/>
      <c r="M452" s="18"/>
      <c r="O452" s="18"/>
      <c r="Q452" s="18"/>
    </row>
    <row r="453">
      <c r="C453" s="18"/>
      <c r="E453" s="18"/>
      <c r="G453" s="18"/>
      <c r="I453" s="18"/>
      <c r="K453" s="18"/>
      <c r="M453" s="18"/>
      <c r="O453" s="18"/>
      <c r="Q453" s="18"/>
    </row>
    <row r="454">
      <c r="C454" s="18"/>
      <c r="E454" s="18"/>
      <c r="G454" s="18"/>
      <c r="I454" s="18"/>
      <c r="K454" s="18"/>
      <c r="M454" s="18"/>
      <c r="O454" s="18"/>
      <c r="Q454" s="18"/>
    </row>
    <row r="455">
      <c r="C455" s="18"/>
      <c r="E455" s="18"/>
      <c r="G455" s="18"/>
      <c r="I455" s="18"/>
      <c r="K455" s="18"/>
      <c r="M455" s="18"/>
      <c r="O455" s="18"/>
      <c r="Q455" s="18"/>
    </row>
    <row r="456">
      <c r="C456" s="18"/>
      <c r="E456" s="18"/>
      <c r="G456" s="18"/>
      <c r="I456" s="18"/>
      <c r="K456" s="18"/>
      <c r="M456" s="18"/>
      <c r="O456" s="18"/>
      <c r="Q456" s="18"/>
    </row>
    <row r="457">
      <c r="C457" s="18"/>
      <c r="E457" s="18"/>
      <c r="G457" s="18"/>
      <c r="I457" s="18"/>
      <c r="K457" s="18"/>
      <c r="M457" s="18"/>
      <c r="O457" s="18"/>
      <c r="Q457" s="18"/>
    </row>
    <row r="458">
      <c r="C458" s="18"/>
      <c r="E458" s="18"/>
      <c r="G458" s="18"/>
      <c r="I458" s="18"/>
      <c r="K458" s="18"/>
      <c r="M458" s="18"/>
      <c r="O458" s="18"/>
      <c r="Q458" s="18"/>
    </row>
    <row r="459">
      <c r="C459" s="18"/>
      <c r="E459" s="18"/>
      <c r="G459" s="18"/>
      <c r="I459" s="18"/>
      <c r="K459" s="18"/>
      <c r="M459" s="18"/>
      <c r="O459" s="18"/>
      <c r="Q459" s="18"/>
    </row>
    <row r="460">
      <c r="C460" s="18"/>
      <c r="E460" s="18"/>
      <c r="G460" s="18"/>
      <c r="I460" s="18"/>
      <c r="K460" s="18"/>
      <c r="M460" s="18"/>
      <c r="O460" s="18"/>
      <c r="Q460" s="18"/>
    </row>
    <row r="461">
      <c r="C461" s="18"/>
      <c r="E461" s="18"/>
      <c r="G461" s="18"/>
      <c r="I461" s="18"/>
      <c r="K461" s="18"/>
      <c r="M461" s="18"/>
      <c r="O461" s="18"/>
      <c r="Q461" s="18"/>
    </row>
    <row r="462">
      <c r="C462" s="18"/>
      <c r="E462" s="18"/>
      <c r="G462" s="18"/>
      <c r="I462" s="18"/>
      <c r="K462" s="18"/>
      <c r="M462" s="18"/>
      <c r="O462" s="18"/>
      <c r="Q462" s="18"/>
    </row>
    <row r="463">
      <c r="C463" s="18"/>
      <c r="E463" s="18"/>
      <c r="G463" s="18"/>
      <c r="I463" s="18"/>
      <c r="K463" s="18"/>
      <c r="M463" s="18"/>
      <c r="O463" s="18"/>
      <c r="Q463" s="18"/>
    </row>
    <row r="464">
      <c r="C464" s="18"/>
      <c r="E464" s="18"/>
      <c r="G464" s="18"/>
      <c r="I464" s="18"/>
      <c r="K464" s="18"/>
      <c r="M464" s="18"/>
      <c r="O464" s="18"/>
      <c r="Q464" s="18"/>
    </row>
    <row r="465">
      <c r="C465" s="18"/>
      <c r="E465" s="18"/>
      <c r="G465" s="18"/>
      <c r="I465" s="18"/>
      <c r="K465" s="18"/>
      <c r="M465" s="18"/>
      <c r="O465" s="18"/>
      <c r="Q465" s="18"/>
    </row>
    <row r="466">
      <c r="C466" s="18"/>
      <c r="E466" s="18"/>
      <c r="G466" s="18"/>
      <c r="I466" s="18"/>
      <c r="K466" s="18"/>
      <c r="M466" s="18"/>
      <c r="O466" s="18"/>
      <c r="Q466" s="18"/>
    </row>
    <row r="467">
      <c r="C467" s="18"/>
      <c r="E467" s="18"/>
      <c r="G467" s="18"/>
      <c r="I467" s="18"/>
      <c r="K467" s="18"/>
      <c r="M467" s="18"/>
      <c r="O467" s="18"/>
      <c r="Q467" s="18"/>
    </row>
    <row r="468">
      <c r="C468" s="18"/>
      <c r="E468" s="18"/>
      <c r="G468" s="18"/>
      <c r="I468" s="18"/>
      <c r="K468" s="18"/>
      <c r="M468" s="18"/>
      <c r="O468" s="18"/>
      <c r="Q468" s="18"/>
    </row>
    <row r="469">
      <c r="C469" s="18"/>
      <c r="E469" s="18"/>
      <c r="G469" s="18"/>
      <c r="I469" s="18"/>
      <c r="K469" s="18"/>
      <c r="M469" s="18"/>
      <c r="O469" s="18"/>
      <c r="Q469" s="18"/>
    </row>
    <row r="470">
      <c r="C470" s="18"/>
      <c r="E470" s="18"/>
      <c r="G470" s="18"/>
      <c r="I470" s="18"/>
      <c r="K470" s="18"/>
      <c r="M470" s="18"/>
      <c r="O470" s="18"/>
      <c r="Q470" s="18"/>
    </row>
    <row r="471">
      <c r="C471" s="18"/>
      <c r="E471" s="18"/>
      <c r="G471" s="18"/>
      <c r="I471" s="18"/>
      <c r="K471" s="18"/>
      <c r="M471" s="18"/>
      <c r="O471" s="18"/>
      <c r="Q471" s="18"/>
    </row>
    <row r="472">
      <c r="C472" s="18"/>
      <c r="E472" s="18"/>
      <c r="G472" s="18"/>
      <c r="I472" s="18"/>
      <c r="K472" s="18"/>
      <c r="M472" s="18"/>
      <c r="O472" s="18"/>
      <c r="Q472" s="18"/>
    </row>
    <row r="473">
      <c r="C473" s="18"/>
      <c r="E473" s="18"/>
      <c r="G473" s="18"/>
      <c r="I473" s="18"/>
      <c r="K473" s="18"/>
      <c r="M473" s="18"/>
      <c r="O473" s="18"/>
      <c r="Q473" s="18"/>
    </row>
    <row r="474">
      <c r="C474" s="18"/>
      <c r="E474" s="18"/>
      <c r="G474" s="18"/>
      <c r="I474" s="18"/>
      <c r="K474" s="18"/>
      <c r="M474" s="18"/>
      <c r="O474" s="18"/>
      <c r="Q474" s="18"/>
    </row>
    <row r="475">
      <c r="C475" s="18"/>
      <c r="E475" s="18"/>
      <c r="G475" s="18"/>
      <c r="I475" s="18"/>
      <c r="K475" s="18"/>
      <c r="M475" s="18"/>
      <c r="O475" s="18"/>
      <c r="Q475" s="18"/>
    </row>
    <row r="476">
      <c r="C476" s="18"/>
      <c r="E476" s="18"/>
      <c r="G476" s="18"/>
      <c r="I476" s="18"/>
      <c r="K476" s="18"/>
      <c r="M476" s="18"/>
      <c r="O476" s="18"/>
      <c r="Q476" s="18"/>
    </row>
    <row r="477">
      <c r="C477" s="18"/>
      <c r="E477" s="18"/>
      <c r="G477" s="18"/>
      <c r="I477" s="18"/>
      <c r="K477" s="18"/>
      <c r="M477" s="18"/>
      <c r="O477" s="18"/>
      <c r="Q477" s="18"/>
    </row>
    <row r="478">
      <c r="C478" s="18"/>
      <c r="E478" s="18"/>
      <c r="G478" s="18"/>
      <c r="I478" s="18"/>
      <c r="K478" s="18"/>
      <c r="M478" s="18"/>
      <c r="O478" s="18"/>
      <c r="Q478" s="18"/>
    </row>
    <row r="479">
      <c r="C479" s="18"/>
      <c r="E479" s="18"/>
      <c r="G479" s="18"/>
      <c r="I479" s="18"/>
      <c r="K479" s="18"/>
      <c r="M479" s="18"/>
      <c r="O479" s="18"/>
      <c r="Q479" s="18"/>
    </row>
    <row r="480">
      <c r="C480" s="18"/>
      <c r="E480" s="18"/>
      <c r="G480" s="18"/>
      <c r="I480" s="18"/>
      <c r="K480" s="18"/>
      <c r="M480" s="18"/>
      <c r="O480" s="18"/>
      <c r="Q480" s="18"/>
    </row>
    <row r="481">
      <c r="C481" s="18"/>
      <c r="E481" s="18"/>
      <c r="G481" s="18"/>
      <c r="I481" s="18"/>
      <c r="K481" s="18"/>
      <c r="M481" s="18"/>
      <c r="O481" s="18"/>
      <c r="Q481" s="18"/>
    </row>
    <row r="482">
      <c r="C482" s="18"/>
      <c r="E482" s="18"/>
      <c r="G482" s="18"/>
      <c r="I482" s="18"/>
      <c r="K482" s="18"/>
      <c r="M482" s="18"/>
      <c r="O482" s="18"/>
      <c r="Q482" s="18"/>
    </row>
    <row r="483">
      <c r="C483" s="18"/>
      <c r="E483" s="18"/>
      <c r="G483" s="18"/>
      <c r="I483" s="18"/>
      <c r="K483" s="18"/>
      <c r="M483" s="18"/>
      <c r="O483" s="18"/>
      <c r="Q483" s="18"/>
    </row>
    <row r="484">
      <c r="C484" s="18"/>
      <c r="E484" s="18"/>
      <c r="G484" s="18"/>
      <c r="I484" s="18"/>
      <c r="K484" s="18"/>
      <c r="M484" s="18"/>
      <c r="O484" s="18"/>
      <c r="Q484" s="18"/>
    </row>
    <row r="485">
      <c r="C485" s="18"/>
      <c r="E485" s="18"/>
      <c r="G485" s="18"/>
      <c r="I485" s="18"/>
      <c r="K485" s="18"/>
      <c r="M485" s="18"/>
      <c r="O485" s="18"/>
      <c r="Q485" s="18"/>
    </row>
    <row r="486">
      <c r="C486" s="18"/>
      <c r="E486" s="18"/>
      <c r="G486" s="18"/>
      <c r="I486" s="18"/>
      <c r="K486" s="18"/>
      <c r="M486" s="18"/>
      <c r="O486" s="18"/>
      <c r="Q486" s="18"/>
    </row>
    <row r="487">
      <c r="C487" s="18"/>
      <c r="E487" s="18"/>
      <c r="G487" s="18"/>
      <c r="I487" s="18"/>
      <c r="K487" s="18"/>
      <c r="M487" s="18"/>
      <c r="O487" s="18"/>
      <c r="Q487" s="18"/>
    </row>
    <row r="488">
      <c r="C488" s="18"/>
      <c r="E488" s="18"/>
      <c r="G488" s="18"/>
      <c r="I488" s="18"/>
      <c r="K488" s="18"/>
      <c r="M488" s="18"/>
      <c r="O488" s="18"/>
      <c r="Q488" s="18"/>
    </row>
    <row r="489">
      <c r="C489" s="18"/>
      <c r="E489" s="18"/>
      <c r="G489" s="18"/>
      <c r="I489" s="18"/>
      <c r="K489" s="18"/>
      <c r="M489" s="18"/>
      <c r="O489" s="18"/>
      <c r="Q489" s="18"/>
    </row>
    <row r="490">
      <c r="C490" s="18"/>
      <c r="E490" s="18"/>
      <c r="G490" s="18"/>
      <c r="I490" s="18"/>
      <c r="K490" s="18"/>
      <c r="M490" s="18"/>
      <c r="O490" s="18"/>
      <c r="Q490" s="18"/>
    </row>
    <row r="491">
      <c r="C491" s="18"/>
      <c r="E491" s="18"/>
      <c r="G491" s="18"/>
      <c r="I491" s="18"/>
      <c r="K491" s="18"/>
      <c r="M491" s="18"/>
      <c r="O491" s="18"/>
      <c r="Q491" s="18"/>
    </row>
    <row r="492">
      <c r="C492" s="18"/>
      <c r="E492" s="18"/>
      <c r="G492" s="18"/>
      <c r="I492" s="18"/>
      <c r="K492" s="18"/>
      <c r="M492" s="18"/>
      <c r="O492" s="18"/>
      <c r="Q492" s="18"/>
    </row>
    <row r="493">
      <c r="C493" s="18"/>
      <c r="E493" s="18"/>
      <c r="G493" s="18"/>
      <c r="I493" s="18"/>
      <c r="K493" s="18"/>
      <c r="M493" s="18"/>
      <c r="O493" s="18"/>
      <c r="Q493" s="18"/>
    </row>
    <row r="494">
      <c r="C494" s="18"/>
      <c r="E494" s="18"/>
      <c r="G494" s="18"/>
      <c r="I494" s="18"/>
      <c r="K494" s="18"/>
      <c r="M494" s="18"/>
      <c r="O494" s="18"/>
      <c r="Q494" s="18"/>
    </row>
    <row r="495">
      <c r="C495" s="18"/>
      <c r="E495" s="18"/>
      <c r="G495" s="18"/>
      <c r="I495" s="18"/>
      <c r="K495" s="18"/>
      <c r="M495" s="18"/>
      <c r="O495" s="18"/>
      <c r="Q495" s="18"/>
    </row>
    <row r="496">
      <c r="C496" s="18"/>
      <c r="E496" s="18"/>
      <c r="G496" s="18"/>
      <c r="I496" s="18"/>
      <c r="K496" s="18"/>
      <c r="M496" s="18"/>
      <c r="O496" s="18"/>
      <c r="Q496" s="18"/>
    </row>
    <row r="497">
      <c r="C497" s="18"/>
      <c r="E497" s="18"/>
      <c r="G497" s="18"/>
      <c r="I497" s="18"/>
      <c r="K497" s="18"/>
      <c r="M497" s="18"/>
      <c r="O497" s="18"/>
      <c r="Q497" s="18"/>
    </row>
    <row r="498">
      <c r="C498" s="18"/>
      <c r="E498" s="18"/>
      <c r="G498" s="18"/>
      <c r="I498" s="18"/>
      <c r="K498" s="18"/>
      <c r="M498" s="18"/>
      <c r="O498" s="18"/>
      <c r="Q498" s="18"/>
    </row>
    <row r="499">
      <c r="C499" s="18"/>
      <c r="E499" s="18"/>
      <c r="G499" s="18"/>
      <c r="I499" s="18"/>
      <c r="K499" s="18"/>
      <c r="M499" s="18"/>
      <c r="O499" s="18"/>
      <c r="Q499" s="18"/>
    </row>
    <row r="500">
      <c r="C500" s="18"/>
      <c r="E500" s="18"/>
      <c r="G500" s="18"/>
      <c r="I500" s="18"/>
      <c r="K500" s="18"/>
      <c r="M500" s="18"/>
      <c r="O500" s="18"/>
      <c r="Q500" s="18"/>
    </row>
    <row r="501">
      <c r="C501" s="18"/>
      <c r="E501" s="18"/>
      <c r="G501" s="18"/>
      <c r="I501" s="18"/>
      <c r="K501" s="18"/>
      <c r="M501" s="18"/>
      <c r="O501" s="18"/>
      <c r="Q501" s="18"/>
    </row>
    <row r="502">
      <c r="C502" s="18"/>
      <c r="E502" s="18"/>
      <c r="G502" s="18"/>
      <c r="I502" s="18"/>
      <c r="K502" s="18"/>
      <c r="M502" s="18"/>
      <c r="O502" s="18"/>
      <c r="Q502" s="18"/>
    </row>
    <row r="503">
      <c r="C503" s="18"/>
      <c r="E503" s="18"/>
      <c r="G503" s="18"/>
      <c r="I503" s="18"/>
      <c r="K503" s="18"/>
      <c r="M503" s="18"/>
      <c r="O503" s="18"/>
      <c r="Q503" s="18"/>
    </row>
    <row r="504">
      <c r="C504" s="18"/>
      <c r="E504" s="18"/>
      <c r="G504" s="18"/>
      <c r="I504" s="18"/>
      <c r="K504" s="18"/>
      <c r="M504" s="18"/>
      <c r="O504" s="18"/>
      <c r="Q504" s="18"/>
    </row>
    <row r="505">
      <c r="C505" s="18"/>
      <c r="E505" s="18"/>
      <c r="G505" s="18"/>
      <c r="I505" s="18"/>
      <c r="K505" s="18"/>
      <c r="M505" s="18"/>
      <c r="O505" s="18"/>
      <c r="Q505" s="18"/>
    </row>
    <row r="506">
      <c r="C506" s="18"/>
      <c r="E506" s="18"/>
      <c r="G506" s="18"/>
      <c r="I506" s="18"/>
      <c r="K506" s="18"/>
      <c r="M506" s="18"/>
      <c r="O506" s="18"/>
      <c r="Q506" s="18"/>
    </row>
    <row r="507">
      <c r="C507" s="18"/>
      <c r="E507" s="18"/>
      <c r="G507" s="18"/>
      <c r="I507" s="18"/>
      <c r="K507" s="18"/>
      <c r="M507" s="18"/>
      <c r="O507" s="18"/>
      <c r="Q507" s="18"/>
    </row>
    <row r="508">
      <c r="C508" s="18"/>
      <c r="E508" s="18"/>
      <c r="G508" s="18"/>
      <c r="I508" s="18"/>
      <c r="K508" s="18"/>
      <c r="M508" s="18"/>
      <c r="O508" s="18"/>
      <c r="Q508" s="18"/>
    </row>
    <row r="509">
      <c r="C509" s="18"/>
      <c r="E509" s="18"/>
      <c r="G509" s="18"/>
      <c r="I509" s="18"/>
      <c r="K509" s="18"/>
      <c r="M509" s="18"/>
      <c r="O509" s="18"/>
      <c r="Q509" s="18"/>
    </row>
    <row r="510">
      <c r="C510" s="18"/>
      <c r="E510" s="18"/>
      <c r="G510" s="18"/>
      <c r="I510" s="18"/>
      <c r="K510" s="18"/>
      <c r="M510" s="18"/>
      <c r="O510" s="18"/>
      <c r="Q510" s="18"/>
    </row>
    <row r="511">
      <c r="C511" s="18"/>
      <c r="E511" s="18"/>
      <c r="G511" s="18"/>
      <c r="I511" s="18"/>
      <c r="K511" s="18"/>
      <c r="M511" s="18"/>
      <c r="O511" s="18"/>
      <c r="Q511" s="18"/>
    </row>
    <row r="512">
      <c r="C512" s="18"/>
      <c r="E512" s="18"/>
      <c r="G512" s="18"/>
      <c r="I512" s="18"/>
      <c r="K512" s="18"/>
      <c r="M512" s="18"/>
      <c r="O512" s="18"/>
      <c r="Q512" s="18"/>
    </row>
    <row r="513">
      <c r="C513" s="18"/>
      <c r="E513" s="18"/>
      <c r="G513" s="18"/>
      <c r="I513" s="18"/>
      <c r="K513" s="18"/>
      <c r="M513" s="18"/>
      <c r="O513" s="18"/>
      <c r="Q513" s="18"/>
    </row>
    <row r="514">
      <c r="C514" s="18"/>
      <c r="E514" s="18"/>
      <c r="G514" s="18"/>
      <c r="I514" s="18"/>
      <c r="K514" s="18"/>
      <c r="M514" s="18"/>
      <c r="O514" s="18"/>
      <c r="Q514" s="18"/>
    </row>
    <row r="515">
      <c r="C515" s="18"/>
      <c r="E515" s="18"/>
      <c r="G515" s="18"/>
      <c r="I515" s="18"/>
      <c r="K515" s="18"/>
      <c r="M515" s="18"/>
      <c r="O515" s="18"/>
      <c r="Q515" s="18"/>
    </row>
    <row r="516">
      <c r="C516" s="18"/>
      <c r="E516" s="18"/>
      <c r="G516" s="18"/>
      <c r="I516" s="18"/>
      <c r="K516" s="18"/>
      <c r="M516" s="18"/>
      <c r="O516" s="18"/>
      <c r="Q516" s="18"/>
    </row>
    <row r="517">
      <c r="C517" s="18"/>
      <c r="E517" s="18"/>
      <c r="G517" s="18"/>
      <c r="I517" s="18"/>
      <c r="K517" s="18"/>
      <c r="M517" s="18"/>
      <c r="O517" s="18"/>
      <c r="Q517" s="18"/>
    </row>
    <row r="518">
      <c r="C518" s="18"/>
      <c r="E518" s="18"/>
      <c r="G518" s="18"/>
      <c r="I518" s="18"/>
      <c r="K518" s="18"/>
      <c r="M518" s="18"/>
      <c r="O518" s="18"/>
      <c r="Q518" s="18"/>
    </row>
    <row r="519">
      <c r="C519" s="18"/>
      <c r="E519" s="18"/>
      <c r="G519" s="18"/>
      <c r="I519" s="18"/>
      <c r="K519" s="18"/>
      <c r="M519" s="18"/>
      <c r="O519" s="18"/>
      <c r="Q519" s="18"/>
    </row>
    <row r="520">
      <c r="C520" s="18"/>
      <c r="E520" s="18"/>
      <c r="G520" s="18"/>
      <c r="I520" s="18"/>
      <c r="K520" s="18"/>
      <c r="M520" s="18"/>
      <c r="O520" s="18"/>
      <c r="Q520" s="18"/>
    </row>
    <row r="521">
      <c r="C521" s="18"/>
      <c r="E521" s="18"/>
      <c r="G521" s="18"/>
      <c r="I521" s="18"/>
      <c r="K521" s="18"/>
      <c r="M521" s="18"/>
      <c r="O521" s="18"/>
      <c r="Q521" s="18"/>
    </row>
    <row r="522">
      <c r="C522" s="18"/>
      <c r="E522" s="18"/>
      <c r="G522" s="18"/>
      <c r="I522" s="18"/>
      <c r="K522" s="18"/>
      <c r="M522" s="18"/>
      <c r="O522" s="18"/>
      <c r="Q522" s="18"/>
    </row>
    <row r="523">
      <c r="C523" s="18"/>
      <c r="E523" s="18"/>
      <c r="G523" s="18"/>
      <c r="I523" s="18"/>
      <c r="K523" s="18"/>
      <c r="M523" s="18"/>
      <c r="O523" s="18"/>
      <c r="Q523" s="18"/>
    </row>
    <row r="524">
      <c r="C524" s="18"/>
      <c r="E524" s="18"/>
      <c r="G524" s="18"/>
      <c r="I524" s="18"/>
      <c r="K524" s="18"/>
      <c r="M524" s="18"/>
      <c r="O524" s="18"/>
      <c r="Q524" s="18"/>
    </row>
    <row r="525">
      <c r="C525" s="18"/>
      <c r="E525" s="18"/>
      <c r="G525" s="18"/>
      <c r="I525" s="18"/>
      <c r="K525" s="18"/>
      <c r="M525" s="18"/>
      <c r="O525" s="18"/>
      <c r="Q525" s="18"/>
    </row>
    <row r="526">
      <c r="C526" s="18"/>
      <c r="E526" s="18"/>
      <c r="G526" s="18"/>
      <c r="I526" s="18"/>
      <c r="K526" s="18"/>
      <c r="M526" s="18"/>
      <c r="O526" s="18"/>
      <c r="Q526" s="18"/>
    </row>
    <row r="527">
      <c r="C527" s="18"/>
      <c r="E527" s="18"/>
      <c r="G527" s="18"/>
      <c r="I527" s="18"/>
      <c r="K527" s="18"/>
      <c r="M527" s="18"/>
      <c r="O527" s="18"/>
      <c r="Q527" s="18"/>
    </row>
    <row r="528">
      <c r="C528" s="18"/>
      <c r="E528" s="18"/>
      <c r="G528" s="18"/>
      <c r="I528" s="18"/>
      <c r="K528" s="18"/>
      <c r="M528" s="18"/>
      <c r="O528" s="18"/>
      <c r="Q528" s="18"/>
    </row>
    <row r="529">
      <c r="C529" s="18"/>
      <c r="E529" s="18"/>
      <c r="G529" s="18"/>
      <c r="I529" s="18"/>
      <c r="K529" s="18"/>
      <c r="M529" s="18"/>
      <c r="O529" s="18"/>
      <c r="Q529" s="18"/>
    </row>
    <row r="530">
      <c r="C530" s="18"/>
      <c r="E530" s="18"/>
      <c r="G530" s="18"/>
      <c r="I530" s="18"/>
      <c r="K530" s="18"/>
      <c r="M530" s="18"/>
      <c r="O530" s="18"/>
      <c r="Q530" s="18"/>
    </row>
    <row r="531">
      <c r="C531" s="18"/>
      <c r="E531" s="18"/>
      <c r="G531" s="18"/>
      <c r="I531" s="18"/>
      <c r="K531" s="18"/>
      <c r="M531" s="18"/>
      <c r="O531" s="18"/>
      <c r="Q531" s="18"/>
    </row>
    <row r="532">
      <c r="C532" s="18"/>
      <c r="E532" s="18"/>
      <c r="G532" s="18"/>
      <c r="I532" s="18"/>
      <c r="K532" s="18"/>
      <c r="M532" s="18"/>
      <c r="O532" s="18"/>
      <c r="Q532" s="18"/>
    </row>
    <row r="533">
      <c r="C533" s="18"/>
      <c r="E533" s="18"/>
      <c r="G533" s="18"/>
      <c r="I533" s="18"/>
      <c r="K533" s="18"/>
      <c r="M533" s="18"/>
      <c r="O533" s="18"/>
      <c r="Q533" s="18"/>
    </row>
    <row r="534">
      <c r="C534" s="18"/>
      <c r="E534" s="18"/>
      <c r="G534" s="18"/>
      <c r="I534" s="18"/>
      <c r="K534" s="18"/>
      <c r="M534" s="18"/>
      <c r="O534" s="18"/>
      <c r="Q534" s="18"/>
    </row>
    <row r="535">
      <c r="C535" s="18"/>
      <c r="E535" s="18"/>
      <c r="G535" s="18"/>
      <c r="I535" s="18"/>
      <c r="K535" s="18"/>
      <c r="M535" s="18"/>
      <c r="O535" s="18"/>
      <c r="Q535" s="18"/>
    </row>
    <row r="536">
      <c r="C536" s="18"/>
      <c r="E536" s="18"/>
      <c r="G536" s="18"/>
      <c r="I536" s="18"/>
      <c r="K536" s="18"/>
      <c r="M536" s="18"/>
      <c r="O536" s="18"/>
      <c r="Q536" s="18"/>
    </row>
    <row r="537">
      <c r="C537" s="18"/>
      <c r="E537" s="18"/>
      <c r="G537" s="18"/>
      <c r="I537" s="18"/>
      <c r="K537" s="18"/>
      <c r="M537" s="18"/>
      <c r="O537" s="18"/>
      <c r="Q537" s="18"/>
    </row>
    <row r="538">
      <c r="C538" s="18"/>
      <c r="E538" s="18"/>
      <c r="G538" s="18"/>
      <c r="I538" s="18"/>
      <c r="K538" s="18"/>
      <c r="M538" s="18"/>
      <c r="O538" s="18"/>
      <c r="Q538" s="18"/>
    </row>
    <row r="539">
      <c r="C539" s="18"/>
      <c r="E539" s="18"/>
      <c r="G539" s="18"/>
      <c r="I539" s="18"/>
      <c r="K539" s="18"/>
      <c r="M539" s="18"/>
      <c r="O539" s="18"/>
      <c r="Q539" s="18"/>
    </row>
    <row r="540">
      <c r="C540" s="18"/>
      <c r="E540" s="18"/>
      <c r="G540" s="18"/>
      <c r="I540" s="18"/>
      <c r="K540" s="18"/>
      <c r="M540" s="18"/>
      <c r="O540" s="18"/>
      <c r="Q540" s="18"/>
    </row>
    <row r="541">
      <c r="C541" s="18"/>
      <c r="E541" s="18"/>
      <c r="G541" s="18"/>
      <c r="I541" s="18"/>
      <c r="K541" s="18"/>
      <c r="M541" s="18"/>
      <c r="O541" s="18"/>
      <c r="Q541" s="18"/>
    </row>
    <row r="542">
      <c r="C542" s="18"/>
      <c r="E542" s="18"/>
      <c r="G542" s="18"/>
      <c r="I542" s="18"/>
      <c r="K542" s="18"/>
      <c r="M542" s="18"/>
      <c r="O542" s="18"/>
      <c r="Q542" s="18"/>
    </row>
    <row r="543">
      <c r="C543" s="18"/>
      <c r="E543" s="18"/>
      <c r="G543" s="18"/>
      <c r="I543" s="18"/>
      <c r="K543" s="18"/>
      <c r="M543" s="18"/>
      <c r="O543" s="18"/>
      <c r="Q543" s="18"/>
    </row>
    <row r="544">
      <c r="C544" s="18"/>
      <c r="E544" s="18"/>
      <c r="G544" s="18"/>
      <c r="I544" s="18"/>
      <c r="K544" s="18"/>
      <c r="M544" s="18"/>
      <c r="O544" s="18"/>
      <c r="Q544" s="18"/>
    </row>
    <row r="545">
      <c r="C545" s="18"/>
      <c r="E545" s="18"/>
      <c r="G545" s="18"/>
      <c r="I545" s="18"/>
      <c r="K545" s="18"/>
      <c r="M545" s="18"/>
      <c r="O545" s="18"/>
      <c r="Q545" s="18"/>
    </row>
    <row r="546">
      <c r="C546" s="18"/>
      <c r="E546" s="18"/>
      <c r="G546" s="18"/>
      <c r="I546" s="18"/>
      <c r="K546" s="18"/>
      <c r="M546" s="18"/>
      <c r="O546" s="18"/>
      <c r="Q546" s="18"/>
    </row>
    <row r="547">
      <c r="C547" s="18"/>
      <c r="E547" s="18"/>
      <c r="G547" s="18"/>
      <c r="I547" s="18"/>
      <c r="K547" s="18"/>
      <c r="M547" s="18"/>
      <c r="O547" s="18"/>
      <c r="Q547" s="18"/>
    </row>
    <row r="548">
      <c r="C548" s="18"/>
      <c r="E548" s="18"/>
      <c r="G548" s="18"/>
      <c r="I548" s="18"/>
      <c r="K548" s="18"/>
      <c r="M548" s="18"/>
      <c r="O548" s="18"/>
      <c r="Q548" s="18"/>
    </row>
    <row r="549">
      <c r="C549" s="18"/>
      <c r="E549" s="18"/>
      <c r="G549" s="18"/>
      <c r="I549" s="18"/>
      <c r="K549" s="18"/>
      <c r="M549" s="18"/>
      <c r="O549" s="18"/>
      <c r="Q549" s="18"/>
    </row>
    <row r="550">
      <c r="C550" s="18"/>
      <c r="E550" s="18"/>
      <c r="G550" s="18"/>
      <c r="I550" s="18"/>
      <c r="K550" s="18"/>
      <c r="M550" s="18"/>
      <c r="O550" s="18"/>
      <c r="Q550" s="18"/>
    </row>
    <row r="551">
      <c r="C551" s="18"/>
      <c r="E551" s="18"/>
      <c r="G551" s="18"/>
      <c r="I551" s="18"/>
      <c r="K551" s="18"/>
      <c r="M551" s="18"/>
      <c r="O551" s="18"/>
      <c r="Q551" s="18"/>
    </row>
    <row r="552">
      <c r="C552" s="18"/>
      <c r="E552" s="18"/>
      <c r="G552" s="18"/>
      <c r="I552" s="18"/>
      <c r="K552" s="18"/>
      <c r="M552" s="18"/>
      <c r="O552" s="18"/>
      <c r="Q552" s="18"/>
    </row>
    <row r="553">
      <c r="C553" s="18"/>
      <c r="E553" s="18"/>
      <c r="G553" s="18"/>
      <c r="I553" s="18"/>
      <c r="K553" s="18"/>
      <c r="M553" s="18"/>
      <c r="O553" s="18"/>
      <c r="Q553" s="18"/>
    </row>
    <row r="554">
      <c r="C554" s="18"/>
      <c r="E554" s="18"/>
      <c r="G554" s="18"/>
      <c r="I554" s="18"/>
      <c r="K554" s="18"/>
      <c r="M554" s="18"/>
      <c r="O554" s="18"/>
      <c r="Q554" s="18"/>
    </row>
    <row r="555">
      <c r="C555" s="18"/>
      <c r="E555" s="18"/>
      <c r="G555" s="18"/>
      <c r="I555" s="18"/>
      <c r="K555" s="18"/>
      <c r="M555" s="18"/>
      <c r="O555" s="18"/>
      <c r="Q555" s="18"/>
    </row>
    <row r="556">
      <c r="C556" s="18"/>
      <c r="E556" s="18"/>
      <c r="G556" s="18"/>
      <c r="I556" s="18"/>
      <c r="K556" s="18"/>
      <c r="M556" s="18"/>
      <c r="O556" s="18"/>
      <c r="Q556" s="18"/>
    </row>
    <row r="557">
      <c r="C557" s="18"/>
      <c r="E557" s="18"/>
      <c r="G557" s="18"/>
      <c r="I557" s="18"/>
      <c r="K557" s="18"/>
      <c r="M557" s="18"/>
      <c r="O557" s="18"/>
      <c r="Q557" s="18"/>
    </row>
    <row r="558">
      <c r="C558" s="18"/>
      <c r="E558" s="18"/>
      <c r="G558" s="18"/>
      <c r="I558" s="18"/>
      <c r="K558" s="18"/>
      <c r="M558" s="18"/>
      <c r="O558" s="18"/>
      <c r="Q558" s="18"/>
    </row>
    <row r="559">
      <c r="C559" s="18"/>
      <c r="E559" s="18"/>
      <c r="G559" s="18"/>
      <c r="I559" s="18"/>
      <c r="K559" s="18"/>
      <c r="M559" s="18"/>
      <c r="O559" s="18"/>
      <c r="Q559" s="18"/>
    </row>
    <row r="560">
      <c r="C560" s="18"/>
      <c r="E560" s="18"/>
      <c r="G560" s="18"/>
      <c r="I560" s="18"/>
      <c r="K560" s="18"/>
      <c r="M560" s="18"/>
      <c r="O560" s="18"/>
      <c r="Q560" s="18"/>
    </row>
    <row r="561">
      <c r="C561" s="18"/>
      <c r="E561" s="18"/>
      <c r="G561" s="18"/>
      <c r="I561" s="18"/>
      <c r="K561" s="18"/>
      <c r="M561" s="18"/>
      <c r="O561" s="18"/>
      <c r="Q561" s="18"/>
    </row>
    <row r="562">
      <c r="C562" s="18"/>
      <c r="E562" s="18"/>
      <c r="G562" s="18"/>
      <c r="I562" s="18"/>
      <c r="K562" s="18"/>
      <c r="M562" s="18"/>
      <c r="O562" s="18"/>
      <c r="Q562" s="18"/>
    </row>
    <row r="563">
      <c r="C563" s="18"/>
      <c r="E563" s="18"/>
      <c r="G563" s="18"/>
      <c r="I563" s="18"/>
      <c r="K563" s="18"/>
      <c r="M563" s="18"/>
      <c r="O563" s="18"/>
      <c r="Q563" s="18"/>
    </row>
    <row r="564">
      <c r="C564" s="18"/>
      <c r="E564" s="18"/>
      <c r="G564" s="18"/>
      <c r="I564" s="18"/>
      <c r="K564" s="18"/>
      <c r="M564" s="18"/>
      <c r="O564" s="18"/>
      <c r="Q564" s="18"/>
    </row>
    <row r="565">
      <c r="C565" s="18"/>
      <c r="E565" s="18"/>
      <c r="G565" s="18"/>
      <c r="I565" s="18"/>
      <c r="K565" s="18"/>
      <c r="M565" s="18"/>
      <c r="O565" s="18"/>
      <c r="Q565" s="18"/>
    </row>
    <row r="566">
      <c r="C566" s="18"/>
      <c r="E566" s="18"/>
      <c r="G566" s="18"/>
      <c r="I566" s="18"/>
      <c r="K566" s="18"/>
      <c r="M566" s="18"/>
      <c r="O566" s="18"/>
      <c r="Q566" s="18"/>
    </row>
    <row r="567">
      <c r="C567" s="18"/>
      <c r="E567" s="18"/>
      <c r="G567" s="18"/>
      <c r="I567" s="18"/>
      <c r="K567" s="18"/>
      <c r="M567" s="18"/>
      <c r="O567" s="18"/>
      <c r="Q567" s="18"/>
    </row>
    <row r="568">
      <c r="C568" s="18"/>
      <c r="E568" s="18"/>
      <c r="G568" s="18"/>
      <c r="I568" s="18"/>
      <c r="K568" s="18"/>
      <c r="M568" s="18"/>
      <c r="O568" s="18"/>
      <c r="Q568" s="18"/>
    </row>
    <row r="569">
      <c r="C569" s="18"/>
      <c r="E569" s="18"/>
      <c r="G569" s="18"/>
      <c r="I569" s="18"/>
      <c r="K569" s="18"/>
      <c r="M569" s="18"/>
      <c r="O569" s="18"/>
      <c r="Q569" s="18"/>
    </row>
    <row r="570">
      <c r="C570" s="18"/>
      <c r="E570" s="18"/>
      <c r="G570" s="18"/>
      <c r="I570" s="18"/>
      <c r="K570" s="18"/>
      <c r="M570" s="18"/>
      <c r="O570" s="18"/>
      <c r="Q570" s="18"/>
    </row>
    <row r="571">
      <c r="C571" s="18"/>
      <c r="E571" s="18"/>
      <c r="G571" s="18"/>
      <c r="I571" s="18"/>
      <c r="K571" s="18"/>
      <c r="M571" s="18"/>
      <c r="O571" s="18"/>
      <c r="Q571" s="18"/>
    </row>
    <row r="572">
      <c r="C572" s="18"/>
      <c r="E572" s="18"/>
      <c r="G572" s="18"/>
      <c r="I572" s="18"/>
      <c r="K572" s="18"/>
      <c r="M572" s="18"/>
      <c r="O572" s="18"/>
      <c r="Q572" s="18"/>
    </row>
    <row r="573">
      <c r="C573" s="18"/>
      <c r="E573" s="18"/>
      <c r="G573" s="18"/>
      <c r="I573" s="18"/>
      <c r="K573" s="18"/>
      <c r="M573" s="18"/>
      <c r="O573" s="18"/>
      <c r="Q573" s="18"/>
    </row>
    <row r="574">
      <c r="C574" s="18"/>
      <c r="E574" s="18"/>
      <c r="G574" s="18"/>
      <c r="I574" s="18"/>
      <c r="K574" s="18"/>
      <c r="M574" s="18"/>
      <c r="O574" s="18"/>
      <c r="Q574" s="18"/>
    </row>
    <row r="575">
      <c r="C575" s="18"/>
      <c r="E575" s="18"/>
      <c r="G575" s="18"/>
      <c r="I575" s="18"/>
      <c r="K575" s="18"/>
      <c r="M575" s="18"/>
      <c r="O575" s="18"/>
      <c r="Q575" s="18"/>
    </row>
    <row r="576">
      <c r="C576" s="18"/>
      <c r="E576" s="18"/>
      <c r="G576" s="18"/>
      <c r="I576" s="18"/>
      <c r="K576" s="18"/>
      <c r="M576" s="18"/>
      <c r="O576" s="18"/>
      <c r="Q576" s="18"/>
    </row>
    <row r="577">
      <c r="C577" s="18"/>
      <c r="E577" s="18"/>
      <c r="G577" s="18"/>
      <c r="I577" s="18"/>
      <c r="K577" s="18"/>
      <c r="M577" s="18"/>
      <c r="O577" s="18"/>
      <c r="Q577" s="18"/>
    </row>
    <row r="578">
      <c r="C578" s="18"/>
      <c r="E578" s="18"/>
      <c r="G578" s="18"/>
      <c r="I578" s="18"/>
      <c r="K578" s="18"/>
      <c r="M578" s="18"/>
      <c r="O578" s="18"/>
      <c r="Q578" s="18"/>
    </row>
    <row r="579">
      <c r="C579" s="18"/>
      <c r="E579" s="18"/>
      <c r="G579" s="18"/>
      <c r="I579" s="18"/>
      <c r="K579" s="18"/>
      <c r="M579" s="18"/>
      <c r="O579" s="18"/>
      <c r="Q579" s="18"/>
    </row>
    <row r="580">
      <c r="C580" s="18"/>
      <c r="E580" s="18"/>
      <c r="G580" s="18"/>
      <c r="I580" s="18"/>
      <c r="K580" s="18"/>
      <c r="M580" s="18"/>
      <c r="O580" s="18"/>
      <c r="Q580" s="18"/>
    </row>
    <row r="581">
      <c r="C581" s="18"/>
      <c r="E581" s="18"/>
      <c r="G581" s="18"/>
      <c r="I581" s="18"/>
      <c r="K581" s="18"/>
      <c r="M581" s="18"/>
      <c r="O581" s="18"/>
      <c r="Q581" s="18"/>
    </row>
    <row r="582">
      <c r="C582" s="18"/>
      <c r="E582" s="18"/>
      <c r="G582" s="18"/>
      <c r="I582" s="18"/>
      <c r="K582" s="18"/>
      <c r="M582" s="18"/>
      <c r="O582" s="18"/>
      <c r="Q582" s="18"/>
    </row>
    <row r="583">
      <c r="C583" s="18"/>
      <c r="E583" s="18"/>
      <c r="G583" s="18"/>
      <c r="I583" s="18"/>
      <c r="K583" s="18"/>
      <c r="M583" s="18"/>
      <c r="O583" s="18"/>
      <c r="Q583" s="18"/>
    </row>
    <row r="584">
      <c r="C584" s="18"/>
      <c r="E584" s="18"/>
      <c r="G584" s="18"/>
      <c r="I584" s="18"/>
      <c r="K584" s="18"/>
      <c r="M584" s="18"/>
      <c r="O584" s="18"/>
      <c r="Q584" s="18"/>
    </row>
    <row r="585">
      <c r="C585" s="18"/>
      <c r="E585" s="18"/>
      <c r="G585" s="18"/>
      <c r="I585" s="18"/>
      <c r="K585" s="18"/>
      <c r="M585" s="18"/>
      <c r="O585" s="18"/>
      <c r="Q585" s="18"/>
    </row>
    <row r="586">
      <c r="C586" s="18"/>
      <c r="E586" s="18"/>
      <c r="G586" s="18"/>
      <c r="I586" s="18"/>
      <c r="K586" s="18"/>
      <c r="M586" s="18"/>
      <c r="O586" s="18"/>
      <c r="Q586" s="18"/>
    </row>
    <row r="587">
      <c r="C587" s="18"/>
      <c r="E587" s="18"/>
      <c r="G587" s="18"/>
      <c r="I587" s="18"/>
      <c r="K587" s="18"/>
      <c r="M587" s="18"/>
      <c r="O587" s="18"/>
      <c r="Q587" s="18"/>
    </row>
    <row r="588">
      <c r="C588" s="18"/>
      <c r="E588" s="18"/>
      <c r="G588" s="18"/>
      <c r="I588" s="18"/>
      <c r="K588" s="18"/>
      <c r="M588" s="18"/>
      <c r="O588" s="18"/>
      <c r="Q588" s="18"/>
    </row>
    <row r="589">
      <c r="C589" s="18"/>
      <c r="E589" s="18"/>
      <c r="G589" s="18"/>
      <c r="I589" s="18"/>
      <c r="K589" s="18"/>
      <c r="M589" s="18"/>
      <c r="O589" s="18"/>
      <c r="Q589" s="18"/>
    </row>
    <row r="590">
      <c r="C590" s="18"/>
      <c r="E590" s="18"/>
      <c r="G590" s="18"/>
      <c r="I590" s="18"/>
      <c r="K590" s="18"/>
      <c r="M590" s="18"/>
      <c r="O590" s="18"/>
      <c r="Q590" s="18"/>
    </row>
    <row r="591">
      <c r="C591" s="18"/>
      <c r="E591" s="18"/>
      <c r="G591" s="18"/>
      <c r="I591" s="18"/>
      <c r="K591" s="18"/>
      <c r="M591" s="18"/>
      <c r="O591" s="18"/>
      <c r="Q591" s="18"/>
    </row>
    <row r="592">
      <c r="C592" s="18"/>
      <c r="E592" s="18"/>
      <c r="G592" s="18"/>
      <c r="I592" s="18"/>
      <c r="K592" s="18"/>
      <c r="M592" s="18"/>
      <c r="O592" s="18"/>
      <c r="Q592" s="18"/>
    </row>
    <row r="593">
      <c r="C593" s="18"/>
      <c r="E593" s="18"/>
      <c r="G593" s="18"/>
      <c r="I593" s="18"/>
      <c r="K593" s="18"/>
      <c r="M593" s="18"/>
      <c r="O593" s="18"/>
      <c r="Q593" s="18"/>
    </row>
    <row r="594">
      <c r="C594" s="18"/>
      <c r="E594" s="18"/>
      <c r="G594" s="18"/>
      <c r="I594" s="18"/>
      <c r="K594" s="18"/>
      <c r="M594" s="18"/>
      <c r="O594" s="18"/>
      <c r="Q594" s="18"/>
    </row>
    <row r="595">
      <c r="C595" s="18"/>
      <c r="E595" s="18"/>
      <c r="G595" s="18"/>
      <c r="I595" s="18"/>
      <c r="K595" s="18"/>
      <c r="M595" s="18"/>
      <c r="O595" s="18"/>
      <c r="Q595" s="18"/>
    </row>
    <row r="596">
      <c r="C596" s="18"/>
      <c r="E596" s="18"/>
      <c r="G596" s="18"/>
      <c r="I596" s="18"/>
      <c r="K596" s="18"/>
      <c r="M596" s="18"/>
      <c r="O596" s="18"/>
      <c r="Q596" s="18"/>
    </row>
    <row r="597">
      <c r="C597" s="18"/>
      <c r="E597" s="18"/>
      <c r="G597" s="18"/>
      <c r="I597" s="18"/>
      <c r="K597" s="18"/>
      <c r="M597" s="18"/>
      <c r="O597" s="18"/>
      <c r="Q597" s="18"/>
    </row>
    <row r="598">
      <c r="C598" s="18"/>
      <c r="E598" s="18"/>
      <c r="G598" s="18"/>
      <c r="I598" s="18"/>
      <c r="K598" s="18"/>
      <c r="M598" s="18"/>
      <c r="O598" s="18"/>
      <c r="Q598" s="18"/>
    </row>
    <row r="599">
      <c r="C599" s="18"/>
      <c r="E599" s="18"/>
      <c r="G599" s="18"/>
      <c r="I599" s="18"/>
      <c r="K599" s="18"/>
      <c r="M599" s="18"/>
      <c r="O599" s="18"/>
      <c r="Q599" s="18"/>
    </row>
    <row r="600">
      <c r="C600" s="18"/>
      <c r="E600" s="18"/>
      <c r="G600" s="18"/>
      <c r="I600" s="18"/>
      <c r="K600" s="18"/>
      <c r="M600" s="18"/>
      <c r="O600" s="18"/>
      <c r="Q600" s="18"/>
    </row>
    <row r="601">
      <c r="C601" s="18"/>
      <c r="E601" s="18"/>
      <c r="G601" s="18"/>
      <c r="I601" s="18"/>
      <c r="K601" s="18"/>
      <c r="M601" s="18"/>
      <c r="O601" s="18"/>
      <c r="Q601" s="18"/>
    </row>
    <row r="602">
      <c r="C602" s="18"/>
      <c r="E602" s="18"/>
      <c r="G602" s="18"/>
      <c r="I602" s="18"/>
      <c r="K602" s="18"/>
      <c r="M602" s="18"/>
      <c r="O602" s="18"/>
      <c r="Q602" s="18"/>
    </row>
    <row r="603">
      <c r="C603" s="18"/>
      <c r="E603" s="18"/>
      <c r="G603" s="18"/>
      <c r="I603" s="18"/>
      <c r="K603" s="18"/>
      <c r="M603" s="18"/>
      <c r="O603" s="18"/>
      <c r="Q603" s="18"/>
    </row>
    <row r="604">
      <c r="C604" s="18"/>
      <c r="E604" s="18"/>
      <c r="G604" s="18"/>
      <c r="I604" s="18"/>
      <c r="K604" s="18"/>
      <c r="M604" s="18"/>
      <c r="O604" s="18"/>
      <c r="Q604" s="18"/>
    </row>
    <row r="605">
      <c r="C605" s="18"/>
      <c r="E605" s="18"/>
      <c r="G605" s="18"/>
      <c r="I605" s="18"/>
      <c r="K605" s="18"/>
      <c r="M605" s="18"/>
      <c r="O605" s="18"/>
      <c r="Q605" s="18"/>
    </row>
    <row r="606">
      <c r="C606" s="18"/>
      <c r="E606" s="18"/>
      <c r="G606" s="18"/>
      <c r="I606" s="18"/>
      <c r="K606" s="18"/>
      <c r="M606" s="18"/>
      <c r="O606" s="18"/>
      <c r="Q606" s="18"/>
    </row>
    <row r="607">
      <c r="C607" s="18"/>
      <c r="E607" s="18"/>
      <c r="G607" s="18"/>
      <c r="I607" s="18"/>
      <c r="K607" s="18"/>
      <c r="M607" s="18"/>
      <c r="O607" s="18"/>
      <c r="Q607" s="18"/>
    </row>
    <row r="608">
      <c r="C608" s="18"/>
      <c r="E608" s="18"/>
      <c r="G608" s="18"/>
      <c r="I608" s="18"/>
      <c r="K608" s="18"/>
      <c r="M608" s="18"/>
      <c r="O608" s="18"/>
      <c r="Q608" s="18"/>
    </row>
    <row r="609">
      <c r="C609" s="18"/>
      <c r="E609" s="18"/>
      <c r="G609" s="18"/>
      <c r="I609" s="18"/>
      <c r="K609" s="18"/>
      <c r="M609" s="18"/>
      <c r="O609" s="18"/>
      <c r="Q609" s="18"/>
    </row>
    <row r="610">
      <c r="C610" s="18"/>
      <c r="E610" s="18"/>
      <c r="G610" s="18"/>
      <c r="I610" s="18"/>
      <c r="K610" s="18"/>
      <c r="M610" s="18"/>
      <c r="O610" s="18"/>
      <c r="Q610" s="18"/>
    </row>
    <row r="611">
      <c r="C611" s="18"/>
      <c r="E611" s="18"/>
      <c r="G611" s="18"/>
      <c r="I611" s="18"/>
      <c r="K611" s="18"/>
      <c r="M611" s="18"/>
      <c r="O611" s="18"/>
      <c r="Q611" s="18"/>
    </row>
    <row r="612">
      <c r="C612" s="18"/>
      <c r="E612" s="18"/>
      <c r="G612" s="18"/>
      <c r="I612" s="18"/>
      <c r="K612" s="18"/>
      <c r="M612" s="18"/>
      <c r="O612" s="18"/>
      <c r="Q612" s="18"/>
    </row>
    <row r="613">
      <c r="C613" s="18"/>
      <c r="E613" s="18"/>
      <c r="G613" s="18"/>
      <c r="I613" s="18"/>
      <c r="K613" s="18"/>
      <c r="M613" s="18"/>
      <c r="O613" s="18"/>
      <c r="Q613" s="18"/>
    </row>
    <row r="614">
      <c r="C614" s="18"/>
      <c r="E614" s="18"/>
      <c r="G614" s="18"/>
      <c r="I614" s="18"/>
      <c r="K614" s="18"/>
      <c r="M614" s="18"/>
      <c r="O614" s="18"/>
      <c r="Q614" s="18"/>
    </row>
    <row r="615">
      <c r="C615" s="18"/>
      <c r="E615" s="18"/>
      <c r="G615" s="18"/>
      <c r="I615" s="18"/>
      <c r="K615" s="18"/>
      <c r="M615" s="18"/>
      <c r="O615" s="18"/>
      <c r="Q615" s="18"/>
    </row>
    <row r="616">
      <c r="C616" s="18"/>
      <c r="E616" s="18"/>
      <c r="G616" s="18"/>
      <c r="I616" s="18"/>
      <c r="K616" s="18"/>
      <c r="M616" s="18"/>
      <c r="O616" s="18"/>
      <c r="Q616" s="18"/>
    </row>
    <row r="617">
      <c r="C617" s="18"/>
      <c r="E617" s="18"/>
      <c r="G617" s="18"/>
      <c r="I617" s="18"/>
      <c r="K617" s="18"/>
      <c r="M617" s="18"/>
      <c r="O617" s="18"/>
      <c r="Q617" s="18"/>
    </row>
    <row r="618">
      <c r="C618" s="18"/>
      <c r="E618" s="18"/>
      <c r="G618" s="18"/>
      <c r="I618" s="18"/>
      <c r="K618" s="18"/>
      <c r="M618" s="18"/>
      <c r="O618" s="18"/>
      <c r="Q618" s="18"/>
    </row>
    <row r="619">
      <c r="C619" s="18"/>
      <c r="E619" s="18"/>
      <c r="G619" s="18"/>
      <c r="I619" s="18"/>
      <c r="K619" s="18"/>
      <c r="M619" s="18"/>
      <c r="O619" s="18"/>
      <c r="Q619" s="18"/>
    </row>
    <row r="620">
      <c r="C620" s="18"/>
      <c r="E620" s="18"/>
      <c r="G620" s="18"/>
      <c r="I620" s="18"/>
      <c r="K620" s="18"/>
      <c r="M620" s="18"/>
      <c r="O620" s="18"/>
      <c r="Q620" s="18"/>
    </row>
    <row r="621">
      <c r="C621" s="18"/>
      <c r="E621" s="18"/>
      <c r="G621" s="18"/>
      <c r="I621" s="18"/>
      <c r="K621" s="18"/>
      <c r="M621" s="18"/>
      <c r="O621" s="18"/>
      <c r="Q621" s="18"/>
    </row>
    <row r="622">
      <c r="C622" s="18"/>
      <c r="E622" s="18"/>
      <c r="G622" s="18"/>
      <c r="I622" s="18"/>
      <c r="K622" s="18"/>
      <c r="M622" s="18"/>
      <c r="O622" s="18"/>
      <c r="Q622" s="18"/>
    </row>
    <row r="623">
      <c r="C623" s="18"/>
      <c r="E623" s="18"/>
      <c r="G623" s="18"/>
      <c r="I623" s="18"/>
      <c r="K623" s="18"/>
      <c r="M623" s="18"/>
      <c r="O623" s="18"/>
      <c r="Q623" s="18"/>
    </row>
    <row r="624">
      <c r="C624" s="18"/>
      <c r="E624" s="18"/>
      <c r="G624" s="18"/>
      <c r="I624" s="18"/>
      <c r="K624" s="18"/>
      <c r="M624" s="18"/>
      <c r="O624" s="18"/>
      <c r="Q624" s="18"/>
    </row>
    <row r="625">
      <c r="C625" s="18"/>
      <c r="E625" s="18"/>
      <c r="G625" s="18"/>
      <c r="I625" s="18"/>
      <c r="K625" s="18"/>
      <c r="M625" s="18"/>
      <c r="O625" s="18"/>
      <c r="Q625" s="18"/>
    </row>
    <row r="626">
      <c r="C626" s="18"/>
      <c r="E626" s="18"/>
      <c r="G626" s="18"/>
      <c r="I626" s="18"/>
      <c r="K626" s="18"/>
      <c r="M626" s="18"/>
      <c r="O626" s="18"/>
      <c r="Q626" s="18"/>
    </row>
    <row r="627">
      <c r="C627" s="18"/>
      <c r="E627" s="18"/>
      <c r="G627" s="18"/>
      <c r="I627" s="18"/>
      <c r="K627" s="18"/>
      <c r="M627" s="18"/>
      <c r="O627" s="18"/>
      <c r="Q627" s="18"/>
    </row>
    <row r="628">
      <c r="C628" s="18"/>
      <c r="E628" s="18"/>
      <c r="G628" s="18"/>
      <c r="I628" s="18"/>
      <c r="K628" s="18"/>
      <c r="M628" s="18"/>
      <c r="O628" s="18"/>
      <c r="Q628" s="18"/>
    </row>
    <row r="629">
      <c r="C629" s="18"/>
      <c r="E629" s="18"/>
      <c r="G629" s="18"/>
      <c r="I629" s="18"/>
      <c r="K629" s="18"/>
      <c r="M629" s="18"/>
      <c r="O629" s="18"/>
      <c r="Q629" s="18"/>
    </row>
    <row r="630">
      <c r="C630" s="18"/>
      <c r="E630" s="18"/>
      <c r="G630" s="18"/>
      <c r="I630" s="18"/>
      <c r="K630" s="18"/>
      <c r="M630" s="18"/>
      <c r="O630" s="18"/>
      <c r="Q630" s="18"/>
    </row>
    <row r="631">
      <c r="C631" s="18"/>
      <c r="E631" s="18"/>
      <c r="G631" s="18"/>
      <c r="I631" s="18"/>
      <c r="K631" s="18"/>
      <c r="M631" s="18"/>
      <c r="O631" s="18"/>
      <c r="Q631" s="18"/>
    </row>
    <row r="632">
      <c r="C632" s="18"/>
      <c r="E632" s="18"/>
      <c r="G632" s="18"/>
      <c r="I632" s="18"/>
      <c r="K632" s="18"/>
      <c r="M632" s="18"/>
      <c r="O632" s="18"/>
      <c r="Q632" s="18"/>
    </row>
    <row r="633">
      <c r="C633" s="18"/>
      <c r="E633" s="18"/>
      <c r="G633" s="18"/>
      <c r="I633" s="18"/>
      <c r="K633" s="18"/>
      <c r="M633" s="18"/>
      <c r="O633" s="18"/>
      <c r="Q633" s="18"/>
    </row>
    <row r="634">
      <c r="C634" s="18"/>
      <c r="E634" s="18"/>
      <c r="G634" s="18"/>
      <c r="I634" s="18"/>
      <c r="K634" s="18"/>
      <c r="M634" s="18"/>
      <c r="O634" s="18"/>
      <c r="Q634" s="18"/>
    </row>
    <row r="635">
      <c r="C635" s="18"/>
      <c r="E635" s="18"/>
      <c r="G635" s="18"/>
      <c r="I635" s="18"/>
      <c r="K635" s="18"/>
      <c r="M635" s="18"/>
      <c r="O635" s="18"/>
      <c r="Q635" s="18"/>
    </row>
    <row r="636">
      <c r="C636" s="18"/>
      <c r="E636" s="18"/>
      <c r="G636" s="18"/>
      <c r="I636" s="18"/>
      <c r="K636" s="18"/>
      <c r="M636" s="18"/>
      <c r="O636" s="18"/>
      <c r="Q636" s="18"/>
    </row>
    <row r="637">
      <c r="C637" s="18"/>
      <c r="E637" s="18"/>
      <c r="G637" s="18"/>
      <c r="I637" s="18"/>
      <c r="K637" s="18"/>
      <c r="M637" s="18"/>
      <c r="O637" s="18"/>
      <c r="Q637" s="18"/>
    </row>
    <row r="638">
      <c r="C638" s="18"/>
      <c r="E638" s="18"/>
      <c r="G638" s="18"/>
      <c r="I638" s="18"/>
      <c r="K638" s="18"/>
      <c r="M638" s="18"/>
      <c r="O638" s="18"/>
      <c r="Q638" s="18"/>
    </row>
    <row r="639">
      <c r="C639" s="18"/>
      <c r="E639" s="18"/>
      <c r="G639" s="18"/>
      <c r="I639" s="18"/>
      <c r="K639" s="18"/>
      <c r="M639" s="18"/>
      <c r="O639" s="18"/>
      <c r="Q639" s="18"/>
    </row>
    <row r="640">
      <c r="C640" s="18"/>
      <c r="E640" s="18"/>
      <c r="G640" s="18"/>
      <c r="I640" s="18"/>
      <c r="K640" s="18"/>
      <c r="M640" s="18"/>
      <c r="O640" s="18"/>
      <c r="Q640" s="18"/>
    </row>
    <row r="641">
      <c r="C641" s="18"/>
      <c r="E641" s="18"/>
      <c r="G641" s="18"/>
      <c r="I641" s="18"/>
      <c r="K641" s="18"/>
      <c r="M641" s="18"/>
      <c r="O641" s="18"/>
      <c r="Q641" s="18"/>
    </row>
    <row r="642">
      <c r="C642" s="18"/>
      <c r="E642" s="18"/>
      <c r="G642" s="18"/>
      <c r="I642" s="18"/>
      <c r="K642" s="18"/>
      <c r="M642" s="18"/>
      <c r="O642" s="18"/>
      <c r="Q642" s="18"/>
    </row>
    <row r="643">
      <c r="C643" s="18"/>
      <c r="E643" s="18"/>
      <c r="G643" s="18"/>
      <c r="I643" s="18"/>
      <c r="K643" s="18"/>
      <c r="M643" s="18"/>
      <c r="O643" s="18"/>
      <c r="Q643" s="18"/>
    </row>
    <row r="644">
      <c r="C644" s="18"/>
      <c r="E644" s="18"/>
      <c r="G644" s="18"/>
      <c r="I644" s="18"/>
      <c r="K644" s="18"/>
      <c r="M644" s="18"/>
      <c r="O644" s="18"/>
      <c r="Q644" s="18"/>
    </row>
    <row r="645">
      <c r="C645" s="18"/>
      <c r="E645" s="18"/>
      <c r="G645" s="18"/>
      <c r="I645" s="18"/>
      <c r="K645" s="18"/>
      <c r="M645" s="18"/>
      <c r="O645" s="18"/>
      <c r="Q645" s="18"/>
    </row>
    <row r="646">
      <c r="C646" s="18"/>
      <c r="E646" s="18"/>
      <c r="G646" s="18"/>
      <c r="I646" s="18"/>
      <c r="K646" s="18"/>
      <c r="M646" s="18"/>
      <c r="O646" s="18"/>
      <c r="Q646" s="18"/>
    </row>
    <row r="647">
      <c r="C647" s="18"/>
      <c r="E647" s="18"/>
      <c r="G647" s="18"/>
      <c r="I647" s="18"/>
      <c r="K647" s="18"/>
      <c r="M647" s="18"/>
      <c r="O647" s="18"/>
      <c r="Q647" s="18"/>
    </row>
    <row r="648">
      <c r="C648" s="18"/>
      <c r="E648" s="18"/>
      <c r="G648" s="18"/>
      <c r="I648" s="18"/>
      <c r="K648" s="18"/>
      <c r="M648" s="18"/>
      <c r="O648" s="18"/>
      <c r="Q648" s="18"/>
    </row>
    <row r="649">
      <c r="C649" s="18"/>
      <c r="E649" s="18"/>
      <c r="G649" s="18"/>
      <c r="I649" s="18"/>
      <c r="K649" s="18"/>
      <c r="M649" s="18"/>
      <c r="O649" s="18"/>
      <c r="Q649" s="18"/>
    </row>
    <row r="650">
      <c r="C650" s="18"/>
      <c r="E650" s="18"/>
      <c r="G650" s="18"/>
      <c r="I650" s="18"/>
      <c r="K650" s="18"/>
      <c r="M650" s="18"/>
      <c r="O650" s="18"/>
      <c r="Q650" s="18"/>
    </row>
    <row r="651">
      <c r="C651" s="18"/>
      <c r="E651" s="18"/>
      <c r="G651" s="18"/>
      <c r="I651" s="18"/>
      <c r="K651" s="18"/>
      <c r="M651" s="18"/>
      <c r="O651" s="18"/>
      <c r="Q651" s="18"/>
    </row>
    <row r="652">
      <c r="C652" s="18"/>
      <c r="E652" s="18"/>
      <c r="G652" s="18"/>
      <c r="I652" s="18"/>
      <c r="K652" s="18"/>
      <c r="M652" s="18"/>
      <c r="O652" s="18"/>
      <c r="Q652" s="18"/>
    </row>
    <row r="653">
      <c r="C653" s="18"/>
      <c r="E653" s="18"/>
      <c r="G653" s="18"/>
      <c r="I653" s="18"/>
      <c r="K653" s="18"/>
      <c r="M653" s="18"/>
      <c r="O653" s="18"/>
      <c r="Q653" s="18"/>
    </row>
    <row r="654">
      <c r="C654" s="18"/>
      <c r="E654" s="18"/>
      <c r="G654" s="18"/>
      <c r="I654" s="18"/>
      <c r="K654" s="18"/>
      <c r="M654" s="18"/>
      <c r="O654" s="18"/>
      <c r="Q654" s="18"/>
    </row>
    <row r="655">
      <c r="C655" s="18"/>
      <c r="E655" s="18"/>
      <c r="G655" s="18"/>
      <c r="I655" s="18"/>
      <c r="K655" s="18"/>
      <c r="M655" s="18"/>
      <c r="O655" s="18"/>
      <c r="Q655" s="18"/>
    </row>
    <row r="656">
      <c r="C656" s="18"/>
      <c r="E656" s="18"/>
      <c r="G656" s="18"/>
      <c r="I656" s="18"/>
      <c r="K656" s="18"/>
      <c r="M656" s="18"/>
      <c r="O656" s="18"/>
      <c r="Q656" s="18"/>
    </row>
    <row r="657">
      <c r="C657" s="18"/>
      <c r="E657" s="18"/>
      <c r="G657" s="18"/>
      <c r="I657" s="18"/>
      <c r="K657" s="18"/>
      <c r="M657" s="18"/>
      <c r="O657" s="18"/>
      <c r="Q657" s="18"/>
    </row>
    <row r="658">
      <c r="C658" s="18"/>
      <c r="E658" s="18"/>
      <c r="G658" s="18"/>
      <c r="I658" s="18"/>
      <c r="K658" s="18"/>
      <c r="M658" s="18"/>
      <c r="O658" s="18"/>
      <c r="Q658" s="18"/>
    </row>
    <row r="659">
      <c r="C659" s="18"/>
      <c r="E659" s="18"/>
      <c r="G659" s="18"/>
      <c r="I659" s="18"/>
      <c r="K659" s="18"/>
      <c r="M659" s="18"/>
      <c r="O659" s="18"/>
      <c r="Q659" s="18"/>
    </row>
    <row r="660">
      <c r="C660" s="18"/>
      <c r="E660" s="18"/>
      <c r="G660" s="18"/>
      <c r="I660" s="18"/>
      <c r="K660" s="18"/>
      <c r="M660" s="18"/>
      <c r="O660" s="18"/>
      <c r="Q660" s="18"/>
    </row>
    <row r="661">
      <c r="C661" s="18"/>
      <c r="E661" s="18"/>
      <c r="G661" s="18"/>
      <c r="I661" s="18"/>
      <c r="K661" s="18"/>
      <c r="M661" s="18"/>
      <c r="O661" s="18"/>
      <c r="Q661" s="18"/>
    </row>
    <row r="662">
      <c r="C662" s="18"/>
      <c r="E662" s="18"/>
      <c r="G662" s="18"/>
      <c r="I662" s="18"/>
      <c r="K662" s="18"/>
      <c r="M662" s="18"/>
      <c r="O662" s="18"/>
      <c r="Q662" s="18"/>
    </row>
    <row r="663">
      <c r="C663" s="18"/>
      <c r="E663" s="18"/>
      <c r="G663" s="18"/>
      <c r="I663" s="18"/>
      <c r="K663" s="18"/>
      <c r="M663" s="18"/>
      <c r="O663" s="18"/>
      <c r="Q663" s="18"/>
    </row>
    <row r="664">
      <c r="C664" s="18"/>
      <c r="E664" s="18"/>
      <c r="G664" s="18"/>
      <c r="I664" s="18"/>
      <c r="K664" s="18"/>
      <c r="M664" s="18"/>
      <c r="O664" s="18"/>
      <c r="Q664" s="18"/>
    </row>
    <row r="665">
      <c r="C665" s="18"/>
      <c r="E665" s="18"/>
      <c r="G665" s="18"/>
      <c r="I665" s="18"/>
      <c r="K665" s="18"/>
      <c r="M665" s="18"/>
      <c r="O665" s="18"/>
      <c r="Q665" s="18"/>
    </row>
    <row r="666">
      <c r="C666" s="18"/>
      <c r="E666" s="18"/>
      <c r="G666" s="18"/>
      <c r="I666" s="18"/>
      <c r="K666" s="18"/>
      <c r="M666" s="18"/>
      <c r="O666" s="18"/>
      <c r="Q666" s="18"/>
    </row>
    <row r="667">
      <c r="C667" s="18"/>
      <c r="E667" s="18"/>
      <c r="G667" s="18"/>
      <c r="I667" s="18"/>
      <c r="K667" s="18"/>
      <c r="M667" s="18"/>
      <c r="O667" s="18"/>
      <c r="Q667" s="18"/>
    </row>
    <row r="668">
      <c r="C668" s="18"/>
      <c r="E668" s="18"/>
      <c r="G668" s="18"/>
      <c r="I668" s="18"/>
      <c r="K668" s="18"/>
      <c r="M668" s="18"/>
      <c r="O668" s="18"/>
      <c r="Q668" s="18"/>
    </row>
    <row r="669">
      <c r="C669" s="18"/>
      <c r="E669" s="18"/>
      <c r="G669" s="18"/>
      <c r="I669" s="18"/>
      <c r="K669" s="18"/>
      <c r="M669" s="18"/>
      <c r="O669" s="18"/>
      <c r="Q669" s="18"/>
    </row>
    <row r="670">
      <c r="C670" s="18"/>
      <c r="E670" s="18"/>
      <c r="G670" s="18"/>
      <c r="I670" s="18"/>
      <c r="K670" s="18"/>
      <c r="M670" s="18"/>
      <c r="O670" s="18"/>
      <c r="Q670" s="18"/>
    </row>
    <row r="671">
      <c r="C671" s="18"/>
      <c r="E671" s="18"/>
      <c r="G671" s="18"/>
      <c r="I671" s="18"/>
      <c r="K671" s="18"/>
      <c r="M671" s="18"/>
      <c r="O671" s="18"/>
      <c r="Q671" s="18"/>
    </row>
    <row r="672">
      <c r="C672" s="18"/>
      <c r="E672" s="18"/>
      <c r="G672" s="18"/>
      <c r="I672" s="18"/>
      <c r="K672" s="18"/>
      <c r="M672" s="18"/>
      <c r="O672" s="18"/>
      <c r="Q672" s="18"/>
    </row>
    <row r="673">
      <c r="C673" s="18"/>
      <c r="E673" s="18"/>
      <c r="G673" s="18"/>
      <c r="I673" s="18"/>
      <c r="K673" s="18"/>
      <c r="M673" s="18"/>
      <c r="O673" s="18"/>
      <c r="Q673" s="18"/>
    </row>
    <row r="674">
      <c r="C674" s="18"/>
      <c r="E674" s="18"/>
      <c r="G674" s="18"/>
      <c r="I674" s="18"/>
      <c r="K674" s="18"/>
      <c r="M674" s="18"/>
      <c r="O674" s="18"/>
      <c r="Q674" s="18"/>
    </row>
    <row r="675">
      <c r="C675" s="18"/>
      <c r="E675" s="18"/>
      <c r="G675" s="18"/>
      <c r="I675" s="18"/>
      <c r="K675" s="18"/>
      <c r="M675" s="18"/>
      <c r="O675" s="18"/>
      <c r="Q675" s="18"/>
    </row>
    <row r="676">
      <c r="C676" s="18"/>
      <c r="E676" s="18"/>
      <c r="G676" s="18"/>
      <c r="I676" s="18"/>
      <c r="K676" s="18"/>
      <c r="M676" s="18"/>
      <c r="O676" s="18"/>
      <c r="Q676" s="18"/>
    </row>
    <row r="677">
      <c r="C677" s="18"/>
      <c r="E677" s="18"/>
      <c r="G677" s="18"/>
      <c r="I677" s="18"/>
      <c r="K677" s="18"/>
      <c r="M677" s="18"/>
      <c r="O677" s="18"/>
      <c r="Q677" s="18"/>
    </row>
    <row r="678">
      <c r="C678" s="18"/>
      <c r="E678" s="18"/>
      <c r="G678" s="18"/>
      <c r="I678" s="18"/>
      <c r="K678" s="18"/>
      <c r="M678" s="18"/>
      <c r="O678" s="18"/>
      <c r="Q678" s="18"/>
    </row>
    <row r="679">
      <c r="C679" s="18"/>
      <c r="E679" s="18"/>
      <c r="G679" s="18"/>
      <c r="I679" s="18"/>
      <c r="K679" s="18"/>
      <c r="M679" s="18"/>
      <c r="O679" s="18"/>
      <c r="Q679" s="18"/>
    </row>
    <row r="680">
      <c r="C680" s="18"/>
      <c r="E680" s="18"/>
      <c r="G680" s="18"/>
      <c r="I680" s="18"/>
      <c r="K680" s="18"/>
      <c r="M680" s="18"/>
      <c r="O680" s="18"/>
      <c r="Q680" s="18"/>
    </row>
    <row r="681">
      <c r="C681" s="18"/>
      <c r="E681" s="18"/>
      <c r="G681" s="18"/>
      <c r="I681" s="18"/>
      <c r="K681" s="18"/>
      <c r="M681" s="18"/>
      <c r="O681" s="18"/>
      <c r="Q681" s="18"/>
    </row>
    <row r="682">
      <c r="C682" s="18"/>
      <c r="E682" s="18"/>
      <c r="G682" s="18"/>
      <c r="I682" s="18"/>
      <c r="K682" s="18"/>
      <c r="M682" s="18"/>
      <c r="O682" s="18"/>
      <c r="Q682" s="18"/>
    </row>
    <row r="683">
      <c r="C683" s="18"/>
      <c r="E683" s="18"/>
      <c r="G683" s="18"/>
      <c r="I683" s="18"/>
      <c r="K683" s="18"/>
      <c r="M683" s="18"/>
      <c r="O683" s="18"/>
      <c r="Q683" s="18"/>
    </row>
    <row r="684">
      <c r="C684" s="18"/>
      <c r="E684" s="18"/>
      <c r="G684" s="18"/>
      <c r="I684" s="18"/>
      <c r="K684" s="18"/>
      <c r="M684" s="18"/>
      <c r="O684" s="18"/>
      <c r="Q684" s="18"/>
    </row>
    <row r="685">
      <c r="C685" s="18"/>
      <c r="E685" s="18"/>
      <c r="G685" s="18"/>
      <c r="I685" s="18"/>
      <c r="K685" s="18"/>
      <c r="M685" s="18"/>
      <c r="O685" s="18"/>
      <c r="Q685" s="18"/>
    </row>
    <row r="686">
      <c r="C686" s="18"/>
      <c r="E686" s="18"/>
      <c r="G686" s="18"/>
      <c r="I686" s="18"/>
      <c r="K686" s="18"/>
      <c r="M686" s="18"/>
      <c r="O686" s="18"/>
      <c r="Q686" s="18"/>
    </row>
    <row r="687">
      <c r="C687" s="18"/>
      <c r="E687" s="18"/>
      <c r="G687" s="18"/>
      <c r="I687" s="18"/>
      <c r="K687" s="18"/>
      <c r="M687" s="18"/>
      <c r="O687" s="18"/>
      <c r="Q687" s="18"/>
    </row>
    <row r="688">
      <c r="C688" s="18"/>
      <c r="E688" s="18"/>
      <c r="G688" s="18"/>
      <c r="I688" s="18"/>
      <c r="K688" s="18"/>
      <c r="M688" s="18"/>
      <c r="O688" s="18"/>
      <c r="Q688" s="18"/>
    </row>
    <row r="689">
      <c r="C689" s="18"/>
      <c r="E689" s="18"/>
      <c r="G689" s="18"/>
      <c r="I689" s="18"/>
      <c r="K689" s="18"/>
      <c r="M689" s="18"/>
      <c r="O689" s="18"/>
      <c r="Q689" s="18"/>
    </row>
    <row r="690">
      <c r="C690" s="18"/>
      <c r="E690" s="18"/>
      <c r="G690" s="18"/>
      <c r="I690" s="18"/>
      <c r="K690" s="18"/>
      <c r="M690" s="18"/>
      <c r="O690" s="18"/>
      <c r="Q690" s="18"/>
    </row>
    <row r="691">
      <c r="C691" s="18"/>
      <c r="E691" s="18"/>
      <c r="G691" s="18"/>
      <c r="I691" s="18"/>
      <c r="K691" s="18"/>
      <c r="M691" s="18"/>
      <c r="O691" s="18"/>
      <c r="Q691" s="18"/>
    </row>
    <row r="692">
      <c r="C692" s="18"/>
      <c r="E692" s="18"/>
      <c r="G692" s="18"/>
      <c r="I692" s="18"/>
      <c r="K692" s="18"/>
      <c r="M692" s="18"/>
      <c r="O692" s="18"/>
      <c r="Q692" s="18"/>
    </row>
    <row r="693">
      <c r="C693" s="18"/>
      <c r="E693" s="18"/>
      <c r="G693" s="18"/>
      <c r="I693" s="18"/>
      <c r="K693" s="18"/>
      <c r="M693" s="18"/>
      <c r="O693" s="18"/>
      <c r="Q693" s="18"/>
    </row>
    <row r="694">
      <c r="C694" s="18"/>
      <c r="E694" s="18"/>
      <c r="G694" s="18"/>
      <c r="I694" s="18"/>
      <c r="K694" s="18"/>
      <c r="M694" s="18"/>
      <c r="O694" s="18"/>
      <c r="Q694" s="18"/>
    </row>
    <row r="695">
      <c r="C695" s="18"/>
      <c r="E695" s="18"/>
      <c r="G695" s="18"/>
      <c r="I695" s="18"/>
      <c r="K695" s="18"/>
      <c r="M695" s="18"/>
      <c r="O695" s="18"/>
      <c r="Q695" s="18"/>
    </row>
    <row r="696">
      <c r="C696" s="18"/>
      <c r="E696" s="18"/>
      <c r="G696" s="18"/>
      <c r="I696" s="18"/>
      <c r="K696" s="18"/>
      <c r="M696" s="18"/>
      <c r="O696" s="18"/>
      <c r="Q696" s="18"/>
    </row>
    <row r="697">
      <c r="C697" s="18"/>
      <c r="E697" s="18"/>
      <c r="G697" s="18"/>
      <c r="I697" s="18"/>
      <c r="K697" s="18"/>
      <c r="M697" s="18"/>
      <c r="O697" s="18"/>
      <c r="Q697" s="18"/>
    </row>
    <row r="698">
      <c r="C698" s="18"/>
      <c r="E698" s="18"/>
      <c r="G698" s="18"/>
      <c r="I698" s="18"/>
      <c r="K698" s="18"/>
      <c r="M698" s="18"/>
      <c r="O698" s="18"/>
      <c r="Q698" s="18"/>
    </row>
    <row r="699">
      <c r="C699" s="18"/>
      <c r="E699" s="18"/>
      <c r="G699" s="18"/>
      <c r="I699" s="18"/>
      <c r="K699" s="18"/>
      <c r="M699" s="18"/>
      <c r="O699" s="18"/>
      <c r="Q699" s="18"/>
    </row>
    <row r="700">
      <c r="C700" s="18"/>
      <c r="E700" s="18"/>
      <c r="G700" s="18"/>
      <c r="I700" s="18"/>
      <c r="K700" s="18"/>
      <c r="M700" s="18"/>
      <c r="O700" s="18"/>
      <c r="Q700" s="18"/>
    </row>
    <row r="701">
      <c r="C701" s="18"/>
      <c r="E701" s="18"/>
      <c r="G701" s="18"/>
      <c r="I701" s="18"/>
      <c r="K701" s="18"/>
      <c r="M701" s="18"/>
      <c r="O701" s="18"/>
      <c r="Q701" s="18"/>
    </row>
    <row r="702">
      <c r="C702" s="18"/>
      <c r="E702" s="18"/>
      <c r="G702" s="18"/>
      <c r="I702" s="18"/>
      <c r="K702" s="18"/>
      <c r="M702" s="18"/>
      <c r="O702" s="18"/>
      <c r="Q702" s="18"/>
    </row>
    <row r="703">
      <c r="C703" s="18"/>
      <c r="E703" s="18"/>
      <c r="G703" s="18"/>
      <c r="I703" s="18"/>
      <c r="K703" s="18"/>
      <c r="M703" s="18"/>
      <c r="O703" s="18"/>
      <c r="Q703" s="18"/>
    </row>
    <row r="704">
      <c r="C704" s="18"/>
      <c r="E704" s="18"/>
      <c r="G704" s="18"/>
      <c r="I704" s="18"/>
      <c r="K704" s="18"/>
      <c r="M704" s="18"/>
      <c r="O704" s="18"/>
      <c r="Q704" s="18"/>
    </row>
    <row r="705">
      <c r="C705" s="18"/>
      <c r="E705" s="18"/>
      <c r="G705" s="18"/>
      <c r="I705" s="18"/>
      <c r="K705" s="18"/>
      <c r="M705" s="18"/>
      <c r="O705" s="18"/>
      <c r="Q705" s="18"/>
    </row>
    <row r="706">
      <c r="C706" s="18"/>
      <c r="E706" s="18"/>
      <c r="G706" s="18"/>
      <c r="I706" s="18"/>
      <c r="K706" s="18"/>
      <c r="M706" s="18"/>
      <c r="O706" s="18"/>
      <c r="Q706" s="18"/>
    </row>
    <row r="707">
      <c r="C707" s="18"/>
      <c r="E707" s="18"/>
      <c r="G707" s="18"/>
      <c r="I707" s="18"/>
      <c r="K707" s="18"/>
      <c r="M707" s="18"/>
      <c r="O707" s="18"/>
      <c r="Q707" s="18"/>
    </row>
    <row r="708">
      <c r="C708" s="18"/>
      <c r="E708" s="18"/>
      <c r="G708" s="18"/>
      <c r="I708" s="18"/>
      <c r="K708" s="18"/>
      <c r="M708" s="18"/>
      <c r="O708" s="18"/>
      <c r="Q708" s="18"/>
    </row>
    <row r="709">
      <c r="C709" s="18"/>
      <c r="E709" s="18"/>
      <c r="G709" s="18"/>
      <c r="I709" s="18"/>
      <c r="K709" s="18"/>
      <c r="M709" s="18"/>
      <c r="O709" s="18"/>
      <c r="Q709" s="18"/>
    </row>
    <row r="710">
      <c r="C710" s="18"/>
      <c r="E710" s="18"/>
      <c r="G710" s="18"/>
      <c r="I710" s="18"/>
      <c r="K710" s="18"/>
      <c r="M710" s="18"/>
      <c r="O710" s="18"/>
      <c r="Q710" s="18"/>
    </row>
    <row r="711">
      <c r="C711" s="18"/>
      <c r="E711" s="18"/>
      <c r="G711" s="18"/>
      <c r="I711" s="18"/>
      <c r="K711" s="18"/>
      <c r="M711" s="18"/>
      <c r="O711" s="18"/>
      <c r="Q711" s="18"/>
    </row>
    <row r="712">
      <c r="C712" s="18"/>
      <c r="E712" s="18"/>
      <c r="G712" s="18"/>
      <c r="I712" s="18"/>
      <c r="K712" s="18"/>
      <c r="M712" s="18"/>
      <c r="O712" s="18"/>
      <c r="Q712" s="18"/>
    </row>
    <row r="713">
      <c r="C713" s="18"/>
      <c r="E713" s="18"/>
      <c r="G713" s="18"/>
      <c r="I713" s="18"/>
      <c r="K713" s="18"/>
      <c r="M713" s="18"/>
      <c r="O713" s="18"/>
      <c r="Q713" s="18"/>
    </row>
    <row r="714">
      <c r="C714" s="18"/>
      <c r="E714" s="18"/>
      <c r="G714" s="18"/>
      <c r="I714" s="18"/>
      <c r="K714" s="18"/>
      <c r="M714" s="18"/>
      <c r="O714" s="18"/>
      <c r="Q714" s="18"/>
    </row>
    <row r="715">
      <c r="C715" s="18"/>
      <c r="E715" s="18"/>
      <c r="G715" s="18"/>
      <c r="I715" s="18"/>
      <c r="K715" s="18"/>
      <c r="M715" s="18"/>
      <c r="O715" s="18"/>
      <c r="Q715" s="18"/>
    </row>
    <row r="716">
      <c r="C716" s="18"/>
      <c r="E716" s="18"/>
      <c r="G716" s="18"/>
      <c r="I716" s="18"/>
      <c r="K716" s="18"/>
      <c r="M716" s="18"/>
      <c r="O716" s="18"/>
      <c r="Q716" s="18"/>
    </row>
    <row r="717">
      <c r="C717" s="18"/>
      <c r="E717" s="18"/>
      <c r="G717" s="18"/>
      <c r="I717" s="18"/>
      <c r="K717" s="18"/>
      <c r="M717" s="18"/>
      <c r="O717" s="18"/>
      <c r="Q717" s="18"/>
    </row>
    <row r="718">
      <c r="C718" s="18"/>
      <c r="E718" s="18"/>
      <c r="G718" s="18"/>
      <c r="I718" s="18"/>
      <c r="K718" s="18"/>
      <c r="M718" s="18"/>
      <c r="O718" s="18"/>
      <c r="Q718" s="18"/>
    </row>
    <row r="719">
      <c r="C719" s="18"/>
      <c r="E719" s="18"/>
      <c r="G719" s="18"/>
      <c r="I719" s="18"/>
      <c r="K719" s="18"/>
      <c r="M719" s="18"/>
      <c r="O719" s="18"/>
      <c r="Q719" s="18"/>
    </row>
    <row r="720">
      <c r="C720" s="18"/>
      <c r="E720" s="18"/>
      <c r="G720" s="18"/>
      <c r="I720" s="18"/>
      <c r="K720" s="18"/>
      <c r="M720" s="18"/>
      <c r="O720" s="18"/>
      <c r="Q720" s="18"/>
    </row>
    <row r="721">
      <c r="C721" s="18"/>
      <c r="E721" s="18"/>
      <c r="G721" s="18"/>
      <c r="I721" s="18"/>
      <c r="K721" s="18"/>
      <c r="M721" s="18"/>
      <c r="O721" s="18"/>
      <c r="Q721" s="18"/>
    </row>
    <row r="722">
      <c r="C722" s="18"/>
      <c r="E722" s="18"/>
      <c r="G722" s="18"/>
      <c r="I722" s="18"/>
      <c r="K722" s="18"/>
      <c r="M722" s="18"/>
      <c r="O722" s="18"/>
      <c r="Q722" s="18"/>
    </row>
    <row r="723">
      <c r="C723" s="18"/>
      <c r="E723" s="18"/>
      <c r="G723" s="18"/>
      <c r="I723" s="18"/>
      <c r="K723" s="18"/>
      <c r="M723" s="18"/>
      <c r="O723" s="18"/>
      <c r="Q723" s="18"/>
    </row>
    <row r="724">
      <c r="C724" s="18"/>
      <c r="E724" s="18"/>
      <c r="G724" s="18"/>
      <c r="I724" s="18"/>
      <c r="K724" s="18"/>
      <c r="M724" s="18"/>
      <c r="O724" s="18"/>
      <c r="Q724" s="18"/>
    </row>
    <row r="725">
      <c r="C725" s="18"/>
      <c r="E725" s="18"/>
      <c r="G725" s="18"/>
      <c r="I725" s="18"/>
      <c r="K725" s="18"/>
      <c r="M725" s="18"/>
      <c r="O725" s="18"/>
      <c r="Q725" s="18"/>
    </row>
    <row r="726">
      <c r="C726" s="18"/>
      <c r="E726" s="18"/>
      <c r="G726" s="18"/>
      <c r="I726" s="18"/>
      <c r="K726" s="18"/>
      <c r="M726" s="18"/>
      <c r="O726" s="18"/>
      <c r="Q726" s="18"/>
    </row>
    <row r="727">
      <c r="C727" s="18"/>
      <c r="E727" s="18"/>
      <c r="G727" s="18"/>
      <c r="I727" s="18"/>
      <c r="K727" s="18"/>
      <c r="M727" s="18"/>
      <c r="O727" s="18"/>
      <c r="Q727" s="18"/>
    </row>
    <row r="728">
      <c r="C728" s="18"/>
      <c r="E728" s="18"/>
      <c r="G728" s="18"/>
      <c r="I728" s="18"/>
      <c r="K728" s="18"/>
      <c r="M728" s="18"/>
      <c r="O728" s="18"/>
      <c r="Q728" s="18"/>
    </row>
    <row r="729">
      <c r="C729" s="18"/>
      <c r="E729" s="18"/>
      <c r="G729" s="18"/>
      <c r="I729" s="18"/>
      <c r="K729" s="18"/>
      <c r="M729" s="18"/>
      <c r="O729" s="18"/>
      <c r="Q729" s="18"/>
    </row>
    <row r="730">
      <c r="C730" s="18"/>
      <c r="E730" s="18"/>
      <c r="G730" s="18"/>
      <c r="I730" s="18"/>
      <c r="K730" s="18"/>
      <c r="M730" s="18"/>
      <c r="O730" s="18"/>
      <c r="Q730" s="18"/>
    </row>
    <row r="731">
      <c r="C731" s="18"/>
      <c r="E731" s="18"/>
      <c r="G731" s="18"/>
      <c r="I731" s="18"/>
      <c r="K731" s="18"/>
      <c r="M731" s="18"/>
      <c r="O731" s="18"/>
      <c r="Q731" s="18"/>
    </row>
    <row r="732">
      <c r="C732" s="18"/>
      <c r="E732" s="18"/>
      <c r="G732" s="18"/>
      <c r="I732" s="18"/>
      <c r="K732" s="18"/>
      <c r="M732" s="18"/>
      <c r="O732" s="18"/>
      <c r="Q732" s="18"/>
    </row>
    <row r="733">
      <c r="C733" s="18"/>
      <c r="E733" s="18"/>
      <c r="G733" s="18"/>
      <c r="I733" s="18"/>
      <c r="K733" s="18"/>
      <c r="M733" s="18"/>
      <c r="O733" s="18"/>
      <c r="Q733" s="18"/>
    </row>
    <row r="734">
      <c r="C734" s="18"/>
      <c r="E734" s="18"/>
      <c r="G734" s="18"/>
      <c r="I734" s="18"/>
      <c r="K734" s="18"/>
      <c r="M734" s="18"/>
      <c r="O734" s="18"/>
      <c r="Q734" s="18"/>
    </row>
    <row r="735">
      <c r="C735" s="18"/>
      <c r="E735" s="18"/>
      <c r="G735" s="18"/>
      <c r="I735" s="18"/>
      <c r="K735" s="18"/>
      <c r="M735" s="18"/>
      <c r="O735" s="18"/>
      <c r="Q735" s="18"/>
    </row>
    <row r="736">
      <c r="C736" s="18"/>
      <c r="E736" s="18"/>
      <c r="G736" s="18"/>
      <c r="I736" s="18"/>
      <c r="K736" s="18"/>
      <c r="M736" s="18"/>
      <c r="O736" s="18"/>
      <c r="Q736" s="18"/>
    </row>
    <row r="737">
      <c r="C737" s="18"/>
      <c r="E737" s="18"/>
      <c r="G737" s="18"/>
      <c r="I737" s="18"/>
      <c r="K737" s="18"/>
      <c r="M737" s="18"/>
      <c r="O737" s="18"/>
      <c r="Q737" s="18"/>
    </row>
    <row r="738">
      <c r="C738" s="18"/>
      <c r="E738" s="18"/>
      <c r="G738" s="18"/>
      <c r="I738" s="18"/>
      <c r="K738" s="18"/>
      <c r="M738" s="18"/>
      <c r="O738" s="18"/>
      <c r="Q738" s="18"/>
    </row>
    <row r="739">
      <c r="C739" s="18"/>
      <c r="E739" s="18"/>
      <c r="G739" s="18"/>
      <c r="I739" s="18"/>
      <c r="K739" s="18"/>
      <c r="M739" s="18"/>
      <c r="O739" s="18"/>
      <c r="Q739" s="18"/>
    </row>
    <row r="740">
      <c r="C740" s="18"/>
      <c r="E740" s="18"/>
      <c r="G740" s="18"/>
      <c r="I740" s="18"/>
      <c r="K740" s="18"/>
      <c r="M740" s="18"/>
      <c r="O740" s="18"/>
      <c r="Q740" s="18"/>
    </row>
    <row r="741">
      <c r="C741" s="18"/>
      <c r="E741" s="18"/>
      <c r="G741" s="18"/>
      <c r="I741" s="18"/>
      <c r="K741" s="18"/>
      <c r="M741" s="18"/>
      <c r="O741" s="18"/>
      <c r="Q741" s="18"/>
    </row>
    <row r="742">
      <c r="C742" s="18"/>
      <c r="E742" s="18"/>
      <c r="G742" s="18"/>
      <c r="I742" s="18"/>
      <c r="K742" s="18"/>
      <c r="M742" s="18"/>
      <c r="O742" s="18"/>
      <c r="Q742" s="18"/>
    </row>
    <row r="743">
      <c r="C743" s="18"/>
      <c r="E743" s="18"/>
      <c r="G743" s="18"/>
      <c r="I743" s="18"/>
      <c r="K743" s="18"/>
      <c r="M743" s="18"/>
      <c r="O743" s="18"/>
      <c r="Q743" s="18"/>
    </row>
    <row r="744">
      <c r="C744" s="18"/>
      <c r="E744" s="18"/>
      <c r="G744" s="18"/>
      <c r="I744" s="18"/>
      <c r="K744" s="18"/>
      <c r="M744" s="18"/>
      <c r="O744" s="18"/>
      <c r="Q744" s="18"/>
    </row>
    <row r="745">
      <c r="C745" s="18"/>
      <c r="E745" s="18"/>
      <c r="G745" s="18"/>
      <c r="I745" s="18"/>
      <c r="K745" s="18"/>
      <c r="M745" s="18"/>
      <c r="O745" s="18"/>
      <c r="Q745" s="18"/>
    </row>
    <row r="746">
      <c r="C746" s="18"/>
      <c r="E746" s="18"/>
      <c r="G746" s="18"/>
      <c r="I746" s="18"/>
      <c r="K746" s="18"/>
      <c r="M746" s="18"/>
      <c r="O746" s="18"/>
      <c r="Q746" s="18"/>
    </row>
    <row r="747">
      <c r="C747" s="18"/>
      <c r="E747" s="18"/>
      <c r="G747" s="18"/>
      <c r="I747" s="18"/>
      <c r="K747" s="18"/>
      <c r="M747" s="18"/>
      <c r="O747" s="18"/>
      <c r="Q747" s="18"/>
    </row>
    <row r="748">
      <c r="C748" s="18"/>
      <c r="E748" s="18"/>
      <c r="G748" s="18"/>
      <c r="I748" s="18"/>
      <c r="K748" s="18"/>
      <c r="M748" s="18"/>
      <c r="O748" s="18"/>
      <c r="Q748" s="18"/>
    </row>
    <row r="749">
      <c r="C749" s="18"/>
      <c r="E749" s="18"/>
      <c r="G749" s="18"/>
      <c r="I749" s="18"/>
      <c r="K749" s="18"/>
      <c r="M749" s="18"/>
      <c r="O749" s="18"/>
      <c r="Q749" s="18"/>
    </row>
    <row r="750">
      <c r="C750" s="18"/>
      <c r="E750" s="18"/>
      <c r="G750" s="18"/>
      <c r="I750" s="18"/>
      <c r="K750" s="18"/>
      <c r="M750" s="18"/>
      <c r="O750" s="18"/>
      <c r="Q750" s="18"/>
    </row>
    <row r="751">
      <c r="C751" s="18"/>
      <c r="E751" s="18"/>
      <c r="G751" s="18"/>
      <c r="I751" s="18"/>
      <c r="K751" s="18"/>
      <c r="M751" s="18"/>
      <c r="O751" s="18"/>
      <c r="Q751" s="18"/>
    </row>
    <row r="752">
      <c r="C752" s="18"/>
      <c r="E752" s="18"/>
      <c r="G752" s="18"/>
      <c r="I752" s="18"/>
      <c r="K752" s="18"/>
      <c r="M752" s="18"/>
      <c r="O752" s="18"/>
      <c r="Q752" s="18"/>
    </row>
    <row r="753">
      <c r="C753" s="18"/>
      <c r="E753" s="18"/>
      <c r="G753" s="18"/>
      <c r="I753" s="18"/>
      <c r="K753" s="18"/>
      <c r="M753" s="18"/>
      <c r="O753" s="18"/>
      <c r="Q753" s="18"/>
    </row>
    <row r="754">
      <c r="C754" s="18"/>
      <c r="E754" s="18"/>
      <c r="G754" s="18"/>
      <c r="I754" s="18"/>
      <c r="K754" s="18"/>
      <c r="M754" s="18"/>
      <c r="O754" s="18"/>
      <c r="Q754" s="18"/>
    </row>
    <row r="755">
      <c r="C755" s="18"/>
      <c r="E755" s="18"/>
      <c r="G755" s="18"/>
      <c r="I755" s="18"/>
      <c r="K755" s="18"/>
      <c r="M755" s="18"/>
      <c r="O755" s="18"/>
      <c r="Q755" s="18"/>
    </row>
    <row r="756">
      <c r="C756" s="18"/>
      <c r="E756" s="18"/>
      <c r="G756" s="18"/>
      <c r="I756" s="18"/>
      <c r="K756" s="18"/>
      <c r="M756" s="18"/>
      <c r="O756" s="18"/>
      <c r="Q756" s="18"/>
    </row>
    <row r="757">
      <c r="C757" s="18"/>
      <c r="E757" s="18"/>
      <c r="G757" s="18"/>
      <c r="I757" s="18"/>
      <c r="K757" s="18"/>
      <c r="M757" s="18"/>
      <c r="O757" s="18"/>
      <c r="Q757" s="18"/>
    </row>
    <row r="758">
      <c r="C758" s="18"/>
      <c r="E758" s="18"/>
      <c r="G758" s="18"/>
      <c r="I758" s="18"/>
      <c r="K758" s="18"/>
      <c r="M758" s="18"/>
      <c r="O758" s="18"/>
      <c r="Q758" s="18"/>
    </row>
    <row r="759">
      <c r="C759" s="18"/>
      <c r="E759" s="18"/>
      <c r="G759" s="18"/>
      <c r="I759" s="18"/>
      <c r="K759" s="18"/>
      <c r="M759" s="18"/>
      <c r="O759" s="18"/>
      <c r="Q759" s="18"/>
    </row>
    <row r="760">
      <c r="C760" s="18"/>
      <c r="E760" s="18"/>
      <c r="G760" s="18"/>
      <c r="I760" s="18"/>
      <c r="K760" s="18"/>
      <c r="M760" s="18"/>
      <c r="O760" s="18"/>
      <c r="Q760" s="18"/>
    </row>
    <row r="761">
      <c r="C761" s="18"/>
      <c r="E761" s="18"/>
      <c r="G761" s="18"/>
      <c r="I761" s="18"/>
      <c r="K761" s="18"/>
      <c r="M761" s="18"/>
      <c r="O761" s="18"/>
      <c r="Q761" s="18"/>
    </row>
    <row r="762">
      <c r="C762" s="18"/>
      <c r="E762" s="18"/>
      <c r="G762" s="18"/>
      <c r="I762" s="18"/>
      <c r="K762" s="18"/>
      <c r="M762" s="18"/>
      <c r="O762" s="18"/>
      <c r="Q762" s="18"/>
    </row>
    <row r="763">
      <c r="C763" s="18"/>
      <c r="E763" s="18"/>
      <c r="G763" s="18"/>
      <c r="I763" s="18"/>
      <c r="K763" s="18"/>
      <c r="M763" s="18"/>
      <c r="O763" s="18"/>
      <c r="Q763" s="18"/>
    </row>
    <row r="764">
      <c r="C764" s="18"/>
      <c r="E764" s="18"/>
      <c r="G764" s="18"/>
      <c r="I764" s="18"/>
      <c r="K764" s="18"/>
      <c r="M764" s="18"/>
      <c r="O764" s="18"/>
      <c r="Q764" s="18"/>
    </row>
    <row r="765">
      <c r="C765" s="18"/>
      <c r="E765" s="18"/>
      <c r="G765" s="18"/>
      <c r="I765" s="18"/>
      <c r="K765" s="18"/>
      <c r="M765" s="18"/>
      <c r="O765" s="18"/>
      <c r="Q765" s="18"/>
    </row>
    <row r="766">
      <c r="C766" s="18"/>
      <c r="E766" s="18"/>
      <c r="G766" s="18"/>
      <c r="I766" s="18"/>
      <c r="K766" s="18"/>
      <c r="M766" s="18"/>
      <c r="O766" s="18"/>
      <c r="Q766" s="18"/>
    </row>
    <row r="767">
      <c r="C767" s="18"/>
      <c r="E767" s="18"/>
      <c r="G767" s="18"/>
      <c r="I767" s="18"/>
      <c r="K767" s="18"/>
      <c r="M767" s="18"/>
      <c r="O767" s="18"/>
      <c r="Q767" s="18"/>
    </row>
    <row r="768">
      <c r="C768" s="18"/>
      <c r="E768" s="18"/>
      <c r="G768" s="18"/>
      <c r="I768" s="18"/>
      <c r="K768" s="18"/>
      <c r="M768" s="18"/>
      <c r="O768" s="18"/>
      <c r="Q768" s="18"/>
    </row>
    <row r="769">
      <c r="C769" s="18"/>
      <c r="E769" s="18"/>
      <c r="G769" s="18"/>
      <c r="I769" s="18"/>
      <c r="K769" s="18"/>
      <c r="M769" s="18"/>
      <c r="O769" s="18"/>
      <c r="Q769" s="18"/>
    </row>
    <row r="770">
      <c r="C770" s="18"/>
      <c r="E770" s="18"/>
      <c r="G770" s="18"/>
      <c r="I770" s="18"/>
      <c r="K770" s="18"/>
      <c r="M770" s="18"/>
      <c r="O770" s="18"/>
      <c r="Q770" s="18"/>
    </row>
    <row r="771">
      <c r="C771" s="18"/>
      <c r="E771" s="18"/>
      <c r="G771" s="18"/>
      <c r="I771" s="18"/>
      <c r="K771" s="18"/>
      <c r="M771" s="18"/>
      <c r="O771" s="18"/>
      <c r="Q771" s="18"/>
    </row>
    <row r="772">
      <c r="C772" s="18"/>
      <c r="E772" s="18"/>
      <c r="G772" s="18"/>
      <c r="I772" s="18"/>
      <c r="K772" s="18"/>
      <c r="M772" s="18"/>
      <c r="O772" s="18"/>
      <c r="Q772" s="18"/>
    </row>
    <row r="773">
      <c r="C773" s="18"/>
      <c r="E773" s="18"/>
      <c r="G773" s="18"/>
      <c r="I773" s="18"/>
      <c r="K773" s="18"/>
      <c r="M773" s="18"/>
      <c r="O773" s="18"/>
      <c r="Q773" s="18"/>
    </row>
    <row r="774">
      <c r="C774" s="18"/>
      <c r="E774" s="18"/>
      <c r="G774" s="18"/>
      <c r="I774" s="18"/>
      <c r="K774" s="18"/>
      <c r="M774" s="18"/>
      <c r="O774" s="18"/>
      <c r="Q774" s="18"/>
    </row>
    <row r="775">
      <c r="C775" s="18"/>
      <c r="E775" s="18"/>
      <c r="G775" s="18"/>
      <c r="I775" s="18"/>
      <c r="K775" s="18"/>
      <c r="M775" s="18"/>
      <c r="O775" s="18"/>
      <c r="Q775" s="18"/>
    </row>
    <row r="776">
      <c r="C776" s="18"/>
      <c r="E776" s="18"/>
      <c r="G776" s="18"/>
      <c r="I776" s="18"/>
      <c r="K776" s="18"/>
      <c r="M776" s="18"/>
      <c r="O776" s="18"/>
      <c r="Q776" s="18"/>
    </row>
    <row r="777">
      <c r="C777" s="18"/>
      <c r="E777" s="18"/>
      <c r="G777" s="18"/>
      <c r="I777" s="18"/>
      <c r="K777" s="18"/>
      <c r="M777" s="18"/>
      <c r="O777" s="18"/>
      <c r="Q777" s="18"/>
    </row>
    <row r="778">
      <c r="C778" s="18"/>
      <c r="E778" s="18"/>
      <c r="G778" s="18"/>
      <c r="I778" s="18"/>
      <c r="K778" s="18"/>
      <c r="M778" s="18"/>
      <c r="O778" s="18"/>
      <c r="Q778" s="18"/>
    </row>
    <row r="779">
      <c r="C779" s="18"/>
      <c r="E779" s="18"/>
      <c r="G779" s="18"/>
      <c r="I779" s="18"/>
      <c r="K779" s="18"/>
      <c r="M779" s="18"/>
      <c r="O779" s="18"/>
      <c r="Q779" s="18"/>
    </row>
    <row r="780">
      <c r="C780" s="18"/>
      <c r="E780" s="18"/>
      <c r="G780" s="18"/>
      <c r="I780" s="18"/>
      <c r="K780" s="18"/>
      <c r="M780" s="18"/>
      <c r="O780" s="18"/>
      <c r="Q780" s="18"/>
    </row>
    <row r="781">
      <c r="C781" s="18"/>
      <c r="E781" s="18"/>
      <c r="G781" s="18"/>
      <c r="I781" s="18"/>
      <c r="K781" s="18"/>
      <c r="M781" s="18"/>
      <c r="O781" s="18"/>
      <c r="Q781" s="18"/>
    </row>
    <row r="782">
      <c r="C782" s="18"/>
      <c r="E782" s="18"/>
      <c r="G782" s="18"/>
      <c r="I782" s="18"/>
      <c r="K782" s="18"/>
      <c r="M782" s="18"/>
      <c r="O782" s="18"/>
      <c r="Q782" s="18"/>
    </row>
    <row r="783">
      <c r="C783" s="18"/>
      <c r="E783" s="18"/>
      <c r="G783" s="18"/>
      <c r="I783" s="18"/>
      <c r="K783" s="18"/>
      <c r="M783" s="18"/>
      <c r="O783" s="18"/>
      <c r="Q783" s="18"/>
    </row>
    <row r="784">
      <c r="C784" s="18"/>
      <c r="E784" s="18"/>
      <c r="G784" s="18"/>
      <c r="I784" s="18"/>
      <c r="K784" s="18"/>
      <c r="M784" s="18"/>
      <c r="O784" s="18"/>
      <c r="Q784" s="18"/>
    </row>
    <row r="785">
      <c r="C785" s="18"/>
      <c r="E785" s="18"/>
      <c r="G785" s="18"/>
      <c r="I785" s="18"/>
      <c r="K785" s="18"/>
      <c r="M785" s="18"/>
      <c r="O785" s="18"/>
      <c r="Q785" s="18"/>
    </row>
    <row r="786">
      <c r="C786" s="18"/>
      <c r="E786" s="18"/>
      <c r="G786" s="18"/>
      <c r="I786" s="18"/>
      <c r="K786" s="18"/>
      <c r="M786" s="18"/>
      <c r="O786" s="18"/>
      <c r="Q786" s="18"/>
    </row>
    <row r="787">
      <c r="C787" s="18"/>
      <c r="E787" s="18"/>
      <c r="G787" s="18"/>
      <c r="I787" s="18"/>
      <c r="K787" s="18"/>
      <c r="M787" s="18"/>
      <c r="O787" s="18"/>
      <c r="Q787" s="18"/>
    </row>
    <row r="788">
      <c r="C788" s="18"/>
      <c r="E788" s="18"/>
      <c r="G788" s="18"/>
      <c r="I788" s="18"/>
      <c r="K788" s="18"/>
      <c r="M788" s="18"/>
      <c r="O788" s="18"/>
      <c r="Q788" s="18"/>
    </row>
    <row r="789">
      <c r="C789" s="18"/>
      <c r="E789" s="18"/>
      <c r="G789" s="18"/>
      <c r="I789" s="18"/>
      <c r="K789" s="18"/>
      <c r="M789" s="18"/>
      <c r="O789" s="18"/>
      <c r="Q789" s="18"/>
    </row>
    <row r="790">
      <c r="C790" s="18"/>
      <c r="E790" s="18"/>
      <c r="G790" s="18"/>
      <c r="I790" s="18"/>
      <c r="K790" s="18"/>
      <c r="M790" s="18"/>
      <c r="O790" s="18"/>
      <c r="Q790" s="18"/>
    </row>
    <row r="791">
      <c r="C791" s="18"/>
      <c r="E791" s="18"/>
      <c r="G791" s="18"/>
      <c r="I791" s="18"/>
      <c r="K791" s="18"/>
      <c r="M791" s="18"/>
      <c r="O791" s="18"/>
      <c r="Q791" s="18"/>
    </row>
    <row r="792">
      <c r="C792" s="18"/>
      <c r="E792" s="18"/>
      <c r="G792" s="18"/>
      <c r="I792" s="18"/>
      <c r="K792" s="18"/>
      <c r="M792" s="18"/>
      <c r="O792" s="18"/>
      <c r="Q792" s="18"/>
    </row>
    <row r="793">
      <c r="C793" s="18"/>
      <c r="E793" s="18"/>
      <c r="G793" s="18"/>
      <c r="I793" s="18"/>
      <c r="K793" s="18"/>
      <c r="M793" s="18"/>
      <c r="O793" s="18"/>
      <c r="Q793" s="18"/>
    </row>
    <row r="794">
      <c r="C794" s="18"/>
      <c r="E794" s="18"/>
      <c r="G794" s="18"/>
      <c r="I794" s="18"/>
      <c r="K794" s="18"/>
      <c r="M794" s="18"/>
      <c r="O794" s="18"/>
      <c r="Q794" s="18"/>
    </row>
    <row r="795">
      <c r="C795" s="18"/>
      <c r="E795" s="18"/>
      <c r="G795" s="18"/>
      <c r="I795" s="18"/>
      <c r="K795" s="18"/>
      <c r="M795" s="18"/>
      <c r="O795" s="18"/>
      <c r="Q795" s="18"/>
    </row>
    <row r="796">
      <c r="C796" s="18"/>
      <c r="E796" s="18"/>
      <c r="G796" s="18"/>
      <c r="I796" s="18"/>
      <c r="K796" s="18"/>
      <c r="M796" s="18"/>
      <c r="O796" s="18"/>
      <c r="Q796" s="18"/>
    </row>
    <row r="797">
      <c r="C797" s="18"/>
      <c r="E797" s="18"/>
      <c r="G797" s="18"/>
      <c r="I797" s="18"/>
      <c r="K797" s="18"/>
      <c r="M797" s="18"/>
      <c r="O797" s="18"/>
      <c r="Q797" s="18"/>
    </row>
    <row r="798">
      <c r="C798" s="18"/>
      <c r="E798" s="18"/>
      <c r="G798" s="18"/>
      <c r="I798" s="18"/>
      <c r="K798" s="18"/>
      <c r="M798" s="18"/>
      <c r="O798" s="18"/>
      <c r="Q798" s="18"/>
    </row>
    <row r="799">
      <c r="C799" s="18"/>
      <c r="E799" s="18"/>
      <c r="G799" s="18"/>
      <c r="I799" s="18"/>
      <c r="K799" s="18"/>
      <c r="M799" s="18"/>
      <c r="O799" s="18"/>
      <c r="Q799" s="18"/>
    </row>
    <row r="800">
      <c r="C800" s="18"/>
      <c r="E800" s="18"/>
      <c r="G800" s="18"/>
      <c r="I800" s="18"/>
      <c r="K800" s="18"/>
      <c r="M800" s="18"/>
      <c r="O800" s="18"/>
      <c r="Q800" s="18"/>
    </row>
    <row r="801">
      <c r="C801" s="18"/>
      <c r="E801" s="18"/>
      <c r="G801" s="18"/>
      <c r="I801" s="18"/>
      <c r="K801" s="18"/>
      <c r="M801" s="18"/>
      <c r="O801" s="18"/>
      <c r="Q801" s="18"/>
    </row>
    <row r="802">
      <c r="C802" s="18"/>
      <c r="E802" s="18"/>
      <c r="G802" s="18"/>
      <c r="I802" s="18"/>
      <c r="K802" s="18"/>
      <c r="M802" s="18"/>
      <c r="O802" s="18"/>
      <c r="Q802" s="18"/>
    </row>
    <row r="803">
      <c r="C803" s="18"/>
      <c r="E803" s="18"/>
      <c r="G803" s="18"/>
      <c r="I803" s="18"/>
      <c r="K803" s="18"/>
      <c r="M803" s="18"/>
      <c r="O803" s="18"/>
      <c r="Q803" s="18"/>
    </row>
    <row r="804">
      <c r="C804" s="18"/>
      <c r="E804" s="18"/>
      <c r="G804" s="18"/>
      <c r="I804" s="18"/>
      <c r="K804" s="18"/>
      <c r="M804" s="18"/>
      <c r="O804" s="18"/>
      <c r="Q804" s="18"/>
    </row>
    <row r="805">
      <c r="C805" s="18"/>
      <c r="E805" s="18"/>
      <c r="G805" s="18"/>
      <c r="I805" s="18"/>
      <c r="K805" s="18"/>
      <c r="M805" s="18"/>
      <c r="O805" s="18"/>
      <c r="Q805" s="18"/>
    </row>
    <row r="806">
      <c r="C806" s="18"/>
      <c r="E806" s="18"/>
      <c r="G806" s="18"/>
      <c r="I806" s="18"/>
      <c r="K806" s="18"/>
      <c r="M806" s="18"/>
      <c r="O806" s="18"/>
      <c r="Q806" s="18"/>
    </row>
    <row r="807">
      <c r="C807" s="18"/>
      <c r="E807" s="18"/>
      <c r="G807" s="18"/>
      <c r="I807" s="18"/>
      <c r="K807" s="18"/>
      <c r="M807" s="18"/>
      <c r="O807" s="18"/>
      <c r="Q807" s="18"/>
    </row>
    <row r="808">
      <c r="C808" s="18"/>
      <c r="E808" s="18"/>
      <c r="G808" s="18"/>
      <c r="I808" s="18"/>
      <c r="K808" s="18"/>
      <c r="M808" s="18"/>
      <c r="O808" s="18"/>
      <c r="Q808" s="18"/>
    </row>
    <row r="809">
      <c r="C809" s="18"/>
      <c r="E809" s="18"/>
      <c r="G809" s="18"/>
      <c r="I809" s="18"/>
      <c r="K809" s="18"/>
      <c r="M809" s="18"/>
      <c r="O809" s="18"/>
      <c r="Q809" s="18"/>
    </row>
    <row r="810">
      <c r="C810" s="18"/>
      <c r="E810" s="18"/>
      <c r="G810" s="18"/>
      <c r="I810" s="18"/>
      <c r="K810" s="18"/>
      <c r="M810" s="18"/>
      <c r="O810" s="18"/>
      <c r="Q810" s="18"/>
    </row>
    <row r="811">
      <c r="C811" s="18"/>
      <c r="E811" s="18"/>
      <c r="G811" s="18"/>
      <c r="I811" s="18"/>
      <c r="K811" s="18"/>
      <c r="M811" s="18"/>
      <c r="O811" s="18"/>
      <c r="Q811" s="18"/>
    </row>
    <row r="812">
      <c r="C812" s="18"/>
      <c r="E812" s="18"/>
      <c r="G812" s="18"/>
      <c r="I812" s="18"/>
      <c r="K812" s="18"/>
      <c r="M812" s="18"/>
      <c r="O812" s="18"/>
      <c r="Q812" s="18"/>
    </row>
    <row r="813">
      <c r="C813" s="18"/>
      <c r="E813" s="18"/>
      <c r="G813" s="18"/>
      <c r="I813" s="18"/>
      <c r="K813" s="18"/>
      <c r="M813" s="18"/>
      <c r="O813" s="18"/>
      <c r="Q813" s="18"/>
    </row>
    <row r="814">
      <c r="C814" s="18"/>
      <c r="E814" s="18"/>
      <c r="G814" s="18"/>
      <c r="I814" s="18"/>
      <c r="K814" s="18"/>
      <c r="M814" s="18"/>
      <c r="O814" s="18"/>
      <c r="Q814" s="18"/>
    </row>
    <row r="815">
      <c r="C815" s="18"/>
      <c r="E815" s="18"/>
      <c r="G815" s="18"/>
      <c r="I815" s="18"/>
      <c r="K815" s="18"/>
      <c r="M815" s="18"/>
      <c r="O815" s="18"/>
      <c r="Q815" s="18"/>
    </row>
    <row r="816">
      <c r="C816" s="18"/>
      <c r="E816" s="18"/>
      <c r="G816" s="18"/>
      <c r="I816" s="18"/>
      <c r="K816" s="18"/>
      <c r="M816" s="18"/>
      <c r="O816" s="18"/>
      <c r="Q816" s="18"/>
    </row>
    <row r="817">
      <c r="C817" s="18"/>
      <c r="E817" s="18"/>
      <c r="G817" s="18"/>
      <c r="I817" s="18"/>
      <c r="K817" s="18"/>
      <c r="M817" s="18"/>
      <c r="O817" s="18"/>
      <c r="Q817" s="18"/>
    </row>
    <row r="818">
      <c r="C818" s="18"/>
      <c r="E818" s="18"/>
      <c r="G818" s="18"/>
      <c r="I818" s="18"/>
      <c r="K818" s="18"/>
      <c r="M818" s="18"/>
      <c r="O818" s="18"/>
      <c r="Q818" s="18"/>
    </row>
    <row r="819">
      <c r="C819" s="18"/>
      <c r="E819" s="18"/>
      <c r="G819" s="18"/>
      <c r="I819" s="18"/>
      <c r="K819" s="18"/>
      <c r="M819" s="18"/>
      <c r="O819" s="18"/>
      <c r="Q819" s="18"/>
    </row>
    <row r="820">
      <c r="C820" s="18"/>
      <c r="E820" s="18"/>
      <c r="G820" s="18"/>
      <c r="I820" s="18"/>
      <c r="K820" s="18"/>
      <c r="M820" s="18"/>
      <c r="O820" s="18"/>
      <c r="Q820" s="18"/>
    </row>
    <row r="821">
      <c r="C821" s="18"/>
      <c r="E821" s="18"/>
      <c r="G821" s="18"/>
      <c r="I821" s="18"/>
      <c r="K821" s="18"/>
      <c r="M821" s="18"/>
      <c r="O821" s="18"/>
      <c r="Q821" s="18"/>
    </row>
    <row r="822">
      <c r="C822" s="18"/>
      <c r="E822" s="18"/>
      <c r="G822" s="18"/>
      <c r="I822" s="18"/>
      <c r="K822" s="18"/>
      <c r="M822" s="18"/>
      <c r="O822" s="18"/>
      <c r="Q822" s="18"/>
    </row>
    <row r="823">
      <c r="C823" s="18"/>
      <c r="E823" s="18"/>
      <c r="G823" s="18"/>
      <c r="I823" s="18"/>
      <c r="K823" s="18"/>
      <c r="M823" s="18"/>
      <c r="O823" s="18"/>
      <c r="Q823" s="18"/>
    </row>
    <row r="824">
      <c r="C824" s="18"/>
      <c r="E824" s="18"/>
      <c r="G824" s="18"/>
      <c r="I824" s="18"/>
      <c r="K824" s="18"/>
      <c r="M824" s="18"/>
      <c r="O824" s="18"/>
      <c r="Q824" s="18"/>
    </row>
    <row r="825">
      <c r="C825" s="18"/>
      <c r="E825" s="18"/>
      <c r="G825" s="18"/>
      <c r="I825" s="18"/>
      <c r="K825" s="18"/>
      <c r="M825" s="18"/>
      <c r="O825" s="18"/>
      <c r="Q825" s="18"/>
    </row>
    <row r="826">
      <c r="C826" s="18"/>
      <c r="E826" s="18"/>
      <c r="G826" s="18"/>
      <c r="I826" s="18"/>
      <c r="K826" s="18"/>
      <c r="M826" s="18"/>
      <c r="O826" s="18"/>
      <c r="Q826" s="18"/>
    </row>
    <row r="827">
      <c r="C827" s="18"/>
      <c r="E827" s="18"/>
      <c r="G827" s="18"/>
      <c r="I827" s="18"/>
      <c r="K827" s="18"/>
      <c r="M827" s="18"/>
      <c r="O827" s="18"/>
      <c r="Q827" s="18"/>
    </row>
    <row r="828">
      <c r="C828" s="18"/>
      <c r="E828" s="18"/>
      <c r="G828" s="18"/>
      <c r="I828" s="18"/>
      <c r="K828" s="18"/>
      <c r="M828" s="18"/>
      <c r="O828" s="18"/>
      <c r="Q828" s="18"/>
    </row>
    <row r="829">
      <c r="C829" s="18"/>
      <c r="E829" s="18"/>
      <c r="G829" s="18"/>
      <c r="I829" s="18"/>
      <c r="K829" s="18"/>
      <c r="M829" s="18"/>
      <c r="O829" s="18"/>
      <c r="Q829" s="18"/>
    </row>
    <row r="830">
      <c r="C830" s="18"/>
      <c r="E830" s="18"/>
      <c r="G830" s="18"/>
      <c r="I830" s="18"/>
      <c r="K830" s="18"/>
      <c r="M830" s="18"/>
      <c r="O830" s="18"/>
      <c r="Q830" s="18"/>
    </row>
    <row r="831">
      <c r="C831" s="18"/>
      <c r="E831" s="18"/>
      <c r="G831" s="18"/>
      <c r="I831" s="18"/>
      <c r="K831" s="18"/>
      <c r="M831" s="18"/>
      <c r="O831" s="18"/>
      <c r="Q831" s="18"/>
    </row>
    <row r="832">
      <c r="C832" s="18"/>
      <c r="E832" s="18"/>
      <c r="G832" s="18"/>
      <c r="I832" s="18"/>
      <c r="K832" s="18"/>
      <c r="M832" s="18"/>
      <c r="O832" s="18"/>
      <c r="Q832" s="18"/>
    </row>
    <row r="833">
      <c r="C833" s="18"/>
      <c r="E833" s="18"/>
      <c r="G833" s="18"/>
      <c r="I833" s="18"/>
      <c r="K833" s="18"/>
      <c r="M833" s="18"/>
      <c r="O833" s="18"/>
      <c r="Q833" s="18"/>
    </row>
    <row r="834">
      <c r="C834" s="18"/>
      <c r="E834" s="18"/>
      <c r="G834" s="18"/>
      <c r="I834" s="18"/>
      <c r="K834" s="18"/>
      <c r="M834" s="18"/>
      <c r="O834" s="18"/>
      <c r="Q834" s="18"/>
    </row>
    <row r="835">
      <c r="C835" s="18"/>
      <c r="E835" s="18"/>
      <c r="G835" s="18"/>
      <c r="I835" s="18"/>
      <c r="K835" s="18"/>
      <c r="M835" s="18"/>
      <c r="O835" s="18"/>
      <c r="Q835" s="18"/>
    </row>
    <row r="836">
      <c r="C836" s="18"/>
      <c r="E836" s="18"/>
      <c r="G836" s="18"/>
      <c r="I836" s="18"/>
      <c r="K836" s="18"/>
      <c r="M836" s="18"/>
      <c r="O836" s="18"/>
      <c r="Q836" s="18"/>
    </row>
    <row r="837">
      <c r="C837" s="18"/>
      <c r="E837" s="18"/>
      <c r="G837" s="18"/>
      <c r="I837" s="18"/>
      <c r="K837" s="18"/>
      <c r="M837" s="18"/>
      <c r="O837" s="18"/>
      <c r="Q837" s="18"/>
    </row>
    <row r="838">
      <c r="C838" s="18"/>
      <c r="E838" s="18"/>
      <c r="G838" s="18"/>
      <c r="I838" s="18"/>
      <c r="K838" s="18"/>
      <c r="M838" s="18"/>
      <c r="O838" s="18"/>
      <c r="Q838" s="18"/>
    </row>
    <row r="839">
      <c r="C839" s="18"/>
      <c r="E839" s="18"/>
      <c r="G839" s="18"/>
      <c r="I839" s="18"/>
      <c r="K839" s="18"/>
      <c r="M839" s="18"/>
      <c r="O839" s="18"/>
      <c r="Q839" s="18"/>
    </row>
    <row r="840">
      <c r="C840" s="18"/>
      <c r="E840" s="18"/>
      <c r="G840" s="18"/>
      <c r="I840" s="18"/>
      <c r="K840" s="18"/>
      <c r="M840" s="18"/>
      <c r="O840" s="18"/>
      <c r="Q840" s="18"/>
    </row>
    <row r="841">
      <c r="C841" s="18"/>
      <c r="E841" s="18"/>
      <c r="G841" s="18"/>
      <c r="I841" s="18"/>
      <c r="K841" s="18"/>
      <c r="M841" s="18"/>
      <c r="O841" s="18"/>
      <c r="Q841" s="18"/>
    </row>
    <row r="842">
      <c r="C842" s="18"/>
      <c r="E842" s="18"/>
      <c r="G842" s="18"/>
      <c r="I842" s="18"/>
      <c r="K842" s="18"/>
      <c r="M842" s="18"/>
      <c r="O842" s="18"/>
      <c r="Q842" s="18"/>
    </row>
    <row r="843">
      <c r="C843" s="18"/>
      <c r="E843" s="18"/>
      <c r="G843" s="18"/>
      <c r="I843" s="18"/>
      <c r="K843" s="18"/>
      <c r="M843" s="18"/>
      <c r="O843" s="18"/>
      <c r="Q843" s="18"/>
    </row>
    <row r="844">
      <c r="C844" s="18"/>
      <c r="E844" s="18"/>
      <c r="G844" s="18"/>
      <c r="I844" s="18"/>
      <c r="K844" s="18"/>
      <c r="M844" s="18"/>
      <c r="O844" s="18"/>
      <c r="Q844" s="18"/>
    </row>
    <row r="845">
      <c r="C845" s="18"/>
      <c r="E845" s="18"/>
      <c r="G845" s="18"/>
      <c r="I845" s="18"/>
      <c r="K845" s="18"/>
      <c r="M845" s="18"/>
      <c r="O845" s="18"/>
      <c r="Q845" s="18"/>
    </row>
    <row r="846">
      <c r="C846" s="18"/>
      <c r="E846" s="18"/>
      <c r="G846" s="18"/>
      <c r="I846" s="18"/>
      <c r="K846" s="18"/>
      <c r="M846" s="18"/>
      <c r="O846" s="18"/>
      <c r="Q846" s="18"/>
    </row>
    <row r="847">
      <c r="C847" s="18"/>
      <c r="E847" s="18"/>
      <c r="G847" s="18"/>
      <c r="I847" s="18"/>
      <c r="K847" s="18"/>
      <c r="M847" s="18"/>
      <c r="O847" s="18"/>
      <c r="Q847" s="18"/>
    </row>
    <row r="848">
      <c r="C848" s="18"/>
      <c r="E848" s="18"/>
      <c r="G848" s="18"/>
      <c r="I848" s="18"/>
      <c r="K848" s="18"/>
      <c r="M848" s="18"/>
      <c r="O848" s="18"/>
      <c r="Q848" s="18"/>
    </row>
    <row r="849">
      <c r="C849" s="18"/>
      <c r="E849" s="18"/>
      <c r="G849" s="18"/>
      <c r="I849" s="18"/>
      <c r="K849" s="18"/>
      <c r="M849" s="18"/>
      <c r="O849" s="18"/>
      <c r="Q849" s="18"/>
    </row>
    <row r="850">
      <c r="C850" s="18"/>
      <c r="E850" s="18"/>
      <c r="G850" s="18"/>
      <c r="I850" s="18"/>
      <c r="K850" s="18"/>
      <c r="M850" s="18"/>
      <c r="O850" s="18"/>
      <c r="Q850" s="18"/>
    </row>
    <row r="851">
      <c r="C851" s="18"/>
      <c r="E851" s="18"/>
      <c r="G851" s="18"/>
      <c r="I851" s="18"/>
      <c r="K851" s="18"/>
      <c r="M851" s="18"/>
      <c r="O851" s="18"/>
      <c r="Q851" s="18"/>
    </row>
    <row r="852">
      <c r="C852" s="18"/>
      <c r="E852" s="18"/>
      <c r="G852" s="18"/>
      <c r="I852" s="18"/>
      <c r="K852" s="18"/>
      <c r="M852" s="18"/>
      <c r="O852" s="18"/>
      <c r="Q852" s="18"/>
    </row>
    <row r="853">
      <c r="C853" s="18"/>
      <c r="E853" s="18"/>
      <c r="G853" s="18"/>
      <c r="I853" s="18"/>
      <c r="K853" s="18"/>
      <c r="M853" s="18"/>
      <c r="O853" s="18"/>
      <c r="Q853" s="18"/>
    </row>
    <row r="854">
      <c r="C854" s="18"/>
      <c r="E854" s="18"/>
      <c r="G854" s="18"/>
      <c r="I854" s="18"/>
      <c r="K854" s="18"/>
      <c r="M854" s="18"/>
      <c r="O854" s="18"/>
      <c r="Q854" s="18"/>
    </row>
    <row r="855">
      <c r="C855" s="18"/>
      <c r="E855" s="18"/>
      <c r="G855" s="18"/>
      <c r="I855" s="18"/>
      <c r="K855" s="18"/>
      <c r="M855" s="18"/>
      <c r="O855" s="18"/>
      <c r="Q855" s="18"/>
    </row>
    <row r="856">
      <c r="C856" s="18"/>
      <c r="E856" s="18"/>
      <c r="G856" s="18"/>
      <c r="I856" s="18"/>
      <c r="K856" s="18"/>
      <c r="M856" s="18"/>
      <c r="O856" s="18"/>
      <c r="Q856" s="18"/>
    </row>
    <row r="857">
      <c r="C857" s="18"/>
      <c r="E857" s="18"/>
      <c r="G857" s="18"/>
      <c r="I857" s="18"/>
      <c r="K857" s="18"/>
      <c r="M857" s="18"/>
      <c r="O857" s="18"/>
      <c r="Q857" s="18"/>
    </row>
    <row r="858">
      <c r="C858" s="18"/>
      <c r="E858" s="18"/>
      <c r="G858" s="18"/>
      <c r="I858" s="18"/>
      <c r="K858" s="18"/>
      <c r="M858" s="18"/>
      <c r="O858" s="18"/>
      <c r="Q858" s="18"/>
    </row>
    <row r="859">
      <c r="C859" s="18"/>
      <c r="E859" s="18"/>
      <c r="G859" s="18"/>
      <c r="I859" s="18"/>
      <c r="K859" s="18"/>
      <c r="M859" s="18"/>
      <c r="O859" s="18"/>
      <c r="Q859" s="18"/>
    </row>
    <row r="860">
      <c r="C860" s="18"/>
      <c r="E860" s="18"/>
      <c r="G860" s="18"/>
      <c r="I860" s="18"/>
      <c r="K860" s="18"/>
      <c r="M860" s="18"/>
      <c r="O860" s="18"/>
      <c r="Q860" s="18"/>
    </row>
    <row r="861">
      <c r="C861" s="18"/>
      <c r="E861" s="18"/>
      <c r="G861" s="18"/>
      <c r="I861" s="18"/>
      <c r="K861" s="18"/>
      <c r="M861" s="18"/>
      <c r="O861" s="18"/>
      <c r="Q861" s="18"/>
    </row>
    <row r="862">
      <c r="C862" s="18"/>
      <c r="E862" s="18"/>
      <c r="G862" s="18"/>
      <c r="I862" s="18"/>
      <c r="K862" s="18"/>
      <c r="M862" s="18"/>
      <c r="O862" s="18"/>
      <c r="Q862" s="18"/>
    </row>
    <row r="863">
      <c r="C863" s="18"/>
      <c r="E863" s="18"/>
      <c r="G863" s="18"/>
      <c r="I863" s="18"/>
      <c r="K863" s="18"/>
      <c r="M863" s="18"/>
      <c r="O863" s="18"/>
      <c r="Q863" s="18"/>
    </row>
    <row r="864">
      <c r="C864" s="18"/>
      <c r="E864" s="18"/>
      <c r="G864" s="18"/>
      <c r="I864" s="18"/>
      <c r="K864" s="18"/>
      <c r="M864" s="18"/>
      <c r="O864" s="18"/>
      <c r="Q864" s="18"/>
    </row>
    <row r="865">
      <c r="C865" s="18"/>
      <c r="E865" s="18"/>
      <c r="G865" s="18"/>
      <c r="I865" s="18"/>
      <c r="K865" s="18"/>
      <c r="M865" s="18"/>
      <c r="O865" s="18"/>
      <c r="Q865" s="18"/>
    </row>
    <row r="866">
      <c r="C866" s="18"/>
      <c r="E866" s="18"/>
      <c r="G866" s="18"/>
      <c r="I866" s="18"/>
      <c r="K866" s="18"/>
      <c r="M866" s="18"/>
      <c r="O866" s="18"/>
      <c r="Q866" s="18"/>
    </row>
    <row r="867">
      <c r="C867" s="18"/>
      <c r="E867" s="18"/>
      <c r="G867" s="18"/>
      <c r="I867" s="18"/>
      <c r="K867" s="18"/>
      <c r="M867" s="18"/>
      <c r="O867" s="18"/>
      <c r="Q867" s="18"/>
    </row>
    <row r="868">
      <c r="C868" s="18"/>
      <c r="E868" s="18"/>
      <c r="G868" s="18"/>
      <c r="I868" s="18"/>
      <c r="K868" s="18"/>
      <c r="M868" s="18"/>
      <c r="O868" s="18"/>
      <c r="Q868" s="18"/>
    </row>
    <row r="869">
      <c r="C869" s="18"/>
      <c r="E869" s="18"/>
      <c r="G869" s="18"/>
      <c r="I869" s="18"/>
      <c r="K869" s="18"/>
      <c r="M869" s="18"/>
      <c r="O869" s="18"/>
      <c r="Q869" s="18"/>
    </row>
    <row r="870">
      <c r="C870" s="18"/>
      <c r="E870" s="18"/>
      <c r="G870" s="18"/>
      <c r="I870" s="18"/>
      <c r="K870" s="18"/>
      <c r="M870" s="18"/>
      <c r="O870" s="18"/>
      <c r="Q870" s="18"/>
    </row>
    <row r="871">
      <c r="C871" s="18"/>
      <c r="E871" s="18"/>
      <c r="G871" s="18"/>
      <c r="I871" s="18"/>
      <c r="K871" s="18"/>
      <c r="M871" s="18"/>
      <c r="O871" s="18"/>
      <c r="Q871" s="18"/>
    </row>
    <row r="872">
      <c r="C872" s="18"/>
      <c r="E872" s="18"/>
      <c r="G872" s="18"/>
      <c r="I872" s="18"/>
      <c r="K872" s="18"/>
      <c r="M872" s="18"/>
      <c r="O872" s="18"/>
      <c r="Q872" s="18"/>
    </row>
    <row r="873">
      <c r="C873" s="18"/>
      <c r="E873" s="18"/>
      <c r="G873" s="18"/>
      <c r="I873" s="18"/>
      <c r="K873" s="18"/>
      <c r="M873" s="18"/>
      <c r="O873" s="18"/>
      <c r="Q873" s="18"/>
    </row>
    <row r="874">
      <c r="C874" s="18"/>
      <c r="E874" s="18"/>
      <c r="G874" s="18"/>
      <c r="I874" s="18"/>
      <c r="K874" s="18"/>
      <c r="M874" s="18"/>
      <c r="O874" s="18"/>
      <c r="Q874" s="18"/>
    </row>
    <row r="875">
      <c r="C875" s="18"/>
      <c r="E875" s="18"/>
      <c r="G875" s="18"/>
      <c r="I875" s="18"/>
      <c r="K875" s="18"/>
      <c r="M875" s="18"/>
      <c r="O875" s="18"/>
      <c r="Q875" s="18"/>
    </row>
    <row r="876">
      <c r="C876" s="18"/>
      <c r="E876" s="18"/>
      <c r="G876" s="18"/>
      <c r="I876" s="18"/>
      <c r="K876" s="18"/>
      <c r="M876" s="18"/>
      <c r="O876" s="18"/>
      <c r="Q876" s="18"/>
    </row>
    <row r="877">
      <c r="C877" s="18"/>
      <c r="E877" s="18"/>
      <c r="G877" s="18"/>
      <c r="I877" s="18"/>
      <c r="K877" s="18"/>
      <c r="M877" s="18"/>
      <c r="O877" s="18"/>
      <c r="Q877" s="18"/>
    </row>
    <row r="878">
      <c r="C878" s="18"/>
      <c r="E878" s="18"/>
      <c r="G878" s="18"/>
      <c r="I878" s="18"/>
      <c r="K878" s="18"/>
      <c r="M878" s="18"/>
      <c r="O878" s="18"/>
      <c r="Q878" s="18"/>
    </row>
    <row r="879">
      <c r="C879" s="18"/>
      <c r="E879" s="18"/>
      <c r="G879" s="18"/>
      <c r="I879" s="18"/>
      <c r="K879" s="18"/>
      <c r="M879" s="18"/>
      <c r="O879" s="18"/>
      <c r="Q879" s="18"/>
    </row>
    <row r="880">
      <c r="C880" s="18"/>
      <c r="E880" s="18"/>
      <c r="G880" s="18"/>
      <c r="I880" s="18"/>
      <c r="K880" s="18"/>
      <c r="M880" s="18"/>
      <c r="O880" s="18"/>
      <c r="Q880" s="18"/>
    </row>
    <row r="881">
      <c r="C881" s="18"/>
      <c r="E881" s="18"/>
      <c r="G881" s="18"/>
      <c r="I881" s="18"/>
      <c r="K881" s="18"/>
      <c r="M881" s="18"/>
      <c r="O881" s="18"/>
      <c r="Q881" s="18"/>
    </row>
    <row r="882">
      <c r="C882" s="18"/>
      <c r="E882" s="18"/>
      <c r="G882" s="18"/>
      <c r="I882" s="18"/>
      <c r="K882" s="18"/>
      <c r="M882" s="18"/>
      <c r="O882" s="18"/>
      <c r="Q882" s="18"/>
    </row>
    <row r="883">
      <c r="C883" s="18"/>
      <c r="E883" s="18"/>
      <c r="G883" s="18"/>
      <c r="I883" s="18"/>
      <c r="K883" s="18"/>
      <c r="M883" s="18"/>
      <c r="O883" s="18"/>
      <c r="Q883" s="18"/>
    </row>
    <row r="884">
      <c r="C884" s="18"/>
      <c r="E884" s="18"/>
      <c r="G884" s="18"/>
      <c r="I884" s="18"/>
      <c r="K884" s="18"/>
      <c r="M884" s="18"/>
      <c r="O884" s="18"/>
      <c r="Q884" s="18"/>
    </row>
    <row r="885">
      <c r="C885" s="18"/>
      <c r="E885" s="18"/>
      <c r="G885" s="18"/>
      <c r="I885" s="18"/>
      <c r="K885" s="18"/>
      <c r="M885" s="18"/>
      <c r="O885" s="18"/>
      <c r="Q885" s="18"/>
    </row>
    <row r="886">
      <c r="C886" s="18"/>
      <c r="E886" s="18"/>
      <c r="G886" s="18"/>
      <c r="I886" s="18"/>
      <c r="K886" s="18"/>
      <c r="M886" s="18"/>
      <c r="O886" s="18"/>
      <c r="Q886" s="18"/>
    </row>
    <row r="887">
      <c r="C887" s="18"/>
      <c r="E887" s="18"/>
      <c r="G887" s="18"/>
      <c r="I887" s="18"/>
      <c r="K887" s="18"/>
      <c r="M887" s="18"/>
      <c r="O887" s="18"/>
      <c r="Q887" s="18"/>
    </row>
    <row r="888">
      <c r="C888" s="18"/>
      <c r="E888" s="18"/>
      <c r="G888" s="18"/>
      <c r="I888" s="18"/>
      <c r="K888" s="18"/>
      <c r="M888" s="18"/>
      <c r="O888" s="18"/>
      <c r="Q888" s="18"/>
    </row>
    <row r="889">
      <c r="C889" s="18"/>
      <c r="E889" s="18"/>
      <c r="G889" s="18"/>
      <c r="I889" s="18"/>
      <c r="K889" s="18"/>
      <c r="M889" s="18"/>
      <c r="O889" s="18"/>
      <c r="Q889" s="18"/>
    </row>
    <row r="890">
      <c r="C890" s="18"/>
      <c r="E890" s="18"/>
      <c r="G890" s="18"/>
      <c r="I890" s="18"/>
      <c r="K890" s="18"/>
      <c r="M890" s="18"/>
      <c r="O890" s="18"/>
      <c r="Q890" s="18"/>
    </row>
    <row r="891">
      <c r="C891" s="18"/>
      <c r="E891" s="18"/>
      <c r="G891" s="18"/>
      <c r="I891" s="18"/>
      <c r="K891" s="18"/>
      <c r="M891" s="18"/>
      <c r="O891" s="18"/>
      <c r="Q891" s="18"/>
    </row>
    <row r="892">
      <c r="C892" s="18"/>
      <c r="E892" s="18"/>
      <c r="G892" s="18"/>
      <c r="I892" s="18"/>
      <c r="K892" s="18"/>
      <c r="M892" s="18"/>
      <c r="O892" s="18"/>
      <c r="Q892" s="18"/>
    </row>
    <row r="893">
      <c r="C893" s="18"/>
      <c r="E893" s="18"/>
      <c r="G893" s="18"/>
      <c r="I893" s="18"/>
      <c r="K893" s="18"/>
      <c r="M893" s="18"/>
      <c r="O893" s="18"/>
      <c r="Q893" s="18"/>
    </row>
    <row r="894">
      <c r="C894" s="18"/>
      <c r="E894" s="18"/>
      <c r="G894" s="18"/>
      <c r="I894" s="18"/>
      <c r="K894" s="18"/>
      <c r="M894" s="18"/>
      <c r="O894" s="18"/>
      <c r="Q894" s="18"/>
    </row>
    <row r="895">
      <c r="C895" s="18"/>
      <c r="E895" s="18"/>
      <c r="G895" s="18"/>
      <c r="I895" s="18"/>
      <c r="K895" s="18"/>
      <c r="M895" s="18"/>
      <c r="O895" s="18"/>
      <c r="Q895" s="18"/>
    </row>
    <row r="896">
      <c r="C896" s="18"/>
      <c r="E896" s="18"/>
      <c r="G896" s="18"/>
      <c r="I896" s="18"/>
      <c r="K896" s="18"/>
      <c r="M896" s="18"/>
      <c r="O896" s="18"/>
      <c r="Q896" s="18"/>
    </row>
    <row r="897">
      <c r="C897" s="18"/>
      <c r="E897" s="18"/>
      <c r="G897" s="18"/>
      <c r="I897" s="18"/>
      <c r="K897" s="18"/>
      <c r="M897" s="18"/>
      <c r="O897" s="18"/>
      <c r="Q897" s="18"/>
    </row>
    <row r="898">
      <c r="C898" s="18"/>
      <c r="E898" s="18"/>
      <c r="G898" s="18"/>
      <c r="I898" s="18"/>
      <c r="K898" s="18"/>
      <c r="M898" s="18"/>
      <c r="O898" s="18"/>
      <c r="Q898" s="18"/>
    </row>
    <row r="899">
      <c r="C899" s="18"/>
      <c r="E899" s="18"/>
      <c r="G899" s="18"/>
      <c r="I899" s="18"/>
      <c r="K899" s="18"/>
      <c r="M899" s="18"/>
      <c r="O899" s="18"/>
      <c r="Q899" s="18"/>
    </row>
    <row r="900">
      <c r="C900" s="18"/>
      <c r="E900" s="18"/>
      <c r="G900" s="18"/>
      <c r="I900" s="18"/>
      <c r="K900" s="18"/>
      <c r="M900" s="18"/>
      <c r="O900" s="18"/>
      <c r="Q900" s="18"/>
    </row>
    <row r="901">
      <c r="C901" s="18"/>
      <c r="E901" s="18"/>
      <c r="G901" s="18"/>
      <c r="I901" s="18"/>
      <c r="K901" s="18"/>
      <c r="M901" s="18"/>
      <c r="O901" s="18"/>
      <c r="Q901" s="18"/>
    </row>
    <row r="902">
      <c r="C902" s="18"/>
      <c r="E902" s="18"/>
      <c r="G902" s="18"/>
      <c r="I902" s="18"/>
      <c r="K902" s="18"/>
      <c r="M902" s="18"/>
      <c r="O902" s="18"/>
      <c r="Q902" s="18"/>
    </row>
    <row r="903">
      <c r="C903" s="18"/>
      <c r="E903" s="18"/>
      <c r="G903" s="18"/>
      <c r="I903" s="18"/>
      <c r="K903" s="18"/>
      <c r="M903" s="18"/>
      <c r="O903" s="18"/>
      <c r="Q903" s="18"/>
    </row>
    <row r="904">
      <c r="C904" s="18"/>
      <c r="E904" s="18"/>
      <c r="G904" s="18"/>
      <c r="I904" s="18"/>
      <c r="K904" s="18"/>
      <c r="M904" s="18"/>
      <c r="O904" s="18"/>
      <c r="Q904" s="18"/>
    </row>
    <row r="905">
      <c r="C905" s="18"/>
      <c r="E905" s="18"/>
      <c r="G905" s="18"/>
      <c r="I905" s="18"/>
      <c r="K905" s="18"/>
      <c r="M905" s="18"/>
      <c r="O905" s="18"/>
      <c r="Q905" s="18"/>
    </row>
    <row r="906">
      <c r="C906" s="18"/>
      <c r="E906" s="18"/>
      <c r="G906" s="18"/>
      <c r="I906" s="18"/>
      <c r="K906" s="18"/>
      <c r="M906" s="18"/>
      <c r="O906" s="18"/>
      <c r="Q906" s="18"/>
    </row>
    <row r="907">
      <c r="C907" s="18"/>
      <c r="E907" s="18"/>
      <c r="G907" s="18"/>
      <c r="I907" s="18"/>
      <c r="K907" s="18"/>
      <c r="M907" s="18"/>
      <c r="O907" s="18"/>
      <c r="Q907" s="18"/>
    </row>
    <row r="908">
      <c r="C908" s="18"/>
      <c r="E908" s="18"/>
      <c r="G908" s="18"/>
      <c r="I908" s="18"/>
      <c r="K908" s="18"/>
      <c r="M908" s="18"/>
      <c r="O908" s="18"/>
      <c r="Q908" s="18"/>
    </row>
    <row r="909">
      <c r="C909" s="18"/>
      <c r="E909" s="18"/>
      <c r="G909" s="18"/>
      <c r="I909" s="18"/>
      <c r="K909" s="18"/>
      <c r="M909" s="18"/>
      <c r="O909" s="18"/>
      <c r="Q909" s="18"/>
    </row>
    <row r="910">
      <c r="C910" s="18"/>
      <c r="E910" s="18"/>
      <c r="G910" s="18"/>
      <c r="I910" s="18"/>
      <c r="K910" s="18"/>
      <c r="M910" s="18"/>
      <c r="O910" s="18"/>
      <c r="Q910" s="18"/>
    </row>
    <row r="911">
      <c r="C911" s="18"/>
      <c r="E911" s="18"/>
      <c r="G911" s="18"/>
      <c r="I911" s="18"/>
      <c r="K911" s="18"/>
      <c r="M911" s="18"/>
      <c r="O911" s="18"/>
      <c r="Q911" s="18"/>
    </row>
    <row r="912">
      <c r="C912" s="18"/>
      <c r="E912" s="18"/>
      <c r="G912" s="18"/>
      <c r="I912" s="18"/>
      <c r="K912" s="18"/>
      <c r="M912" s="18"/>
      <c r="O912" s="18"/>
      <c r="Q912" s="18"/>
    </row>
    <row r="913">
      <c r="C913" s="18"/>
      <c r="E913" s="18"/>
      <c r="G913" s="18"/>
      <c r="I913" s="18"/>
      <c r="K913" s="18"/>
      <c r="M913" s="18"/>
      <c r="O913" s="18"/>
      <c r="Q913" s="18"/>
    </row>
    <row r="914">
      <c r="C914" s="18"/>
      <c r="E914" s="18"/>
      <c r="G914" s="18"/>
      <c r="I914" s="18"/>
      <c r="K914" s="18"/>
      <c r="M914" s="18"/>
      <c r="O914" s="18"/>
      <c r="Q914" s="18"/>
    </row>
    <row r="915">
      <c r="C915" s="18"/>
      <c r="E915" s="18"/>
      <c r="G915" s="18"/>
      <c r="I915" s="18"/>
      <c r="K915" s="18"/>
      <c r="M915" s="18"/>
      <c r="O915" s="18"/>
      <c r="Q915" s="18"/>
    </row>
    <row r="916">
      <c r="C916" s="18"/>
      <c r="E916" s="18"/>
      <c r="G916" s="18"/>
      <c r="I916" s="18"/>
      <c r="K916" s="18"/>
      <c r="M916" s="18"/>
      <c r="O916" s="18"/>
      <c r="Q916" s="18"/>
    </row>
    <row r="917">
      <c r="C917" s="18"/>
      <c r="E917" s="18"/>
      <c r="G917" s="18"/>
      <c r="I917" s="18"/>
      <c r="K917" s="18"/>
      <c r="M917" s="18"/>
      <c r="O917" s="18"/>
      <c r="Q917" s="18"/>
    </row>
    <row r="918">
      <c r="C918" s="18"/>
      <c r="E918" s="18"/>
      <c r="G918" s="18"/>
      <c r="I918" s="18"/>
      <c r="K918" s="18"/>
      <c r="M918" s="18"/>
      <c r="O918" s="18"/>
      <c r="Q918" s="18"/>
    </row>
    <row r="919">
      <c r="C919" s="18"/>
      <c r="E919" s="18"/>
      <c r="G919" s="18"/>
      <c r="I919" s="18"/>
      <c r="K919" s="18"/>
      <c r="M919" s="18"/>
      <c r="O919" s="18"/>
      <c r="Q919" s="18"/>
    </row>
    <row r="920">
      <c r="C920" s="18"/>
      <c r="E920" s="18"/>
      <c r="G920" s="18"/>
      <c r="I920" s="18"/>
      <c r="K920" s="18"/>
      <c r="M920" s="18"/>
      <c r="O920" s="18"/>
      <c r="Q920" s="18"/>
    </row>
    <row r="921">
      <c r="C921" s="18"/>
      <c r="E921" s="18"/>
      <c r="G921" s="18"/>
      <c r="I921" s="18"/>
      <c r="K921" s="18"/>
      <c r="M921" s="18"/>
      <c r="O921" s="18"/>
      <c r="Q921" s="18"/>
    </row>
    <row r="922">
      <c r="C922" s="18"/>
      <c r="E922" s="18"/>
      <c r="G922" s="18"/>
      <c r="I922" s="18"/>
      <c r="K922" s="18"/>
      <c r="M922" s="18"/>
      <c r="O922" s="18"/>
      <c r="Q922" s="18"/>
    </row>
    <row r="923">
      <c r="C923" s="18"/>
      <c r="E923" s="18"/>
      <c r="G923" s="18"/>
      <c r="I923" s="18"/>
      <c r="K923" s="18"/>
      <c r="M923" s="18"/>
      <c r="O923" s="18"/>
      <c r="Q923" s="18"/>
    </row>
    <row r="924">
      <c r="C924" s="18"/>
      <c r="E924" s="18"/>
      <c r="G924" s="18"/>
      <c r="I924" s="18"/>
      <c r="K924" s="18"/>
      <c r="M924" s="18"/>
      <c r="O924" s="18"/>
      <c r="Q924" s="18"/>
    </row>
    <row r="925">
      <c r="C925" s="18"/>
      <c r="E925" s="18"/>
      <c r="G925" s="18"/>
      <c r="I925" s="18"/>
      <c r="K925" s="18"/>
      <c r="M925" s="18"/>
      <c r="O925" s="18"/>
      <c r="Q925" s="18"/>
    </row>
    <row r="926">
      <c r="C926" s="18"/>
      <c r="E926" s="18"/>
      <c r="G926" s="18"/>
      <c r="I926" s="18"/>
      <c r="K926" s="18"/>
      <c r="M926" s="18"/>
      <c r="O926" s="18"/>
      <c r="Q926" s="18"/>
    </row>
    <row r="927">
      <c r="C927" s="18"/>
      <c r="E927" s="18"/>
      <c r="G927" s="18"/>
      <c r="I927" s="18"/>
      <c r="K927" s="18"/>
      <c r="M927" s="18"/>
      <c r="O927" s="18"/>
      <c r="Q927" s="18"/>
    </row>
    <row r="928">
      <c r="C928" s="18"/>
      <c r="E928" s="18"/>
      <c r="G928" s="18"/>
      <c r="I928" s="18"/>
      <c r="K928" s="18"/>
      <c r="M928" s="18"/>
      <c r="O928" s="18"/>
      <c r="Q928" s="18"/>
    </row>
    <row r="929">
      <c r="C929" s="18"/>
      <c r="E929" s="18"/>
      <c r="G929" s="18"/>
      <c r="I929" s="18"/>
      <c r="K929" s="18"/>
      <c r="M929" s="18"/>
      <c r="O929" s="18"/>
      <c r="Q929" s="18"/>
    </row>
    <row r="930">
      <c r="C930" s="18"/>
      <c r="E930" s="18"/>
      <c r="G930" s="18"/>
      <c r="I930" s="18"/>
      <c r="K930" s="18"/>
      <c r="M930" s="18"/>
      <c r="O930" s="18"/>
      <c r="Q930" s="18"/>
    </row>
    <row r="931">
      <c r="C931" s="18"/>
      <c r="E931" s="18"/>
      <c r="G931" s="18"/>
      <c r="I931" s="18"/>
      <c r="K931" s="18"/>
      <c r="M931" s="18"/>
      <c r="O931" s="18"/>
      <c r="Q931" s="18"/>
    </row>
    <row r="932">
      <c r="C932" s="18"/>
      <c r="E932" s="18"/>
      <c r="G932" s="18"/>
      <c r="I932" s="18"/>
      <c r="K932" s="18"/>
      <c r="M932" s="18"/>
      <c r="O932" s="18"/>
      <c r="Q932" s="18"/>
    </row>
    <row r="933">
      <c r="C933" s="18"/>
      <c r="E933" s="18"/>
      <c r="G933" s="18"/>
      <c r="I933" s="18"/>
      <c r="K933" s="18"/>
      <c r="M933" s="18"/>
      <c r="O933" s="18"/>
      <c r="Q933" s="18"/>
    </row>
    <row r="934">
      <c r="C934" s="18"/>
      <c r="E934" s="18"/>
      <c r="G934" s="18"/>
      <c r="I934" s="18"/>
      <c r="K934" s="18"/>
      <c r="M934" s="18"/>
      <c r="O934" s="18"/>
      <c r="Q934" s="18"/>
    </row>
    <row r="935">
      <c r="C935" s="18"/>
      <c r="E935" s="18"/>
      <c r="G935" s="18"/>
      <c r="I935" s="18"/>
      <c r="K935" s="18"/>
      <c r="M935" s="18"/>
      <c r="O935" s="18"/>
      <c r="Q935" s="18"/>
    </row>
    <row r="936">
      <c r="C936" s="18"/>
      <c r="E936" s="18"/>
      <c r="G936" s="18"/>
      <c r="I936" s="18"/>
      <c r="K936" s="18"/>
      <c r="M936" s="18"/>
      <c r="O936" s="18"/>
      <c r="Q936" s="18"/>
    </row>
    <row r="937">
      <c r="C937" s="18"/>
      <c r="E937" s="18"/>
      <c r="G937" s="18"/>
      <c r="I937" s="18"/>
      <c r="K937" s="18"/>
      <c r="M937" s="18"/>
      <c r="O937" s="18"/>
      <c r="Q937" s="18"/>
    </row>
    <row r="938">
      <c r="C938" s="18"/>
      <c r="E938" s="18"/>
      <c r="G938" s="18"/>
      <c r="I938" s="18"/>
      <c r="K938" s="18"/>
      <c r="M938" s="18"/>
      <c r="O938" s="18"/>
      <c r="Q938" s="18"/>
    </row>
    <row r="939">
      <c r="C939" s="18"/>
      <c r="E939" s="18"/>
      <c r="G939" s="18"/>
      <c r="I939" s="18"/>
      <c r="K939" s="18"/>
      <c r="M939" s="18"/>
      <c r="O939" s="18"/>
      <c r="Q939" s="18"/>
    </row>
    <row r="940">
      <c r="C940" s="18"/>
      <c r="E940" s="18"/>
      <c r="G940" s="18"/>
      <c r="I940" s="18"/>
      <c r="K940" s="18"/>
      <c r="M940" s="18"/>
      <c r="O940" s="18"/>
      <c r="Q940" s="18"/>
    </row>
    <row r="941">
      <c r="C941" s="18"/>
      <c r="E941" s="18"/>
      <c r="G941" s="18"/>
      <c r="I941" s="18"/>
      <c r="K941" s="18"/>
      <c r="M941" s="18"/>
      <c r="O941" s="18"/>
      <c r="Q941" s="18"/>
    </row>
    <row r="942">
      <c r="C942" s="18"/>
      <c r="E942" s="18"/>
      <c r="G942" s="18"/>
      <c r="I942" s="18"/>
      <c r="K942" s="18"/>
      <c r="M942" s="18"/>
      <c r="O942" s="18"/>
      <c r="Q942" s="18"/>
    </row>
    <row r="943">
      <c r="C943" s="18"/>
      <c r="E943" s="18"/>
      <c r="G943" s="18"/>
      <c r="I943" s="18"/>
      <c r="K943" s="18"/>
      <c r="M943" s="18"/>
      <c r="O943" s="18"/>
      <c r="Q943" s="18"/>
    </row>
    <row r="944">
      <c r="C944" s="18"/>
      <c r="E944" s="18"/>
      <c r="G944" s="18"/>
      <c r="I944" s="18"/>
      <c r="K944" s="18"/>
      <c r="M944" s="18"/>
      <c r="O944" s="18"/>
      <c r="Q944" s="18"/>
    </row>
    <row r="945">
      <c r="C945" s="18"/>
      <c r="E945" s="18"/>
      <c r="G945" s="18"/>
      <c r="I945" s="18"/>
      <c r="K945" s="18"/>
      <c r="M945" s="18"/>
      <c r="O945" s="18"/>
      <c r="Q945" s="18"/>
    </row>
    <row r="946">
      <c r="C946" s="18"/>
      <c r="E946" s="18"/>
      <c r="G946" s="18"/>
      <c r="I946" s="18"/>
      <c r="K946" s="18"/>
      <c r="M946" s="18"/>
      <c r="O946" s="18"/>
      <c r="Q946" s="18"/>
    </row>
    <row r="947">
      <c r="C947" s="18"/>
      <c r="E947" s="18"/>
      <c r="G947" s="18"/>
      <c r="I947" s="18"/>
      <c r="K947" s="18"/>
      <c r="M947" s="18"/>
      <c r="O947" s="18"/>
      <c r="Q947" s="18"/>
    </row>
    <row r="948">
      <c r="C948" s="18"/>
      <c r="E948" s="18"/>
      <c r="G948" s="18"/>
      <c r="I948" s="18"/>
      <c r="K948" s="18"/>
      <c r="M948" s="18"/>
      <c r="O948" s="18"/>
      <c r="Q948" s="18"/>
    </row>
    <row r="949">
      <c r="C949" s="18"/>
      <c r="E949" s="18"/>
      <c r="G949" s="18"/>
      <c r="I949" s="18"/>
      <c r="K949" s="18"/>
      <c r="M949" s="18"/>
      <c r="O949" s="18"/>
      <c r="Q949" s="18"/>
    </row>
    <row r="950">
      <c r="C950" s="18"/>
      <c r="E950" s="18"/>
      <c r="G950" s="18"/>
      <c r="I950" s="18"/>
      <c r="K950" s="18"/>
      <c r="M950" s="18"/>
      <c r="O950" s="18"/>
      <c r="Q950" s="18"/>
    </row>
    <row r="951">
      <c r="C951" s="18"/>
      <c r="E951" s="18"/>
      <c r="G951" s="18"/>
      <c r="I951" s="18"/>
      <c r="K951" s="18"/>
      <c r="M951" s="18"/>
      <c r="O951" s="18"/>
      <c r="Q951" s="18"/>
    </row>
    <row r="952">
      <c r="C952" s="18"/>
      <c r="E952" s="18"/>
      <c r="G952" s="18"/>
      <c r="I952" s="18"/>
      <c r="K952" s="18"/>
      <c r="M952" s="18"/>
      <c r="O952" s="18"/>
      <c r="Q952" s="18"/>
    </row>
    <row r="953">
      <c r="C953" s="18"/>
      <c r="E953" s="18"/>
      <c r="G953" s="18"/>
      <c r="I953" s="18"/>
      <c r="K953" s="18"/>
      <c r="M953" s="18"/>
      <c r="O953" s="18"/>
      <c r="Q953" s="18"/>
    </row>
    <row r="954">
      <c r="C954" s="18"/>
      <c r="E954" s="18"/>
      <c r="G954" s="18"/>
      <c r="I954" s="18"/>
      <c r="K954" s="18"/>
      <c r="M954" s="18"/>
      <c r="O954" s="18"/>
      <c r="Q954" s="18"/>
    </row>
    <row r="955">
      <c r="C955" s="18"/>
      <c r="E955" s="18"/>
      <c r="G955" s="18"/>
      <c r="I955" s="18"/>
      <c r="K955" s="18"/>
      <c r="M955" s="18"/>
      <c r="O955" s="18"/>
      <c r="Q955" s="18"/>
    </row>
    <row r="956">
      <c r="C956" s="18"/>
      <c r="E956" s="18"/>
      <c r="G956" s="18"/>
      <c r="I956" s="18"/>
      <c r="K956" s="18"/>
      <c r="M956" s="18"/>
      <c r="O956" s="18"/>
      <c r="Q956" s="18"/>
    </row>
    <row r="957">
      <c r="C957" s="18"/>
      <c r="E957" s="18"/>
      <c r="G957" s="18"/>
      <c r="I957" s="18"/>
      <c r="K957" s="18"/>
      <c r="M957" s="18"/>
      <c r="O957" s="18"/>
      <c r="Q957" s="18"/>
    </row>
    <row r="958">
      <c r="C958" s="18"/>
      <c r="E958" s="18"/>
      <c r="G958" s="18"/>
      <c r="I958" s="18"/>
      <c r="K958" s="18"/>
      <c r="M958" s="18"/>
      <c r="O958" s="18"/>
      <c r="Q958" s="18"/>
    </row>
    <row r="959">
      <c r="C959" s="18"/>
      <c r="E959" s="18"/>
      <c r="G959" s="18"/>
      <c r="I959" s="18"/>
      <c r="K959" s="18"/>
      <c r="M959" s="18"/>
      <c r="O959" s="18"/>
      <c r="Q959" s="18"/>
    </row>
    <row r="960">
      <c r="C960" s="18"/>
      <c r="E960" s="18"/>
      <c r="G960" s="18"/>
      <c r="I960" s="18"/>
      <c r="K960" s="18"/>
      <c r="M960" s="18"/>
      <c r="O960" s="18"/>
      <c r="Q960" s="18"/>
    </row>
    <row r="961">
      <c r="C961" s="18"/>
      <c r="E961" s="18"/>
      <c r="G961" s="18"/>
      <c r="I961" s="18"/>
      <c r="K961" s="18"/>
      <c r="M961" s="18"/>
      <c r="O961" s="18"/>
      <c r="Q961" s="18"/>
    </row>
    <row r="962">
      <c r="C962" s="18"/>
      <c r="E962" s="18"/>
      <c r="G962" s="18"/>
      <c r="I962" s="18"/>
      <c r="K962" s="18"/>
      <c r="M962" s="18"/>
      <c r="O962" s="18"/>
      <c r="Q962" s="18"/>
    </row>
    <row r="963">
      <c r="C963" s="18"/>
      <c r="E963" s="18"/>
      <c r="G963" s="18"/>
      <c r="I963" s="18"/>
      <c r="K963" s="18"/>
      <c r="M963" s="18"/>
      <c r="O963" s="18"/>
      <c r="Q963" s="18"/>
    </row>
    <row r="964">
      <c r="C964" s="18"/>
      <c r="E964" s="18"/>
      <c r="G964" s="18"/>
      <c r="I964" s="18"/>
      <c r="K964" s="18"/>
      <c r="M964" s="18"/>
      <c r="O964" s="18"/>
      <c r="Q964" s="18"/>
    </row>
    <row r="965">
      <c r="C965" s="18"/>
      <c r="E965" s="18"/>
      <c r="G965" s="18"/>
      <c r="I965" s="18"/>
      <c r="K965" s="18"/>
      <c r="M965" s="18"/>
      <c r="O965" s="18"/>
      <c r="Q965" s="18"/>
    </row>
    <row r="966">
      <c r="C966" s="18"/>
      <c r="E966" s="18"/>
      <c r="G966" s="18"/>
      <c r="I966" s="18"/>
      <c r="K966" s="18"/>
      <c r="M966" s="18"/>
      <c r="O966" s="18"/>
      <c r="Q966" s="18"/>
    </row>
    <row r="967">
      <c r="C967" s="18"/>
      <c r="E967" s="18"/>
      <c r="G967" s="18"/>
      <c r="I967" s="18"/>
      <c r="K967" s="18"/>
      <c r="M967" s="18"/>
      <c r="O967" s="18"/>
      <c r="Q967" s="18"/>
    </row>
    <row r="968">
      <c r="C968" s="18"/>
      <c r="E968" s="18"/>
      <c r="G968" s="18"/>
      <c r="I968" s="18"/>
      <c r="K968" s="18"/>
      <c r="M968" s="18"/>
      <c r="O968" s="18"/>
      <c r="Q968" s="18"/>
    </row>
    <row r="969">
      <c r="C969" s="18"/>
      <c r="E969" s="18"/>
      <c r="G969" s="18"/>
      <c r="I969" s="18"/>
      <c r="K969" s="18"/>
      <c r="M969" s="18"/>
      <c r="O969" s="18"/>
      <c r="Q969" s="18"/>
    </row>
    <row r="970">
      <c r="C970" s="18"/>
      <c r="E970" s="18"/>
      <c r="G970" s="18"/>
      <c r="I970" s="18"/>
      <c r="K970" s="18"/>
      <c r="M970" s="18"/>
      <c r="O970" s="18"/>
      <c r="Q970" s="18"/>
    </row>
    <row r="971">
      <c r="C971" s="18"/>
      <c r="E971" s="18"/>
      <c r="G971" s="18"/>
      <c r="I971" s="18"/>
      <c r="K971" s="18"/>
      <c r="M971" s="18"/>
      <c r="O971" s="18"/>
      <c r="Q971" s="18"/>
    </row>
    <row r="972">
      <c r="C972" s="18"/>
      <c r="E972" s="18"/>
      <c r="G972" s="18"/>
      <c r="I972" s="18"/>
      <c r="K972" s="18"/>
      <c r="M972" s="18"/>
      <c r="O972" s="18"/>
      <c r="Q972" s="18"/>
    </row>
    <row r="973">
      <c r="C973" s="18"/>
      <c r="E973" s="18"/>
      <c r="G973" s="18"/>
      <c r="I973" s="18"/>
      <c r="K973" s="18"/>
      <c r="M973" s="18"/>
      <c r="O973" s="18"/>
      <c r="Q973" s="18"/>
    </row>
    <row r="974">
      <c r="C974" s="18"/>
      <c r="E974" s="18"/>
      <c r="G974" s="18"/>
      <c r="I974" s="18"/>
      <c r="K974" s="18"/>
      <c r="M974" s="18"/>
      <c r="O974" s="18"/>
      <c r="Q974" s="18"/>
    </row>
    <row r="975">
      <c r="C975" s="18"/>
      <c r="E975" s="18"/>
      <c r="G975" s="18"/>
      <c r="I975" s="18"/>
      <c r="K975" s="18"/>
      <c r="M975" s="18"/>
      <c r="O975" s="18"/>
      <c r="Q975" s="18"/>
    </row>
    <row r="976">
      <c r="C976" s="18"/>
      <c r="E976" s="18"/>
      <c r="G976" s="18"/>
      <c r="I976" s="18"/>
      <c r="K976" s="18"/>
      <c r="M976" s="18"/>
      <c r="O976" s="18"/>
      <c r="Q976" s="18"/>
    </row>
    <row r="977">
      <c r="C977" s="18"/>
      <c r="E977" s="18"/>
      <c r="G977" s="18"/>
      <c r="I977" s="18"/>
      <c r="K977" s="18"/>
      <c r="M977" s="18"/>
      <c r="O977" s="18"/>
      <c r="Q977" s="18"/>
    </row>
    <row r="978">
      <c r="C978" s="18"/>
      <c r="E978" s="18"/>
      <c r="G978" s="18"/>
      <c r="I978" s="18"/>
      <c r="K978" s="18"/>
      <c r="M978" s="18"/>
      <c r="O978" s="18"/>
      <c r="Q978" s="18"/>
    </row>
    <row r="979">
      <c r="C979" s="18"/>
      <c r="E979" s="18"/>
      <c r="G979" s="18"/>
      <c r="I979" s="18"/>
      <c r="K979" s="18"/>
      <c r="M979" s="18"/>
      <c r="O979" s="18"/>
      <c r="Q979" s="18"/>
    </row>
    <row r="980">
      <c r="C980" s="18"/>
      <c r="E980" s="18"/>
      <c r="G980" s="18"/>
      <c r="I980" s="18"/>
      <c r="K980" s="18"/>
      <c r="M980" s="18"/>
      <c r="O980" s="18"/>
      <c r="Q980" s="18"/>
    </row>
    <row r="981">
      <c r="C981" s="18"/>
      <c r="E981" s="18"/>
      <c r="G981" s="18"/>
      <c r="I981" s="18"/>
      <c r="K981" s="18"/>
      <c r="M981" s="18"/>
      <c r="O981" s="18"/>
      <c r="Q981" s="18"/>
    </row>
    <row r="982">
      <c r="C982" s="18"/>
      <c r="E982" s="18"/>
      <c r="G982" s="18"/>
      <c r="I982" s="18"/>
      <c r="K982" s="18"/>
      <c r="M982" s="18"/>
      <c r="O982" s="18"/>
      <c r="Q982" s="18"/>
    </row>
    <row r="983">
      <c r="C983" s="18"/>
      <c r="E983" s="18"/>
      <c r="G983" s="18"/>
      <c r="I983" s="18"/>
      <c r="K983" s="18"/>
      <c r="M983" s="18"/>
      <c r="O983" s="18"/>
      <c r="Q983" s="18"/>
    </row>
    <row r="984">
      <c r="C984" s="18"/>
      <c r="E984" s="18"/>
      <c r="G984" s="18"/>
      <c r="I984" s="18"/>
      <c r="K984" s="18"/>
      <c r="M984" s="18"/>
      <c r="O984" s="18"/>
      <c r="Q984" s="18"/>
    </row>
    <row r="985">
      <c r="C985" s="18"/>
      <c r="E985" s="18"/>
      <c r="G985" s="18"/>
      <c r="I985" s="18"/>
      <c r="K985" s="18"/>
      <c r="M985" s="18"/>
      <c r="O985" s="18"/>
      <c r="Q985" s="18"/>
    </row>
    <row r="986">
      <c r="C986" s="18"/>
      <c r="E986" s="18"/>
      <c r="G986" s="18"/>
      <c r="I986" s="18"/>
      <c r="K986" s="18"/>
      <c r="M986" s="18"/>
      <c r="O986" s="18"/>
      <c r="Q986" s="18"/>
    </row>
    <row r="987">
      <c r="C987" s="18"/>
      <c r="E987" s="18"/>
      <c r="G987" s="18"/>
      <c r="I987" s="18"/>
      <c r="K987" s="18"/>
      <c r="M987" s="18"/>
      <c r="O987" s="18"/>
      <c r="Q987" s="18"/>
    </row>
  </sheetData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J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B48" s="18"/>
      <c r="C48" s="18"/>
      <c r="D48" s="18"/>
      <c r="E48" s="18"/>
      <c r="F48" s="18"/>
      <c r="G48" s="18"/>
      <c r="H48" s="18"/>
      <c r="I48" s="18"/>
    </row>
    <row r="49">
      <c r="B49" s="18"/>
    </row>
    <row r="50"/>
    <row r="51" hidden="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drawing r:id="rId5"/>
</worksheet>
</file>